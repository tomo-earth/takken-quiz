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8"/>
  <workbookPr/>
  <xr:revisionPtr revIDLastSave="0" documentId="8_{673D13E7-05CF-5E4F-8552-A49FF781685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印刷メニュー" sheetId="1" r:id="rId1"/>
    <sheet name="使い方" sheetId="2" r:id="rId2"/>
    <sheet name="台帳" sheetId="3" r:id="rId3"/>
    <sheet name="マスター" sheetId="4" r:id="rId4"/>
    <sheet name="日別集計" sheetId="5" r:id="rId5"/>
    <sheet name="工種別日別" sheetId="6" r:id="rId6"/>
    <sheet name="確認事項" sheetId="7" r:id="rId7"/>
    <sheet name="印刷01_日別人工" sheetId="8" r:id="rId8"/>
    <sheet name="印刷02_累計推移" sheetId="9" r:id="rId9"/>
    <sheet name="印刷03_グラフ" sheetId="10" r:id="rId10"/>
    <sheet name="印刷04_集計" sheetId="11" r:id="rId11"/>
    <sheet name="印刷05_工種別予算" sheetId="12" r:id="rId12"/>
    <sheet name="印刷06_週別" sheetId="13" r:id="rId13"/>
    <sheet name="設定" sheetId="14" r:id="rId18"/>
  </sheets>
  <definedNames>
    <definedName name="_xlnm._FilterDatabase" localSheetId="2" hidden="1">台帳!$A$1:$L$239</definedName>
    <definedName name="_xlnm.Print_Area" localSheetId="7">印刷01_日別人工!$A$1:$Q$141</definedName>
    <definedName name="_xlnm.Print_Area" localSheetId="8">印刷02_累計推移!$A$1:$R$140</definedName>
    <definedName name="_xlnm.Print_Area" localSheetId="9">印刷03_グラフ!$A$1:$N$38</definedName>
    <definedName name="_xlnm.Print_Area" localSheetId="10">印刷04_集計!$A$1:$O$44</definedName>
    <definedName name="_xlnm.Print_Area" localSheetId="11">印刷05_工種別予算!$A$1:$G$46</definedName>
    <definedName name="_xlnm.Print_Area" localSheetId="12">印刷06_週別!$A$1:$W$35</definedName>
    <definedName name="_xlnm.Print_Area" localSheetId="0">印刷メニュー!$A$1:$E$35</definedName>
    <definedName name="_xlnm.Print_Area" localSheetId="2">台帳!$A$1:$K$239</definedName>
    <definedName name="_xlnm.Print_Area" localSheetId="5">工種別日別!$A$1:$AR$141</definedName>
    <definedName name="_xlnm.Print_Area" localSheetId="4">日別集計!$A$1:$AG$141</definedName>
    <definedName name="_xlnm.Print_Titles" localSheetId="7">印刷01_日別人工!$4:$4</definedName>
    <definedName name="_xlnm.Print_Titles" localSheetId="8">印刷02_累計推移!$4:$4</definedName>
    <definedName name="_xlnm.Print_Titles" localSheetId="2">台帳!$1:$1</definedName>
    <definedName name="_xlnm.Print_Titles" localSheetId="5">工種別日別!$3:$4</definedName>
    <definedName name="_xlnm.Print_Titles" localSheetId="4">日別集計!$4:$4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7" i="13" l="1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C54" i="13"/>
  <c r="D54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D46" i="12"/>
  <c r="F46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G17" i="12"/>
  <c r="F17" i="12"/>
  <c r="G16" i="12"/>
  <c r="F16" i="12"/>
  <c r="G15" i="12"/>
  <c r="F15" i="12"/>
  <c r="G14" i="12"/>
  <c r="F14" i="12"/>
  <c r="G13" i="12"/>
  <c r="F13" i="12"/>
  <c r="G12" i="12"/>
  <c r="F12" i="12"/>
  <c r="G11" i="12"/>
  <c r="F11" i="12"/>
  <c r="G10" i="12"/>
  <c r="F10" i="12"/>
  <c r="G9" i="12"/>
  <c r="F9" i="12"/>
  <c r="G8" i="12"/>
  <c r="F8" i="12"/>
  <c r="G7" i="12"/>
  <c r="F7" i="12"/>
  <c r="G6" i="12"/>
  <c r="F6" i="12"/>
  <c r="G5" i="12"/>
  <c r="F5" i="12"/>
  <c r="O37" i="11"/>
  <c r="O38" i="11"/>
  <c r="O39" i="11"/>
  <c r="O40" i="11"/>
  <c r="O41" i="11"/>
  <c r="O42" i="11"/>
  <c r="O43" i="11"/>
  <c r="O44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K25" i="11"/>
  <c r="J25" i="11"/>
  <c r="K24" i="11"/>
  <c r="J24" i="11"/>
  <c r="K23" i="11"/>
  <c r="J23" i="11"/>
  <c r="K22" i="11"/>
  <c r="J22" i="11"/>
  <c r="K21" i="11"/>
  <c r="J21" i="11"/>
  <c r="K20" i="11"/>
  <c r="J20" i="11"/>
  <c r="K19" i="11"/>
  <c r="J19" i="11"/>
  <c r="K18" i="11"/>
  <c r="J18" i="11"/>
  <c r="K17" i="11"/>
  <c r="J17" i="11"/>
  <c r="C17" i="11"/>
  <c r="E17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K16" i="11"/>
  <c r="J16" i="11"/>
  <c r="F16" i="11"/>
  <c r="E16" i="11"/>
  <c r="K15" i="11"/>
  <c r="J15" i="11"/>
  <c r="F15" i="11"/>
  <c r="E15" i="11"/>
  <c r="K14" i="11"/>
  <c r="J14" i="11"/>
  <c r="F14" i="11"/>
  <c r="E14" i="11"/>
  <c r="K13" i="11"/>
  <c r="J13" i="11"/>
  <c r="F13" i="11"/>
  <c r="E13" i="11"/>
  <c r="K12" i="11"/>
  <c r="J12" i="11"/>
  <c r="F12" i="11"/>
  <c r="E12" i="11"/>
  <c r="K11" i="11"/>
  <c r="J11" i="11"/>
  <c r="F11" i="11"/>
  <c r="E11" i="11"/>
  <c r="K10" i="11"/>
  <c r="J10" i="11"/>
  <c r="F10" i="11"/>
  <c r="E10" i="11"/>
  <c r="K9" i="11"/>
  <c r="J9" i="11"/>
  <c r="F9" i="11"/>
  <c r="E9" i="11"/>
  <c r="K8" i="11"/>
  <c r="J8" i="11"/>
  <c r="F8" i="11"/>
  <c r="E8" i="11"/>
  <c r="K7" i="11"/>
  <c r="J7" i="11"/>
  <c r="F7" i="11"/>
  <c r="E7" i="11"/>
  <c r="K6" i="11"/>
  <c r="J6" i="11"/>
  <c r="F6" i="11"/>
  <c r="E6" i="11"/>
  <c r="K5" i="11"/>
  <c r="J5" i="11"/>
  <c r="F5" i="11"/>
  <c r="E5" i="11"/>
  <c r="AG140" i="5"/>
  <c r="R140" i="9"/>
  <c r="C5" i="5"/>
  <c r="D5" i="5"/>
  <c r="E5" i="5"/>
  <c r="F5" i="5"/>
  <c r="G5" i="5"/>
  <c r="H5" i="5"/>
  <c r="I5" i="5"/>
  <c r="J5" i="5"/>
  <c r="K5" i="5"/>
  <c r="L5" i="5"/>
  <c r="M5" i="5"/>
  <c r="N5" i="5"/>
  <c r="Q5" i="5"/>
  <c r="AF5" i="5"/>
  <c r="C6" i="5"/>
  <c r="D6" i="5"/>
  <c r="E6" i="5"/>
  <c r="F6" i="5"/>
  <c r="G6" i="5"/>
  <c r="H6" i="5"/>
  <c r="I6" i="5"/>
  <c r="J6" i="5"/>
  <c r="K6" i="5"/>
  <c r="L6" i="5"/>
  <c r="M6" i="5"/>
  <c r="N6" i="5"/>
  <c r="Q6" i="5"/>
  <c r="AF6" i="5"/>
  <c r="C7" i="5"/>
  <c r="D7" i="5"/>
  <c r="E7" i="5"/>
  <c r="F7" i="5"/>
  <c r="G7" i="5"/>
  <c r="H7" i="5"/>
  <c r="I7" i="5"/>
  <c r="J7" i="5"/>
  <c r="K7" i="5"/>
  <c r="L7" i="5"/>
  <c r="M7" i="5"/>
  <c r="N7" i="5"/>
  <c r="Q7" i="5"/>
  <c r="AF7" i="5"/>
  <c r="C8" i="5"/>
  <c r="D8" i="5"/>
  <c r="E8" i="5"/>
  <c r="F8" i="5"/>
  <c r="G8" i="5"/>
  <c r="H8" i="5"/>
  <c r="I8" i="5"/>
  <c r="J8" i="5"/>
  <c r="K8" i="5"/>
  <c r="L8" i="5"/>
  <c r="M8" i="5"/>
  <c r="N8" i="5"/>
  <c r="Q8" i="5"/>
  <c r="AF8" i="5"/>
  <c r="C9" i="5"/>
  <c r="D9" i="5"/>
  <c r="E9" i="5"/>
  <c r="F9" i="5"/>
  <c r="G9" i="5"/>
  <c r="H9" i="5"/>
  <c r="I9" i="5"/>
  <c r="J9" i="5"/>
  <c r="K9" i="5"/>
  <c r="L9" i="5"/>
  <c r="M9" i="5"/>
  <c r="N9" i="5"/>
  <c r="Q9" i="5"/>
  <c r="AF9" i="5"/>
  <c r="C10" i="5"/>
  <c r="D10" i="5"/>
  <c r="E10" i="5"/>
  <c r="F10" i="5"/>
  <c r="G10" i="5"/>
  <c r="H10" i="5"/>
  <c r="I10" i="5"/>
  <c r="J10" i="5"/>
  <c r="K10" i="5"/>
  <c r="L10" i="5"/>
  <c r="M10" i="5"/>
  <c r="N10" i="5"/>
  <c r="Q10" i="5"/>
  <c r="AF10" i="5"/>
  <c r="C11" i="5"/>
  <c r="D11" i="5"/>
  <c r="E11" i="5"/>
  <c r="F11" i="5"/>
  <c r="G11" i="5"/>
  <c r="H11" i="5"/>
  <c r="I11" i="5"/>
  <c r="J11" i="5"/>
  <c r="K11" i="5"/>
  <c r="L11" i="5"/>
  <c r="M11" i="5"/>
  <c r="N11" i="5"/>
  <c r="Q11" i="5"/>
  <c r="AF11" i="5"/>
  <c r="C12" i="5"/>
  <c r="D12" i="5"/>
  <c r="E12" i="5"/>
  <c r="F12" i="5"/>
  <c r="G12" i="5"/>
  <c r="H12" i="5"/>
  <c r="I12" i="5"/>
  <c r="J12" i="5"/>
  <c r="K12" i="5"/>
  <c r="L12" i="5"/>
  <c r="M12" i="5"/>
  <c r="N12" i="5"/>
  <c r="Q12" i="5"/>
  <c r="AF12" i="5"/>
  <c r="C13" i="5"/>
  <c r="D13" i="5"/>
  <c r="E13" i="5"/>
  <c r="F13" i="5"/>
  <c r="G13" i="5"/>
  <c r="H13" i="5"/>
  <c r="I13" i="5"/>
  <c r="J13" i="5"/>
  <c r="K13" i="5"/>
  <c r="L13" i="5"/>
  <c r="M13" i="5"/>
  <c r="N13" i="5"/>
  <c r="Q13" i="5"/>
  <c r="AF13" i="5"/>
  <c r="C14" i="5"/>
  <c r="D14" i="5"/>
  <c r="E14" i="5"/>
  <c r="F14" i="5"/>
  <c r="G14" i="5"/>
  <c r="H14" i="5"/>
  <c r="I14" i="5"/>
  <c r="J14" i="5"/>
  <c r="K14" i="5"/>
  <c r="L14" i="5"/>
  <c r="M14" i="5"/>
  <c r="N14" i="5"/>
  <c r="Q14" i="5"/>
  <c r="AF14" i="5"/>
  <c r="C15" i="5"/>
  <c r="D15" i="5"/>
  <c r="E15" i="5"/>
  <c r="F15" i="5"/>
  <c r="G15" i="5"/>
  <c r="H15" i="5"/>
  <c r="I15" i="5"/>
  <c r="J15" i="5"/>
  <c r="K15" i="5"/>
  <c r="L15" i="5"/>
  <c r="M15" i="5"/>
  <c r="N15" i="5"/>
  <c r="Q15" i="5"/>
  <c r="AF15" i="5"/>
  <c r="C16" i="5"/>
  <c r="D16" i="5"/>
  <c r="E16" i="5"/>
  <c r="F16" i="5"/>
  <c r="G16" i="5"/>
  <c r="H16" i="5"/>
  <c r="I16" i="5"/>
  <c r="J16" i="5"/>
  <c r="K16" i="5"/>
  <c r="L16" i="5"/>
  <c r="M16" i="5"/>
  <c r="N16" i="5"/>
  <c r="Q16" i="5"/>
  <c r="AF16" i="5"/>
  <c r="C17" i="5"/>
  <c r="D17" i="5"/>
  <c r="E17" i="5"/>
  <c r="F17" i="5"/>
  <c r="G17" i="5"/>
  <c r="H17" i="5"/>
  <c r="I17" i="5"/>
  <c r="J17" i="5"/>
  <c r="K17" i="5"/>
  <c r="L17" i="5"/>
  <c r="M17" i="5"/>
  <c r="N17" i="5"/>
  <c r="Q17" i="5"/>
  <c r="AF17" i="5"/>
  <c r="C18" i="5"/>
  <c r="D18" i="5"/>
  <c r="E18" i="5"/>
  <c r="F18" i="5"/>
  <c r="G18" i="5"/>
  <c r="H18" i="5"/>
  <c r="I18" i="5"/>
  <c r="J18" i="5"/>
  <c r="K18" i="5"/>
  <c r="L18" i="5"/>
  <c r="M18" i="5"/>
  <c r="N18" i="5"/>
  <c r="Q18" i="5"/>
  <c r="AF18" i="5"/>
  <c r="C19" i="5"/>
  <c r="D19" i="5"/>
  <c r="E19" i="5"/>
  <c r="F19" i="5"/>
  <c r="G19" i="5"/>
  <c r="H19" i="5"/>
  <c r="I19" i="5"/>
  <c r="J19" i="5"/>
  <c r="K19" i="5"/>
  <c r="L19" i="5"/>
  <c r="M19" i="5"/>
  <c r="N19" i="5"/>
  <c r="Q19" i="5"/>
  <c r="AF19" i="5"/>
  <c r="C20" i="5"/>
  <c r="D20" i="5"/>
  <c r="E20" i="5"/>
  <c r="F20" i="5"/>
  <c r="G20" i="5"/>
  <c r="H20" i="5"/>
  <c r="I20" i="5"/>
  <c r="J20" i="5"/>
  <c r="K20" i="5"/>
  <c r="L20" i="5"/>
  <c r="M20" i="5"/>
  <c r="N20" i="5"/>
  <c r="Q20" i="5"/>
  <c r="AF20" i="5"/>
  <c r="C21" i="5"/>
  <c r="D21" i="5"/>
  <c r="E21" i="5"/>
  <c r="F21" i="5"/>
  <c r="G21" i="5"/>
  <c r="H21" i="5"/>
  <c r="I21" i="5"/>
  <c r="J21" i="5"/>
  <c r="K21" i="5"/>
  <c r="L21" i="5"/>
  <c r="M21" i="5"/>
  <c r="N21" i="5"/>
  <c r="Q21" i="5"/>
  <c r="AF21" i="5"/>
  <c r="C22" i="5"/>
  <c r="D22" i="5"/>
  <c r="E22" i="5"/>
  <c r="F22" i="5"/>
  <c r="G22" i="5"/>
  <c r="H22" i="5"/>
  <c r="I22" i="5"/>
  <c r="J22" i="5"/>
  <c r="K22" i="5"/>
  <c r="L22" i="5"/>
  <c r="M22" i="5"/>
  <c r="N22" i="5"/>
  <c r="Q22" i="5"/>
  <c r="AF22" i="5"/>
  <c r="C23" i="5"/>
  <c r="D23" i="5"/>
  <c r="E23" i="5"/>
  <c r="F23" i="5"/>
  <c r="G23" i="5"/>
  <c r="H23" i="5"/>
  <c r="I23" i="5"/>
  <c r="J23" i="5"/>
  <c r="K23" i="5"/>
  <c r="L23" i="5"/>
  <c r="M23" i="5"/>
  <c r="N23" i="5"/>
  <c r="Q23" i="5"/>
  <c r="AF23" i="5"/>
  <c r="C24" i="5"/>
  <c r="D24" i="5"/>
  <c r="E24" i="5"/>
  <c r="F24" i="5"/>
  <c r="G24" i="5"/>
  <c r="H24" i="5"/>
  <c r="I24" i="5"/>
  <c r="J24" i="5"/>
  <c r="K24" i="5"/>
  <c r="L24" i="5"/>
  <c r="M24" i="5"/>
  <c r="N24" i="5"/>
  <c r="Q24" i="5"/>
  <c r="AF24" i="5"/>
  <c r="C25" i="5"/>
  <c r="D25" i="5"/>
  <c r="E25" i="5"/>
  <c r="F25" i="5"/>
  <c r="G25" i="5"/>
  <c r="H25" i="5"/>
  <c r="I25" i="5"/>
  <c r="J25" i="5"/>
  <c r="K25" i="5"/>
  <c r="L25" i="5"/>
  <c r="M25" i="5"/>
  <c r="N25" i="5"/>
  <c r="Q25" i="5"/>
  <c r="AF25" i="5"/>
  <c r="C26" i="5"/>
  <c r="D26" i="5"/>
  <c r="E26" i="5"/>
  <c r="F26" i="5"/>
  <c r="G26" i="5"/>
  <c r="H26" i="5"/>
  <c r="I26" i="5"/>
  <c r="J26" i="5"/>
  <c r="K26" i="5"/>
  <c r="L26" i="5"/>
  <c r="M26" i="5"/>
  <c r="N26" i="5"/>
  <c r="Q26" i="5"/>
  <c r="AF26" i="5"/>
  <c r="C27" i="5"/>
  <c r="D27" i="5"/>
  <c r="E27" i="5"/>
  <c r="F27" i="5"/>
  <c r="G27" i="5"/>
  <c r="H27" i="5"/>
  <c r="I27" i="5"/>
  <c r="J27" i="5"/>
  <c r="K27" i="5"/>
  <c r="L27" i="5"/>
  <c r="M27" i="5"/>
  <c r="N27" i="5"/>
  <c r="Q27" i="5"/>
  <c r="AF27" i="5"/>
  <c r="C28" i="5"/>
  <c r="D28" i="5"/>
  <c r="E28" i="5"/>
  <c r="F28" i="5"/>
  <c r="G28" i="5"/>
  <c r="H28" i="5"/>
  <c r="I28" i="5"/>
  <c r="J28" i="5"/>
  <c r="K28" i="5"/>
  <c r="L28" i="5"/>
  <c r="M28" i="5"/>
  <c r="N28" i="5"/>
  <c r="Q28" i="5"/>
  <c r="AF28" i="5"/>
  <c r="C29" i="5"/>
  <c r="D29" i="5"/>
  <c r="E29" i="5"/>
  <c r="F29" i="5"/>
  <c r="G29" i="5"/>
  <c r="H29" i="5"/>
  <c r="I29" i="5"/>
  <c r="J29" i="5"/>
  <c r="K29" i="5"/>
  <c r="L29" i="5"/>
  <c r="M29" i="5"/>
  <c r="N29" i="5"/>
  <c r="Q29" i="5"/>
  <c r="AF29" i="5"/>
  <c r="C30" i="5"/>
  <c r="D30" i="5"/>
  <c r="E30" i="5"/>
  <c r="F30" i="5"/>
  <c r="G30" i="5"/>
  <c r="H30" i="5"/>
  <c r="I30" i="5"/>
  <c r="J30" i="5"/>
  <c r="K30" i="5"/>
  <c r="L30" i="5"/>
  <c r="M30" i="5"/>
  <c r="N30" i="5"/>
  <c r="Q30" i="5"/>
  <c r="AF30" i="5"/>
  <c r="C31" i="5"/>
  <c r="D31" i="5"/>
  <c r="E31" i="5"/>
  <c r="F31" i="5"/>
  <c r="G31" i="5"/>
  <c r="H31" i="5"/>
  <c r="I31" i="5"/>
  <c r="J31" i="5"/>
  <c r="K31" i="5"/>
  <c r="L31" i="5"/>
  <c r="M31" i="5"/>
  <c r="N31" i="5"/>
  <c r="Q31" i="5"/>
  <c r="AF31" i="5"/>
  <c r="C32" i="5"/>
  <c r="D32" i="5"/>
  <c r="E32" i="5"/>
  <c r="F32" i="5"/>
  <c r="G32" i="5"/>
  <c r="H32" i="5"/>
  <c r="I32" i="5"/>
  <c r="J32" i="5"/>
  <c r="K32" i="5"/>
  <c r="L32" i="5"/>
  <c r="M32" i="5"/>
  <c r="N32" i="5"/>
  <c r="Q32" i="5"/>
  <c r="AF32" i="5"/>
  <c r="C33" i="5"/>
  <c r="D33" i="5"/>
  <c r="E33" i="5"/>
  <c r="F33" i="5"/>
  <c r="G33" i="5"/>
  <c r="H33" i="5"/>
  <c r="I33" i="5"/>
  <c r="J33" i="5"/>
  <c r="K33" i="5"/>
  <c r="L33" i="5"/>
  <c r="M33" i="5"/>
  <c r="N33" i="5"/>
  <c r="Q33" i="5"/>
  <c r="AF33" i="5"/>
  <c r="C34" i="5"/>
  <c r="D34" i="5"/>
  <c r="E34" i="5"/>
  <c r="F34" i="5"/>
  <c r="G34" i="5"/>
  <c r="H34" i="5"/>
  <c r="I34" i="5"/>
  <c r="J34" i="5"/>
  <c r="K34" i="5"/>
  <c r="L34" i="5"/>
  <c r="M34" i="5"/>
  <c r="N34" i="5"/>
  <c r="Q34" i="5"/>
  <c r="AF34" i="5"/>
  <c r="C35" i="5"/>
  <c r="D35" i="5"/>
  <c r="E35" i="5"/>
  <c r="F35" i="5"/>
  <c r="G35" i="5"/>
  <c r="H35" i="5"/>
  <c r="I35" i="5"/>
  <c r="J35" i="5"/>
  <c r="K35" i="5"/>
  <c r="L35" i="5"/>
  <c r="M35" i="5"/>
  <c r="N35" i="5"/>
  <c r="Q35" i="5"/>
  <c r="AF35" i="5"/>
  <c r="C36" i="5"/>
  <c r="D36" i="5"/>
  <c r="E36" i="5"/>
  <c r="F36" i="5"/>
  <c r="G36" i="5"/>
  <c r="H36" i="5"/>
  <c r="I36" i="5"/>
  <c r="J36" i="5"/>
  <c r="K36" i="5"/>
  <c r="L36" i="5"/>
  <c r="M36" i="5"/>
  <c r="N36" i="5"/>
  <c r="Q36" i="5"/>
  <c r="AF36" i="5"/>
  <c r="C37" i="5"/>
  <c r="D37" i="5"/>
  <c r="E37" i="5"/>
  <c r="F37" i="5"/>
  <c r="G37" i="5"/>
  <c r="H37" i="5"/>
  <c r="I37" i="5"/>
  <c r="J37" i="5"/>
  <c r="K37" i="5"/>
  <c r="L37" i="5"/>
  <c r="M37" i="5"/>
  <c r="N37" i="5"/>
  <c r="Q37" i="5"/>
  <c r="AF37" i="5"/>
  <c r="C38" i="5"/>
  <c r="D38" i="5"/>
  <c r="E38" i="5"/>
  <c r="F38" i="5"/>
  <c r="G38" i="5"/>
  <c r="H38" i="5"/>
  <c r="I38" i="5"/>
  <c r="J38" i="5"/>
  <c r="K38" i="5"/>
  <c r="L38" i="5"/>
  <c r="M38" i="5"/>
  <c r="N38" i="5"/>
  <c r="Q38" i="5"/>
  <c r="AF38" i="5"/>
  <c r="C39" i="5"/>
  <c r="D39" i="5"/>
  <c r="E39" i="5"/>
  <c r="F39" i="5"/>
  <c r="G39" i="5"/>
  <c r="H39" i="5"/>
  <c r="I39" i="5"/>
  <c r="J39" i="5"/>
  <c r="K39" i="5"/>
  <c r="L39" i="5"/>
  <c r="M39" i="5"/>
  <c r="N39" i="5"/>
  <c r="Q39" i="5"/>
  <c r="AF39" i="5"/>
  <c r="C40" i="5"/>
  <c r="D40" i="5"/>
  <c r="E40" i="5"/>
  <c r="F40" i="5"/>
  <c r="G40" i="5"/>
  <c r="H40" i="5"/>
  <c r="I40" i="5"/>
  <c r="J40" i="5"/>
  <c r="K40" i="5"/>
  <c r="L40" i="5"/>
  <c r="M40" i="5"/>
  <c r="N40" i="5"/>
  <c r="Q40" i="5"/>
  <c r="AF40" i="5"/>
  <c r="C41" i="5"/>
  <c r="D41" i="5"/>
  <c r="E41" i="5"/>
  <c r="F41" i="5"/>
  <c r="G41" i="5"/>
  <c r="H41" i="5"/>
  <c r="I41" i="5"/>
  <c r="J41" i="5"/>
  <c r="K41" i="5"/>
  <c r="L41" i="5"/>
  <c r="M41" i="5"/>
  <c r="N41" i="5"/>
  <c r="Q41" i="5"/>
  <c r="AF41" i="5"/>
  <c r="C42" i="5"/>
  <c r="D42" i="5"/>
  <c r="E42" i="5"/>
  <c r="F42" i="5"/>
  <c r="G42" i="5"/>
  <c r="H42" i="5"/>
  <c r="I42" i="5"/>
  <c r="J42" i="5"/>
  <c r="K42" i="5"/>
  <c r="L42" i="5"/>
  <c r="M42" i="5"/>
  <c r="N42" i="5"/>
  <c r="Q42" i="5"/>
  <c r="AF42" i="5"/>
  <c r="C43" i="5"/>
  <c r="D43" i="5"/>
  <c r="E43" i="5"/>
  <c r="F43" i="5"/>
  <c r="G43" i="5"/>
  <c r="H43" i="5"/>
  <c r="I43" i="5"/>
  <c r="J43" i="5"/>
  <c r="K43" i="5"/>
  <c r="L43" i="5"/>
  <c r="M43" i="5"/>
  <c r="N43" i="5"/>
  <c r="Q43" i="5"/>
  <c r="AF43" i="5"/>
  <c r="C44" i="5"/>
  <c r="D44" i="5"/>
  <c r="E44" i="5"/>
  <c r="F44" i="5"/>
  <c r="G44" i="5"/>
  <c r="H44" i="5"/>
  <c r="I44" i="5"/>
  <c r="J44" i="5"/>
  <c r="K44" i="5"/>
  <c r="L44" i="5"/>
  <c r="M44" i="5"/>
  <c r="N44" i="5"/>
  <c r="Q44" i="5"/>
  <c r="AF44" i="5"/>
  <c r="C45" i="5"/>
  <c r="D45" i="5"/>
  <c r="E45" i="5"/>
  <c r="F45" i="5"/>
  <c r="G45" i="5"/>
  <c r="H45" i="5"/>
  <c r="I45" i="5"/>
  <c r="J45" i="5"/>
  <c r="K45" i="5"/>
  <c r="L45" i="5"/>
  <c r="M45" i="5"/>
  <c r="N45" i="5"/>
  <c r="Q45" i="5"/>
  <c r="AF45" i="5"/>
  <c r="C46" i="5"/>
  <c r="D46" i="5"/>
  <c r="E46" i="5"/>
  <c r="F46" i="5"/>
  <c r="G46" i="5"/>
  <c r="H46" i="5"/>
  <c r="I46" i="5"/>
  <c r="J46" i="5"/>
  <c r="K46" i="5"/>
  <c r="L46" i="5"/>
  <c r="M46" i="5"/>
  <c r="N46" i="5"/>
  <c r="Q46" i="5"/>
  <c r="AF46" i="5"/>
  <c r="C47" i="5"/>
  <c r="D47" i="5"/>
  <c r="E47" i="5"/>
  <c r="F47" i="5"/>
  <c r="G47" i="5"/>
  <c r="H47" i="5"/>
  <c r="I47" i="5"/>
  <c r="J47" i="5"/>
  <c r="K47" i="5"/>
  <c r="L47" i="5"/>
  <c r="M47" i="5"/>
  <c r="N47" i="5"/>
  <c r="Q47" i="5"/>
  <c r="AF47" i="5"/>
  <c r="C48" i="5"/>
  <c r="D48" i="5"/>
  <c r="E48" i="5"/>
  <c r="F48" i="5"/>
  <c r="G48" i="5"/>
  <c r="H48" i="5"/>
  <c r="I48" i="5"/>
  <c r="J48" i="5"/>
  <c r="K48" i="5"/>
  <c r="L48" i="5"/>
  <c r="M48" i="5"/>
  <c r="N48" i="5"/>
  <c r="Q48" i="5"/>
  <c r="AF48" i="5"/>
  <c r="C49" i="5"/>
  <c r="D49" i="5"/>
  <c r="E49" i="5"/>
  <c r="F49" i="5"/>
  <c r="G49" i="5"/>
  <c r="H49" i="5"/>
  <c r="I49" i="5"/>
  <c r="J49" i="5"/>
  <c r="K49" i="5"/>
  <c r="L49" i="5"/>
  <c r="M49" i="5"/>
  <c r="N49" i="5"/>
  <c r="Q49" i="5"/>
  <c r="AF49" i="5"/>
  <c r="C50" i="5"/>
  <c r="D50" i="5"/>
  <c r="E50" i="5"/>
  <c r="F50" i="5"/>
  <c r="G50" i="5"/>
  <c r="H50" i="5"/>
  <c r="I50" i="5"/>
  <c r="J50" i="5"/>
  <c r="K50" i="5"/>
  <c r="L50" i="5"/>
  <c r="M50" i="5"/>
  <c r="N50" i="5"/>
  <c r="Q50" i="5"/>
  <c r="AF50" i="5"/>
  <c r="C51" i="5"/>
  <c r="D51" i="5"/>
  <c r="E51" i="5"/>
  <c r="F51" i="5"/>
  <c r="G51" i="5"/>
  <c r="H51" i="5"/>
  <c r="I51" i="5"/>
  <c r="J51" i="5"/>
  <c r="K51" i="5"/>
  <c r="L51" i="5"/>
  <c r="M51" i="5"/>
  <c r="N51" i="5"/>
  <c r="Q51" i="5"/>
  <c r="AF51" i="5"/>
  <c r="C52" i="5"/>
  <c r="D52" i="5"/>
  <c r="E52" i="5"/>
  <c r="F52" i="5"/>
  <c r="G52" i="5"/>
  <c r="H52" i="5"/>
  <c r="I52" i="5"/>
  <c r="J52" i="5"/>
  <c r="K52" i="5"/>
  <c r="L52" i="5"/>
  <c r="M52" i="5"/>
  <c r="N52" i="5"/>
  <c r="Q52" i="5"/>
  <c r="AF52" i="5"/>
  <c r="C53" i="5"/>
  <c r="D53" i="5"/>
  <c r="E53" i="5"/>
  <c r="F53" i="5"/>
  <c r="G53" i="5"/>
  <c r="H53" i="5"/>
  <c r="I53" i="5"/>
  <c r="J53" i="5"/>
  <c r="K53" i="5"/>
  <c r="L53" i="5"/>
  <c r="M53" i="5"/>
  <c r="N53" i="5"/>
  <c r="Q53" i="5"/>
  <c r="AF53" i="5"/>
  <c r="C54" i="5"/>
  <c r="D54" i="5"/>
  <c r="E54" i="5"/>
  <c r="F54" i="5"/>
  <c r="G54" i="5"/>
  <c r="H54" i="5"/>
  <c r="I54" i="5"/>
  <c r="J54" i="5"/>
  <c r="K54" i="5"/>
  <c r="L54" i="5"/>
  <c r="M54" i="5"/>
  <c r="N54" i="5"/>
  <c r="Q54" i="5"/>
  <c r="AF54" i="5"/>
  <c r="C55" i="5"/>
  <c r="D55" i="5"/>
  <c r="E55" i="5"/>
  <c r="F55" i="5"/>
  <c r="G55" i="5"/>
  <c r="H55" i="5"/>
  <c r="I55" i="5"/>
  <c r="J55" i="5"/>
  <c r="K55" i="5"/>
  <c r="L55" i="5"/>
  <c r="M55" i="5"/>
  <c r="N55" i="5"/>
  <c r="Q55" i="5"/>
  <c r="AF55" i="5"/>
  <c r="C56" i="5"/>
  <c r="D56" i="5"/>
  <c r="E56" i="5"/>
  <c r="F56" i="5"/>
  <c r="G56" i="5"/>
  <c r="H56" i="5"/>
  <c r="I56" i="5"/>
  <c r="J56" i="5"/>
  <c r="K56" i="5"/>
  <c r="L56" i="5"/>
  <c r="M56" i="5"/>
  <c r="N56" i="5"/>
  <c r="Q56" i="5"/>
  <c r="AF56" i="5"/>
  <c r="C57" i="5"/>
  <c r="D57" i="5"/>
  <c r="E57" i="5"/>
  <c r="F57" i="5"/>
  <c r="G57" i="5"/>
  <c r="H57" i="5"/>
  <c r="I57" i="5"/>
  <c r="J57" i="5"/>
  <c r="K57" i="5"/>
  <c r="L57" i="5"/>
  <c r="M57" i="5"/>
  <c r="N57" i="5"/>
  <c r="Q57" i="5"/>
  <c r="AF57" i="5"/>
  <c r="C58" i="5"/>
  <c r="D58" i="5"/>
  <c r="E58" i="5"/>
  <c r="F58" i="5"/>
  <c r="G58" i="5"/>
  <c r="H58" i="5"/>
  <c r="I58" i="5"/>
  <c r="J58" i="5"/>
  <c r="K58" i="5"/>
  <c r="L58" i="5"/>
  <c r="M58" i="5"/>
  <c r="N58" i="5"/>
  <c r="Q58" i="5"/>
  <c r="AF58" i="5"/>
  <c r="C59" i="5"/>
  <c r="D59" i="5"/>
  <c r="E59" i="5"/>
  <c r="F59" i="5"/>
  <c r="G59" i="5"/>
  <c r="H59" i="5"/>
  <c r="I59" i="5"/>
  <c r="J59" i="5"/>
  <c r="K59" i="5"/>
  <c r="L59" i="5"/>
  <c r="M59" i="5"/>
  <c r="N59" i="5"/>
  <c r="Q59" i="5"/>
  <c r="AF59" i="5"/>
  <c r="C60" i="5"/>
  <c r="D60" i="5"/>
  <c r="E60" i="5"/>
  <c r="F60" i="5"/>
  <c r="G60" i="5"/>
  <c r="H60" i="5"/>
  <c r="I60" i="5"/>
  <c r="J60" i="5"/>
  <c r="K60" i="5"/>
  <c r="L60" i="5"/>
  <c r="M60" i="5"/>
  <c r="N60" i="5"/>
  <c r="Q60" i="5"/>
  <c r="AF60" i="5"/>
  <c r="C61" i="5"/>
  <c r="D61" i="5"/>
  <c r="E61" i="5"/>
  <c r="F61" i="5"/>
  <c r="G61" i="5"/>
  <c r="H61" i="5"/>
  <c r="I61" i="5"/>
  <c r="J61" i="5"/>
  <c r="K61" i="5"/>
  <c r="L61" i="5"/>
  <c r="M61" i="5"/>
  <c r="N61" i="5"/>
  <c r="Q61" i="5"/>
  <c r="AF61" i="5"/>
  <c r="C62" i="5"/>
  <c r="D62" i="5"/>
  <c r="E62" i="5"/>
  <c r="F62" i="5"/>
  <c r="G62" i="5"/>
  <c r="H62" i="5"/>
  <c r="I62" i="5"/>
  <c r="J62" i="5"/>
  <c r="K62" i="5"/>
  <c r="L62" i="5"/>
  <c r="M62" i="5"/>
  <c r="N62" i="5"/>
  <c r="Q62" i="5"/>
  <c r="AF62" i="5"/>
  <c r="C63" i="5"/>
  <c r="D63" i="5"/>
  <c r="E63" i="5"/>
  <c r="F63" i="5"/>
  <c r="G63" i="5"/>
  <c r="H63" i="5"/>
  <c r="I63" i="5"/>
  <c r="J63" i="5"/>
  <c r="K63" i="5"/>
  <c r="L63" i="5"/>
  <c r="M63" i="5"/>
  <c r="N63" i="5"/>
  <c r="Q63" i="5"/>
  <c r="AF63" i="5"/>
  <c r="C64" i="5"/>
  <c r="D64" i="5"/>
  <c r="E64" i="5"/>
  <c r="F64" i="5"/>
  <c r="G64" i="5"/>
  <c r="H64" i="5"/>
  <c r="I64" i="5"/>
  <c r="J64" i="5"/>
  <c r="K64" i="5"/>
  <c r="L64" i="5"/>
  <c r="M64" i="5"/>
  <c r="N64" i="5"/>
  <c r="Q64" i="5"/>
  <c r="AF64" i="5"/>
  <c r="C65" i="5"/>
  <c r="D65" i="5"/>
  <c r="E65" i="5"/>
  <c r="F65" i="5"/>
  <c r="G65" i="5"/>
  <c r="H65" i="5"/>
  <c r="I65" i="5"/>
  <c r="J65" i="5"/>
  <c r="K65" i="5"/>
  <c r="L65" i="5"/>
  <c r="M65" i="5"/>
  <c r="N65" i="5"/>
  <c r="Q65" i="5"/>
  <c r="AF65" i="5"/>
  <c r="C66" i="5"/>
  <c r="D66" i="5"/>
  <c r="E66" i="5"/>
  <c r="F66" i="5"/>
  <c r="G66" i="5"/>
  <c r="H66" i="5"/>
  <c r="I66" i="5"/>
  <c r="J66" i="5"/>
  <c r="K66" i="5"/>
  <c r="L66" i="5"/>
  <c r="M66" i="5"/>
  <c r="N66" i="5"/>
  <c r="Q66" i="5"/>
  <c r="AF66" i="5"/>
  <c r="C67" i="5"/>
  <c r="D67" i="5"/>
  <c r="E67" i="5"/>
  <c r="F67" i="5"/>
  <c r="G67" i="5"/>
  <c r="H67" i="5"/>
  <c r="I67" i="5"/>
  <c r="J67" i="5"/>
  <c r="K67" i="5"/>
  <c r="L67" i="5"/>
  <c r="M67" i="5"/>
  <c r="N67" i="5"/>
  <c r="Q67" i="5"/>
  <c r="AF67" i="5"/>
  <c r="C68" i="5"/>
  <c r="D68" i="5"/>
  <c r="E68" i="5"/>
  <c r="F68" i="5"/>
  <c r="G68" i="5"/>
  <c r="H68" i="5"/>
  <c r="I68" i="5"/>
  <c r="J68" i="5"/>
  <c r="K68" i="5"/>
  <c r="L68" i="5"/>
  <c r="M68" i="5"/>
  <c r="N68" i="5"/>
  <c r="Q68" i="5"/>
  <c r="AF68" i="5"/>
  <c r="C69" i="5"/>
  <c r="D69" i="5"/>
  <c r="E69" i="5"/>
  <c r="F69" i="5"/>
  <c r="G69" i="5"/>
  <c r="H69" i="5"/>
  <c r="I69" i="5"/>
  <c r="J69" i="5"/>
  <c r="K69" i="5"/>
  <c r="L69" i="5"/>
  <c r="M69" i="5"/>
  <c r="N69" i="5"/>
  <c r="Q69" i="5"/>
  <c r="AF69" i="5"/>
  <c r="C70" i="5"/>
  <c r="D70" i="5"/>
  <c r="E70" i="5"/>
  <c r="F70" i="5"/>
  <c r="G70" i="5"/>
  <c r="H70" i="5"/>
  <c r="I70" i="5"/>
  <c r="J70" i="5"/>
  <c r="K70" i="5"/>
  <c r="L70" i="5"/>
  <c r="M70" i="5"/>
  <c r="N70" i="5"/>
  <c r="Q70" i="5"/>
  <c r="AF70" i="5"/>
  <c r="C71" i="5"/>
  <c r="D71" i="5"/>
  <c r="E71" i="5"/>
  <c r="F71" i="5"/>
  <c r="G71" i="5"/>
  <c r="H71" i="5"/>
  <c r="I71" i="5"/>
  <c r="J71" i="5"/>
  <c r="K71" i="5"/>
  <c r="L71" i="5"/>
  <c r="M71" i="5"/>
  <c r="N71" i="5"/>
  <c r="Q71" i="5"/>
  <c r="AF71" i="5"/>
  <c r="C72" i="5"/>
  <c r="D72" i="5"/>
  <c r="E72" i="5"/>
  <c r="F72" i="5"/>
  <c r="G72" i="5"/>
  <c r="H72" i="5"/>
  <c r="I72" i="5"/>
  <c r="J72" i="5"/>
  <c r="K72" i="5"/>
  <c r="L72" i="5"/>
  <c r="M72" i="5"/>
  <c r="N72" i="5"/>
  <c r="Q72" i="5"/>
  <c r="AF72" i="5"/>
  <c r="C73" i="5"/>
  <c r="D73" i="5"/>
  <c r="E73" i="5"/>
  <c r="F73" i="5"/>
  <c r="G73" i="5"/>
  <c r="H73" i="5"/>
  <c r="I73" i="5"/>
  <c r="J73" i="5"/>
  <c r="K73" i="5"/>
  <c r="L73" i="5"/>
  <c r="M73" i="5"/>
  <c r="N73" i="5"/>
  <c r="Q73" i="5"/>
  <c r="AF73" i="5"/>
  <c r="C74" i="5"/>
  <c r="D74" i="5"/>
  <c r="E74" i="5"/>
  <c r="F74" i="5"/>
  <c r="G74" i="5"/>
  <c r="H74" i="5"/>
  <c r="I74" i="5"/>
  <c r="J74" i="5"/>
  <c r="K74" i="5"/>
  <c r="L74" i="5"/>
  <c r="M74" i="5"/>
  <c r="N74" i="5"/>
  <c r="Q74" i="5"/>
  <c r="AF74" i="5"/>
  <c r="C75" i="5"/>
  <c r="D75" i="5"/>
  <c r="E75" i="5"/>
  <c r="F75" i="5"/>
  <c r="G75" i="5"/>
  <c r="H75" i="5"/>
  <c r="I75" i="5"/>
  <c r="J75" i="5"/>
  <c r="K75" i="5"/>
  <c r="L75" i="5"/>
  <c r="M75" i="5"/>
  <c r="N75" i="5"/>
  <c r="Q75" i="5"/>
  <c r="AF75" i="5"/>
  <c r="C76" i="5"/>
  <c r="D76" i="5"/>
  <c r="E76" i="5"/>
  <c r="F76" i="5"/>
  <c r="G76" i="5"/>
  <c r="H76" i="5"/>
  <c r="I76" i="5"/>
  <c r="J76" i="5"/>
  <c r="K76" i="5"/>
  <c r="L76" i="5"/>
  <c r="M76" i="5"/>
  <c r="N76" i="5"/>
  <c r="Q76" i="5"/>
  <c r="AF76" i="5"/>
  <c r="C77" i="5"/>
  <c r="D77" i="5"/>
  <c r="E77" i="5"/>
  <c r="F77" i="5"/>
  <c r="G77" i="5"/>
  <c r="H77" i="5"/>
  <c r="I77" i="5"/>
  <c r="J77" i="5"/>
  <c r="K77" i="5"/>
  <c r="L77" i="5"/>
  <c r="M77" i="5"/>
  <c r="N77" i="5"/>
  <c r="Q77" i="5"/>
  <c r="AF77" i="5"/>
  <c r="C78" i="5"/>
  <c r="D78" i="5"/>
  <c r="E78" i="5"/>
  <c r="F78" i="5"/>
  <c r="G78" i="5"/>
  <c r="H78" i="5"/>
  <c r="I78" i="5"/>
  <c r="J78" i="5"/>
  <c r="K78" i="5"/>
  <c r="L78" i="5"/>
  <c r="M78" i="5"/>
  <c r="N78" i="5"/>
  <c r="Q78" i="5"/>
  <c r="AF78" i="5"/>
  <c r="C79" i="5"/>
  <c r="D79" i="5"/>
  <c r="E79" i="5"/>
  <c r="F79" i="5"/>
  <c r="G79" i="5"/>
  <c r="H79" i="5"/>
  <c r="I79" i="5"/>
  <c r="J79" i="5"/>
  <c r="K79" i="5"/>
  <c r="L79" i="5"/>
  <c r="M79" i="5"/>
  <c r="N79" i="5"/>
  <c r="Q79" i="5"/>
  <c r="AF79" i="5"/>
  <c r="C80" i="5"/>
  <c r="D80" i="5"/>
  <c r="E80" i="5"/>
  <c r="F80" i="5"/>
  <c r="G80" i="5"/>
  <c r="H80" i="5"/>
  <c r="I80" i="5"/>
  <c r="J80" i="5"/>
  <c r="K80" i="5"/>
  <c r="L80" i="5"/>
  <c r="M80" i="5"/>
  <c r="N80" i="5"/>
  <c r="Q80" i="5"/>
  <c r="AF80" i="5"/>
  <c r="C81" i="5"/>
  <c r="D81" i="5"/>
  <c r="E81" i="5"/>
  <c r="F81" i="5"/>
  <c r="G81" i="5"/>
  <c r="H81" i="5"/>
  <c r="I81" i="5"/>
  <c r="J81" i="5"/>
  <c r="K81" i="5"/>
  <c r="L81" i="5"/>
  <c r="M81" i="5"/>
  <c r="N81" i="5"/>
  <c r="Q81" i="5"/>
  <c r="AF81" i="5"/>
  <c r="C82" i="5"/>
  <c r="D82" i="5"/>
  <c r="E82" i="5"/>
  <c r="F82" i="5"/>
  <c r="G82" i="5"/>
  <c r="H82" i="5"/>
  <c r="I82" i="5"/>
  <c r="J82" i="5"/>
  <c r="K82" i="5"/>
  <c r="L82" i="5"/>
  <c r="M82" i="5"/>
  <c r="N82" i="5"/>
  <c r="Q82" i="5"/>
  <c r="AF82" i="5"/>
  <c r="C83" i="5"/>
  <c r="D83" i="5"/>
  <c r="E83" i="5"/>
  <c r="F83" i="5"/>
  <c r="G83" i="5"/>
  <c r="H83" i="5"/>
  <c r="I83" i="5"/>
  <c r="J83" i="5"/>
  <c r="K83" i="5"/>
  <c r="L83" i="5"/>
  <c r="M83" i="5"/>
  <c r="N83" i="5"/>
  <c r="Q83" i="5"/>
  <c r="AF83" i="5"/>
  <c r="C84" i="5"/>
  <c r="D84" i="5"/>
  <c r="E84" i="5"/>
  <c r="F84" i="5"/>
  <c r="G84" i="5"/>
  <c r="H84" i="5"/>
  <c r="I84" i="5"/>
  <c r="J84" i="5"/>
  <c r="K84" i="5"/>
  <c r="L84" i="5"/>
  <c r="M84" i="5"/>
  <c r="N84" i="5"/>
  <c r="Q84" i="5"/>
  <c r="AF84" i="5"/>
  <c r="C85" i="5"/>
  <c r="D85" i="5"/>
  <c r="E85" i="5"/>
  <c r="F85" i="5"/>
  <c r="G85" i="5"/>
  <c r="H85" i="5"/>
  <c r="I85" i="5"/>
  <c r="J85" i="5"/>
  <c r="K85" i="5"/>
  <c r="L85" i="5"/>
  <c r="M85" i="5"/>
  <c r="N85" i="5"/>
  <c r="Q85" i="5"/>
  <c r="AF85" i="5"/>
  <c r="C86" i="5"/>
  <c r="D86" i="5"/>
  <c r="E86" i="5"/>
  <c r="F86" i="5"/>
  <c r="G86" i="5"/>
  <c r="H86" i="5"/>
  <c r="I86" i="5"/>
  <c r="J86" i="5"/>
  <c r="K86" i="5"/>
  <c r="L86" i="5"/>
  <c r="M86" i="5"/>
  <c r="N86" i="5"/>
  <c r="Q86" i="5"/>
  <c r="AF86" i="5"/>
  <c r="C87" i="5"/>
  <c r="D87" i="5"/>
  <c r="E87" i="5"/>
  <c r="F87" i="5"/>
  <c r="G87" i="5"/>
  <c r="H87" i="5"/>
  <c r="I87" i="5"/>
  <c r="J87" i="5"/>
  <c r="K87" i="5"/>
  <c r="L87" i="5"/>
  <c r="M87" i="5"/>
  <c r="N87" i="5"/>
  <c r="Q87" i="5"/>
  <c r="AF87" i="5"/>
  <c r="C88" i="5"/>
  <c r="D88" i="5"/>
  <c r="E88" i="5"/>
  <c r="F88" i="5"/>
  <c r="G88" i="5"/>
  <c r="H88" i="5"/>
  <c r="I88" i="5"/>
  <c r="J88" i="5"/>
  <c r="K88" i="5"/>
  <c r="L88" i="5"/>
  <c r="M88" i="5"/>
  <c r="N88" i="5"/>
  <c r="Q88" i="5"/>
  <c r="AF88" i="5"/>
  <c r="C89" i="5"/>
  <c r="D89" i="5"/>
  <c r="E89" i="5"/>
  <c r="F89" i="5"/>
  <c r="G89" i="5"/>
  <c r="H89" i="5"/>
  <c r="I89" i="5"/>
  <c r="J89" i="5"/>
  <c r="K89" i="5"/>
  <c r="L89" i="5"/>
  <c r="M89" i="5"/>
  <c r="N89" i="5"/>
  <c r="Q89" i="5"/>
  <c r="AF89" i="5"/>
  <c r="C90" i="5"/>
  <c r="D90" i="5"/>
  <c r="E90" i="5"/>
  <c r="F90" i="5"/>
  <c r="G90" i="5"/>
  <c r="H90" i="5"/>
  <c r="I90" i="5"/>
  <c r="J90" i="5"/>
  <c r="K90" i="5"/>
  <c r="L90" i="5"/>
  <c r="M90" i="5"/>
  <c r="N90" i="5"/>
  <c r="Q90" i="5"/>
  <c r="AF90" i="5"/>
  <c r="C91" i="5"/>
  <c r="D91" i="5"/>
  <c r="E91" i="5"/>
  <c r="F91" i="5"/>
  <c r="G91" i="5"/>
  <c r="H91" i="5"/>
  <c r="I91" i="5"/>
  <c r="J91" i="5"/>
  <c r="K91" i="5"/>
  <c r="L91" i="5"/>
  <c r="M91" i="5"/>
  <c r="N91" i="5"/>
  <c r="Q91" i="5"/>
  <c r="AF91" i="5"/>
  <c r="C92" i="5"/>
  <c r="D92" i="5"/>
  <c r="E92" i="5"/>
  <c r="F92" i="5"/>
  <c r="G92" i="5"/>
  <c r="H92" i="5"/>
  <c r="I92" i="5"/>
  <c r="J92" i="5"/>
  <c r="K92" i="5"/>
  <c r="L92" i="5"/>
  <c r="M92" i="5"/>
  <c r="N92" i="5"/>
  <c r="Q92" i="5"/>
  <c r="AF92" i="5"/>
  <c r="C93" i="5"/>
  <c r="D93" i="5"/>
  <c r="E93" i="5"/>
  <c r="F93" i="5"/>
  <c r="G93" i="5"/>
  <c r="H93" i="5"/>
  <c r="I93" i="5"/>
  <c r="J93" i="5"/>
  <c r="K93" i="5"/>
  <c r="L93" i="5"/>
  <c r="M93" i="5"/>
  <c r="N93" i="5"/>
  <c r="Q93" i="5"/>
  <c r="AF93" i="5"/>
  <c r="C94" i="5"/>
  <c r="D94" i="5"/>
  <c r="E94" i="5"/>
  <c r="F94" i="5"/>
  <c r="G94" i="5"/>
  <c r="H94" i="5"/>
  <c r="I94" i="5"/>
  <c r="J94" i="5"/>
  <c r="K94" i="5"/>
  <c r="L94" i="5"/>
  <c r="M94" i="5"/>
  <c r="N94" i="5"/>
  <c r="Q94" i="5"/>
  <c r="AF94" i="5"/>
  <c r="C95" i="5"/>
  <c r="D95" i="5"/>
  <c r="E95" i="5"/>
  <c r="F95" i="5"/>
  <c r="G95" i="5"/>
  <c r="H95" i="5"/>
  <c r="I95" i="5"/>
  <c r="J95" i="5"/>
  <c r="K95" i="5"/>
  <c r="L95" i="5"/>
  <c r="M95" i="5"/>
  <c r="N95" i="5"/>
  <c r="Q95" i="5"/>
  <c r="AF95" i="5"/>
  <c r="C96" i="5"/>
  <c r="D96" i="5"/>
  <c r="E96" i="5"/>
  <c r="F96" i="5"/>
  <c r="G96" i="5"/>
  <c r="H96" i="5"/>
  <c r="I96" i="5"/>
  <c r="J96" i="5"/>
  <c r="K96" i="5"/>
  <c r="L96" i="5"/>
  <c r="M96" i="5"/>
  <c r="N96" i="5"/>
  <c r="Q96" i="5"/>
  <c r="AF96" i="5"/>
  <c r="C97" i="5"/>
  <c r="D97" i="5"/>
  <c r="E97" i="5"/>
  <c r="F97" i="5"/>
  <c r="G97" i="5"/>
  <c r="H97" i="5"/>
  <c r="I97" i="5"/>
  <c r="J97" i="5"/>
  <c r="K97" i="5"/>
  <c r="L97" i="5"/>
  <c r="M97" i="5"/>
  <c r="N97" i="5"/>
  <c r="Q97" i="5"/>
  <c r="AF97" i="5"/>
  <c r="C98" i="5"/>
  <c r="D98" i="5"/>
  <c r="E98" i="5"/>
  <c r="F98" i="5"/>
  <c r="G98" i="5"/>
  <c r="H98" i="5"/>
  <c r="I98" i="5"/>
  <c r="J98" i="5"/>
  <c r="K98" i="5"/>
  <c r="L98" i="5"/>
  <c r="M98" i="5"/>
  <c r="N98" i="5"/>
  <c r="Q98" i="5"/>
  <c r="AF98" i="5"/>
  <c r="C99" i="5"/>
  <c r="D99" i="5"/>
  <c r="E99" i="5"/>
  <c r="F99" i="5"/>
  <c r="G99" i="5"/>
  <c r="H99" i="5"/>
  <c r="I99" i="5"/>
  <c r="J99" i="5"/>
  <c r="K99" i="5"/>
  <c r="L99" i="5"/>
  <c r="M99" i="5"/>
  <c r="N99" i="5"/>
  <c r="Q99" i="5"/>
  <c r="AF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Q100" i="5"/>
  <c r="AF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Q101" i="5"/>
  <c r="AF101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Q102" i="5"/>
  <c r="AF102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Q103" i="5"/>
  <c r="AF103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Q104" i="5"/>
  <c r="AF104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Q105" i="5"/>
  <c r="AF105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Q106" i="5"/>
  <c r="AF106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Q107" i="5"/>
  <c r="AF107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Q108" i="5"/>
  <c r="AF108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Q109" i="5"/>
  <c r="AF109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Q110" i="5"/>
  <c r="AF110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Q111" i="5"/>
  <c r="AF111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Q112" i="5"/>
  <c r="AF112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Q113" i="5"/>
  <c r="AF113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Q114" i="5"/>
  <c r="AF114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Q115" i="5"/>
  <c r="AF115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Q116" i="5"/>
  <c r="AF116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Q117" i="5"/>
  <c r="AF117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Q118" i="5"/>
  <c r="AF118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Q119" i="5"/>
  <c r="AF119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Q120" i="5"/>
  <c r="AF120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Q121" i="5"/>
  <c r="AF121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Q122" i="5"/>
  <c r="AF122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Q123" i="5"/>
  <c r="AF123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Q124" i="5"/>
  <c r="AF124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Q125" i="5"/>
  <c r="AF125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Q126" i="5"/>
  <c r="AF126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Q127" i="5"/>
  <c r="AF127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Q128" i="5"/>
  <c r="AF128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Q129" i="5"/>
  <c r="AF129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Q130" i="5"/>
  <c r="AF130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Q131" i="5"/>
  <c r="AF131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Q132" i="5"/>
  <c r="AF132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Q133" i="5"/>
  <c r="AF133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Q134" i="5"/>
  <c r="AF134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Q135" i="5"/>
  <c r="AF135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Q136" i="5"/>
  <c r="AF136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Q137" i="5"/>
  <c r="AF137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Q138" i="5"/>
  <c r="AF138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Q139" i="5"/>
  <c r="AF139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Q140" i="5"/>
  <c r="AF140" i="5"/>
  <c r="Q140" i="9"/>
  <c r="P5" i="5"/>
  <c r="AE5" i="5"/>
  <c r="P6" i="5"/>
  <c r="AE6" i="5"/>
  <c r="P7" i="5"/>
  <c r="AE7" i="5"/>
  <c r="P8" i="5"/>
  <c r="AE8" i="5"/>
  <c r="P9" i="5"/>
  <c r="AE9" i="5"/>
  <c r="P10" i="5"/>
  <c r="AE10" i="5"/>
  <c r="P11" i="5"/>
  <c r="AE11" i="5"/>
  <c r="P12" i="5"/>
  <c r="AE12" i="5"/>
  <c r="P13" i="5"/>
  <c r="AE13" i="5"/>
  <c r="P14" i="5"/>
  <c r="AE14" i="5"/>
  <c r="P15" i="5"/>
  <c r="AE15" i="5"/>
  <c r="P16" i="5"/>
  <c r="AE16" i="5"/>
  <c r="P17" i="5"/>
  <c r="AE17" i="5"/>
  <c r="P18" i="5"/>
  <c r="AE18" i="5"/>
  <c r="P19" i="5"/>
  <c r="AE19" i="5"/>
  <c r="P20" i="5"/>
  <c r="AE20" i="5"/>
  <c r="P21" i="5"/>
  <c r="AE21" i="5"/>
  <c r="P22" i="5"/>
  <c r="AE22" i="5"/>
  <c r="P23" i="5"/>
  <c r="AE23" i="5"/>
  <c r="P24" i="5"/>
  <c r="AE24" i="5"/>
  <c r="P25" i="5"/>
  <c r="AE25" i="5"/>
  <c r="P26" i="5"/>
  <c r="AE26" i="5"/>
  <c r="P27" i="5"/>
  <c r="AE27" i="5"/>
  <c r="P28" i="5"/>
  <c r="AE28" i="5"/>
  <c r="P29" i="5"/>
  <c r="AE29" i="5"/>
  <c r="P30" i="5"/>
  <c r="AE30" i="5"/>
  <c r="P31" i="5"/>
  <c r="AE31" i="5"/>
  <c r="P32" i="5"/>
  <c r="AE32" i="5"/>
  <c r="P33" i="5"/>
  <c r="AE33" i="5"/>
  <c r="P34" i="5"/>
  <c r="AE34" i="5"/>
  <c r="P35" i="5"/>
  <c r="AE35" i="5"/>
  <c r="P36" i="5"/>
  <c r="AE36" i="5"/>
  <c r="P37" i="5"/>
  <c r="AE37" i="5"/>
  <c r="P38" i="5"/>
  <c r="AE38" i="5"/>
  <c r="P39" i="5"/>
  <c r="AE39" i="5"/>
  <c r="P40" i="5"/>
  <c r="AE40" i="5"/>
  <c r="P41" i="5"/>
  <c r="AE41" i="5"/>
  <c r="P42" i="5"/>
  <c r="AE42" i="5"/>
  <c r="P43" i="5"/>
  <c r="AE43" i="5"/>
  <c r="P44" i="5"/>
  <c r="AE44" i="5"/>
  <c r="P45" i="5"/>
  <c r="AE45" i="5"/>
  <c r="P46" i="5"/>
  <c r="AE46" i="5"/>
  <c r="P47" i="5"/>
  <c r="AE47" i="5"/>
  <c r="P48" i="5"/>
  <c r="AE48" i="5"/>
  <c r="P49" i="5"/>
  <c r="AE49" i="5"/>
  <c r="P50" i="5"/>
  <c r="AE50" i="5"/>
  <c r="P51" i="5"/>
  <c r="AE51" i="5"/>
  <c r="P52" i="5"/>
  <c r="AE52" i="5"/>
  <c r="P53" i="5"/>
  <c r="AE53" i="5"/>
  <c r="P54" i="5"/>
  <c r="AE54" i="5"/>
  <c r="P55" i="5"/>
  <c r="AE55" i="5"/>
  <c r="P56" i="5"/>
  <c r="AE56" i="5"/>
  <c r="P57" i="5"/>
  <c r="AE57" i="5"/>
  <c r="P58" i="5"/>
  <c r="AE58" i="5"/>
  <c r="P59" i="5"/>
  <c r="AE59" i="5"/>
  <c r="P60" i="5"/>
  <c r="AE60" i="5"/>
  <c r="P61" i="5"/>
  <c r="AE61" i="5"/>
  <c r="P62" i="5"/>
  <c r="AE62" i="5"/>
  <c r="P63" i="5"/>
  <c r="AE63" i="5"/>
  <c r="P64" i="5"/>
  <c r="AE64" i="5"/>
  <c r="P65" i="5"/>
  <c r="AE65" i="5"/>
  <c r="P66" i="5"/>
  <c r="AE66" i="5"/>
  <c r="P67" i="5"/>
  <c r="AE67" i="5"/>
  <c r="P68" i="5"/>
  <c r="AE68" i="5"/>
  <c r="P69" i="5"/>
  <c r="AE69" i="5"/>
  <c r="P70" i="5"/>
  <c r="AE70" i="5"/>
  <c r="P71" i="5"/>
  <c r="AE71" i="5"/>
  <c r="P72" i="5"/>
  <c r="AE72" i="5"/>
  <c r="P73" i="5"/>
  <c r="AE73" i="5"/>
  <c r="P74" i="5"/>
  <c r="AE74" i="5"/>
  <c r="P75" i="5"/>
  <c r="AE75" i="5"/>
  <c r="P76" i="5"/>
  <c r="AE76" i="5"/>
  <c r="P77" i="5"/>
  <c r="AE77" i="5"/>
  <c r="P78" i="5"/>
  <c r="AE78" i="5"/>
  <c r="P79" i="5"/>
  <c r="AE79" i="5"/>
  <c r="P80" i="5"/>
  <c r="AE80" i="5"/>
  <c r="P81" i="5"/>
  <c r="AE81" i="5"/>
  <c r="P82" i="5"/>
  <c r="AE82" i="5"/>
  <c r="P83" i="5"/>
  <c r="AE83" i="5"/>
  <c r="P84" i="5"/>
  <c r="AE84" i="5"/>
  <c r="P85" i="5"/>
  <c r="AE85" i="5"/>
  <c r="P86" i="5"/>
  <c r="AE86" i="5"/>
  <c r="P87" i="5"/>
  <c r="AE87" i="5"/>
  <c r="P88" i="5"/>
  <c r="AE88" i="5"/>
  <c r="P89" i="5"/>
  <c r="AE89" i="5"/>
  <c r="P90" i="5"/>
  <c r="AE90" i="5"/>
  <c r="P91" i="5"/>
  <c r="AE91" i="5"/>
  <c r="P92" i="5"/>
  <c r="AE92" i="5"/>
  <c r="P93" i="5"/>
  <c r="AE93" i="5"/>
  <c r="P94" i="5"/>
  <c r="AE94" i="5"/>
  <c r="P95" i="5"/>
  <c r="AE95" i="5"/>
  <c r="P96" i="5"/>
  <c r="AE96" i="5"/>
  <c r="P97" i="5"/>
  <c r="AE97" i="5"/>
  <c r="P98" i="5"/>
  <c r="AE98" i="5"/>
  <c r="P99" i="5"/>
  <c r="AE99" i="5"/>
  <c r="P100" i="5"/>
  <c r="AE100" i="5"/>
  <c r="P101" i="5"/>
  <c r="AE101" i="5"/>
  <c r="P102" i="5"/>
  <c r="AE102" i="5"/>
  <c r="P103" i="5"/>
  <c r="AE103" i="5"/>
  <c r="P104" i="5"/>
  <c r="AE104" i="5"/>
  <c r="P105" i="5"/>
  <c r="AE105" i="5"/>
  <c r="P106" i="5"/>
  <c r="AE106" i="5"/>
  <c r="P107" i="5"/>
  <c r="AE107" i="5"/>
  <c r="P108" i="5"/>
  <c r="AE108" i="5"/>
  <c r="P109" i="5"/>
  <c r="AE109" i="5"/>
  <c r="P110" i="5"/>
  <c r="AE110" i="5"/>
  <c r="P111" i="5"/>
  <c r="AE111" i="5"/>
  <c r="P112" i="5"/>
  <c r="AE112" i="5"/>
  <c r="P113" i="5"/>
  <c r="AE113" i="5"/>
  <c r="P114" i="5"/>
  <c r="AE114" i="5"/>
  <c r="P115" i="5"/>
  <c r="AE115" i="5"/>
  <c r="P116" i="5"/>
  <c r="AE116" i="5"/>
  <c r="P117" i="5"/>
  <c r="AE117" i="5"/>
  <c r="P118" i="5"/>
  <c r="AE118" i="5"/>
  <c r="P119" i="5"/>
  <c r="AE119" i="5"/>
  <c r="P120" i="5"/>
  <c r="AE120" i="5"/>
  <c r="P121" i="5"/>
  <c r="AE121" i="5"/>
  <c r="P122" i="5"/>
  <c r="AE122" i="5"/>
  <c r="P123" i="5"/>
  <c r="AE123" i="5"/>
  <c r="P124" i="5"/>
  <c r="AE124" i="5"/>
  <c r="P125" i="5"/>
  <c r="AE125" i="5"/>
  <c r="P126" i="5"/>
  <c r="AE126" i="5"/>
  <c r="P127" i="5"/>
  <c r="AE127" i="5"/>
  <c r="P128" i="5"/>
  <c r="AE128" i="5"/>
  <c r="P129" i="5"/>
  <c r="AE129" i="5"/>
  <c r="P130" i="5"/>
  <c r="AE130" i="5"/>
  <c r="P131" i="5"/>
  <c r="AE131" i="5"/>
  <c r="P132" i="5"/>
  <c r="AE132" i="5"/>
  <c r="P133" i="5"/>
  <c r="AE133" i="5"/>
  <c r="P134" i="5"/>
  <c r="AE134" i="5"/>
  <c r="P135" i="5"/>
  <c r="AE135" i="5"/>
  <c r="P136" i="5"/>
  <c r="AE136" i="5"/>
  <c r="P137" i="5"/>
  <c r="AE137" i="5"/>
  <c r="P138" i="5"/>
  <c r="AE138" i="5"/>
  <c r="P139" i="5"/>
  <c r="AE139" i="5"/>
  <c r="P140" i="5"/>
  <c r="AE140" i="5"/>
  <c r="P140" i="9"/>
  <c r="O5" i="5"/>
  <c r="AD5" i="5"/>
  <c r="O6" i="5"/>
  <c r="AD6" i="5"/>
  <c r="O7" i="5"/>
  <c r="AD7" i="5"/>
  <c r="O8" i="5"/>
  <c r="AD8" i="5"/>
  <c r="O9" i="5"/>
  <c r="AD9" i="5"/>
  <c r="O10" i="5"/>
  <c r="AD10" i="5"/>
  <c r="O11" i="5"/>
  <c r="AD11" i="5"/>
  <c r="O12" i="5"/>
  <c r="AD12" i="5"/>
  <c r="O13" i="5"/>
  <c r="AD13" i="5"/>
  <c r="O14" i="5"/>
  <c r="AD14" i="5"/>
  <c r="O15" i="5"/>
  <c r="AD15" i="5"/>
  <c r="O16" i="5"/>
  <c r="AD16" i="5"/>
  <c r="O17" i="5"/>
  <c r="AD17" i="5"/>
  <c r="O18" i="5"/>
  <c r="AD18" i="5"/>
  <c r="O19" i="5"/>
  <c r="AD19" i="5"/>
  <c r="O20" i="5"/>
  <c r="AD20" i="5"/>
  <c r="O21" i="5"/>
  <c r="AD21" i="5"/>
  <c r="O22" i="5"/>
  <c r="AD22" i="5"/>
  <c r="O23" i="5"/>
  <c r="AD23" i="5"/>
  <c r="O24" i="5"/>
  <c r="AD24" i="5"/>
  <c r="O25" i="5"/>
  <c r="AD25" i="5"/>
  <c r="O26" i="5"/>
  <c r="AD26" i="5"/>
  <c r="O27" i="5"/>
  <c r="AD27" i="5"/>
  <c r="O28" i="5"/>
  <c r="AD28" i="5"/>
  <c r="O29" i="5"/>
  <c r="AD29" i="5"/>
  <c r="O30" i="5"/>
  <c r="AD30" i="5"/>
  <c r="O31" i="5"/>
  <c r="AD31" i="5"/>
  <c r="O32" i="5"/>
  <c r="AD32" i="5"/>
  <c r="O33" i="5"/>
  <c r="AD33" i="5"/>
  <c r="O34" i="5"/>
  <c r="AD34" i="5"/>
  <c r="O35" i="5"/>
  <c r="AD35" i="5"/>
  <c r="O36" i="5"/>
  <c r="AD36" i="5"/>
  <c r="O37" i="5"/>
  <c r="AD37" i="5"/>
  <c r="O38" i="5"/>
  <c r="AD38" i="5"/>
  <c r="O39" i="5"/>
  <c r="AD39" i="5"/>
  <c r="O40" i="5"/>
  <c r="AD40" i="5"/>
  <c r="O41" i="5"/>
  <c r="AD41" i="5"/>
  <c r="O42" i="5"/>
  <c r="AD42" i="5"/>
  <c r="O43" i="5"/>
  <c r="AD43" i="5"/>
  <c r="O44" i="5"/>
  <c r="AD44" i="5"/>
  <c r="O45" i="5"/>
  <c r="AD45" i="5"/>
  <c r="O46" i="5"/>
  <c r="AD46" i="5"/>
  <c r="O47" i="5"/>
  <c r="AD47" i="5"/>
  <c r="O48" i="5"/>
  <c r="AD48" i="5"/>
  <c r="O49" i="5"/>
  <c r="AD49" i="5"/>
  <c r="O50" i="5"/>
  <c r="AD50" i="5"/>
  <c r="O51" i="5"/>
  <c r="AD51" i="5"/>
  <c r="O52" i="5"/>
  <c r="AD52" i="5"/>
  <c r="O53" i="5"/>
  <c r="AD53" i="5"/>
  <c r="O54" i="5"/>
  <c r="AD54" i="5"/>
  <c r="O55" i="5"/>
  <c r="AD55" i="5"/>
  <c r="O56" i="5"/>
  <c r="AD56" i="5"/>
  <c r="O57" i="5"/>
  <c r="AD57" i="5"/>
  <c r="O58" i="5"/>
  <c r="AD58" i="5"/>
  <c r="O59" i="5"/>
  <c r="AD59" i="5"/>
  <c r="O60" i="5"/>
  <c r="AD60" i="5"/>
  <c r="O61" i="5"/>
  <c r="AD61" i="5"/>
  <c r="O62" i="5"/>
  <c r="AD62" i="5"/>
  <c r="O63" i="5"/>
  <c r="AD63" i="5"/>
  <c r="O64" i="5"/>
  <c r="AD64" i="5"/>
  <c r="O65" i="5"/>
  <c r="AD65" i="5"/>
  <c r="O66" i="5"/>
  <c r="AD66" i="5"/>
  <c r="O67" i="5"/>
  <c r="AD67" i="5"/>
  <c r="O68" i="5"/>
  <c r="AD68" i="5"/>
  <c r="O69" i="5"/>
  <c r="AD69" i="5"/>
  <c r="O70" i="5"/>
  <c r="AD70" i="5"/>
  <c r="O71" i="5"/>
  <c r="AD71" i="5"/>
  <c r="O72" i="5"/>
  <c r="AD72" i="5"/>
  <c r="O73" i="5"/>
  <c r="AD73" i="5"/>
  <c r="O74" i="5"/>
  <c r="AD74" i="5"/>
  <c r="O75" i="5"/>
  <c r="AD75" i="5"/>
  <c r="O76" i="5"/>
  <c r="AD76" i="5"/>
  <c r="O77" i="5"/>
  <c r="AD77" i="5"/>
  <c r="O78" i="5"/>
  <c r="AD78" i="5"/>
  <c r="O79" i="5"/>
  <c r="AD79" i="5"/>
  <c r="O80" i="5"/>
  <c r="AD80" i="5"/>
  <c r="O81" i="5"/>
  <c r="AD81" i="5"/>
  <c r="O82" i="5"/>
  <c r="AD82" i="5"/>
  <c r="O83" i="5"/>
  <c r="AD83" i="5"/>
  <c r="O84" i="5"/>
  <c r="AD84" i="5"/>
  <c r="O85" i="5"/>
  <c r="AD85" i="5"/>
  <c r="O86" i="5"/>
  <c r="AD86" i="5"/>
  <c r="O87" i="5"/>
  <c r="AD87" i="5"/>
  <c r="O88" i="5"/>
  <c r="AD88" i="5"/>
  <c r="O89" i="5"/>
  <c r="AD89" i="5"/>
  <c r="O90" i="5"/>
  <c r="AD90" i="5"/>
  <c r="O91" i="5"/>
  <c r="AD91" i="5"/>
  <c r="O92" i="5"/>
  <c r="AD92" i="5"/>
  <c r="O93" i="5"/>
  <c r="AD93" i="5"/>
  <c r="O94" i="5"/>
  <c r="AD94" i="5"/>
  <c r="O95" i="5"/>
  <c r="AD95" i="5"/>
  <c r="O96" i="5"/>
  <c r="AD96" i="5"/>
  <c r="O97" i="5"/>
  <c r="AD97" i="5"/>
  <c r="O98" i="5"/>
  <c r="AD98" i="5"/>
  <c r="O99" i="5"/>
  <c r="AD99" i="5"/>
  <c r="O100" i="5"/>
  <c r="AD100" i="5"/>
  <c r="O101" i="5"/>
  <c r="AD101" i="5"/>
  <c r="O102" i="5"/>
  <c r="AD102" i="5"/>
  <c r="O103" i="5"/>
  <c r="AD103" i="5"/>
  <c r="O104" i="5"/>
  <c r="AD104" i="5"/>
  <c r="O105" i="5"/>
  <c r="AD105" i="5"/>
  <c r="O106" i="5"/>
  <c r="AD106" i="5"/>
  <c r="O107" i="5"/>
  <c r="AD107" i="5"/>
  <c r="O108" i="5"/>
  <c r="AD108" i="5"/>
  <c r="O109" i="5"/>
  <c r="AD109" i="5"/>
  <c r="O110" i="5"/>
  <c r="AD110" i="5"/>
  <c r="O111" i="5"/>
  <c r="AD111" i="5"/>
  <c r="O112" i="5"/>
  <c r="AD112" i="5"/>
  <c r="O113" i="5"/>
  <c r="AD113" i="5"/>
  <c r="O114" i="5"/>
  <c r="AD114" i="5"/>
  <c r="O115" i="5"/>
  <c r="AD115" i="5"/>
  <c r="O116" i="5"/>
  <c r="AD116" i="5"/>
  <c r="O117" i="5"/>
  <c r="AD117" i="5"/>
  <c r="O118" i="5"/>
  <c r="AD118" i="5"/>
  <c r="O119" i="5"/>
  <c r="AD119" i="5"/>
  <c r="O120" i="5"/>
  <c r="AD120" i="5"/>
  <c r="O121" i="5"/>
  <c r="AD121" i="5"/>
  <c r="O122" i="5"/>
  <c r="AD122" i="5"/>
  <c r="O123" i="5"/>
  <c r="AD123" i="5"/>
  <c r="O124" i="5"/>
  <c r="AD124" i="5"/>
  <c r="O125" i="5"/>
  <c r="AD125" i="5"/>
  <c r="O126" i="5"/>
  <c r="AD126" i="5"/>
  <c r="O127" i="5"/>
  <c r="AD127" i="5"/>
  <c r="O128" i="5"/>
  <c r="AD128" i="5"/>
  <c r="O129" i="5"/>
  <c r="AD129" i="5"/>
  <c r="O130" i="5"/>
  <c r="AD130" i="5"/>
  <c r="O131" i="5"/>
  <c r="AD131" i="5"/>
  <c r="O132" i="5"/>
  <c r="AD132" i="5"/>
  <c r="O133" i="5"/>
  <c r="AD133" i="5"/>
  <c r="O134" i="5"/>
  <c r="AD134" i="5"/>
  <c r="O135" i="5"/>
  <c r="AD135" i="5"/>
  <c r="O136" i="5"/>
  <c r="AD136" i="5"/>
  <c r="O137" i="5"/>
  <c r="AD137" i="5"/>
  <c r="O138" i="5"/>
  <c r="AD138" i="5"/>
  <c r="O139" i="5"/>
  <c r="AD139" i="5"/>
  <c r="O140" i="5"/>
  <c r="AD140" i="5"/>
  <c r="O140" i="9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N140" i="9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M140" i="9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L140" i="9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K140" i="9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J140" i="9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I140" i="9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H140" i="9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G140" i="9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F140" i="9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E140" i="9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D140" i="9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C140" i="9"/>
  <c r="B140" i="5"/>
  <c r="B140" i="9"/>
  <c r="A140" i="9"/>
  <c r="AG139" i="5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5"/>
  <c r="B139" i="9"/>
  <c r="A139" i="9"/>
  <c r="AG138" i="5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5"/>
  <c r="B138" i="9"/>
  <c r="A138" i="9"/>
  <c r="AG137" i="5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5"/>
  <c r="B137" i="9"/>
  <c r="A137" i="9"/>
  <c r="AG136" i="5"/>
  <c r="R136" i="9"/>
  <c r="Q136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B136" i="5"/>
  <c r="B136" i="9"/>
  <c r="A136" i="9"/>
  <c r="AG135" i="5"/>
  <c r="R135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B135" i="5"/>
  <c r="B135" i="9"/>
  <c r="A135" i="9"/>
  <c r="AG134" i="5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B134" i="5"/>
  <c r="B134" i="9"/>
  <c r="A134" i="9"/>
  <c r="AG133" i="5"/>
  <c r="R133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B133" i="5"/>
  <c r="B133" i="9"/>
  <c r="A133" i="9"/>
  <c r="AG132" i="5"/>
  <c r="R132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B132" i="5"/>
  <c r="B132" i="9"/>
  <c r="A132" i="9"/>
  <c r="AG131" i="5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5"/>
  <c r="B131" i="9"/>
  <c r="A131" i="9"/>
  <c r="AG130" i="5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5"/>
  <c r="B130" i="9"/>
  <c r="A130" i="9"/>
  <c r="AG129" i="5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5"/>
  <c r="B129" i="9"/>
  <c r="A129" i="9"/>
  <c r="AG128" i="5"/>
  <c r="R128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B128" i="5"/>
  <c r="B128" i="9"/>
  <c r="A128" i="9"/>
  <c r="AG127" i="5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5"/>
  <c r="B127" i="9"/>
  <c r="A127" i="9"/>
  <c r="AG126" i="5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5"/>
  <c r="B126" i="9"/>
  <c r="A126" i="9"/>
  <c r="AG125" i="5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5"/>
  <c r="B125" i="9"/>
  <c r="A125" i="9"/>
  <c r="AG124" i="5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5"/>
  <c r="B124" i="9"/>
  <c r="A124" i="9"/>
  <c r="AG123" i="5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5"/>
  <c r="B123" i="9"/>
  <c r="A123" i="9"/>
  <c r="AG122" i="5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5"/>
  <c r="B122" i="9"/>
  <c r="A122" i="9"/>
  <c r="AG121" i="5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5"/>
  <c r="B121" i="9"/>
  <c r="A121" i="9"/>
  <c r="AG120" i="5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5"/>
  <c r="B120" i="9"/>
  <c r="A120" i="9"/>
  <c r="AG119" i="5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5"/>
  <c r="B119" i="9"/>
  <c r="A119" i="9"/>
  <c r="AG118" i="5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5"/>
  <c r="B118" i="9"/>
  <c r="A118" i="9"/>
  <c r="AG117" i="5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5"/>
  <c r="B117" i="9"/>
  <c r="A117" i="9"/>
  <c r="AG116" i="5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5"/>
  <c r="B116" i="9"/>
  <c r="A116" i="9"/>
  <c r="AG115" i="5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5"/>
  <c r="B115" i="9"/>
  <c r="A115" i="9"/>
  <c r="AG114" i="5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5"/>
  <c r="B114" i="9"/>
  <c r="A114" i="9"/>
  <c r="AG113" i="5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5"/>
  <c r="B113" i="9"/>
  <c r="A113" i="9"/>
  <c r="AG112" i="5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5"/>
  <c r="B112" i="9"/>
  <c r="A112" i="9"/>
  <c r="AG111" i="5"/>
  <c r="R111" i="9"/>
  <c r="Q111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B111" i="5"/>
  <c r="B111" i="9"/>
  <c r="A111" i="9"/>
  <c r="AG110" i="5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5"/>
  <c r="B110" i="9"/>
  <c r="A110" i="9"/>
  <c r="AG109" i="5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5"/>
  <c r="B109" i="9"/>
  <c r="A109" i="9"/>
  <c r="AG108" i="5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5"/>
  <c r="B108" i="9"/>
  <c r="A108" i="9"/>
  <c r="AG107" i="5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5"/>
  <c r="B107" i="9"/>
  <c r="A107" i="9"/>
  <c r="AG106" i="5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5"/>
  <c r="B106" i="9"/>
  <c r="A106" i="9"/>
  <c r="AG105" i="5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5"/>
  <c r="B105" i="9"/>
  <c r="A105" i="9"/>
  <c r="AG104" i="5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5"/>
  <c r="B104" i="9"/>
  <c r="A104" i="9"/>
  <c r="AG103" i="5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5"/>
  <c r="B103" i="9"/>
  <c r="A103" i="9"/>
  <c r="AG102" i="5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5"/>
  <c r="B102" i="9"/>
  <c r="A102" i="9"/>
  <c r="AG101" i="5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5"/>
  <c r="B101" i="9"/>
  <c r="A101" i="9"/>
  <c r="AG100" i="5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5"/>
  <c r="B100" i="9"/>
  <c r="A100" i="9"/>
  <c r="AG99" i="5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5"/>
  <c r="B99" i="9"/>
  <c r="A99" i="9"/>
  <c r="AG98" i="5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5"/>
  <c r="B98" i="9"/>
  <c r="A98" i="9"/>
  <c r="AG97" i="5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5"/>
  <c r="B97" i="9"/>
  <c r="A97" i="9"/>
  <c r="AG96" i="5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5"/>
  <c r="B96" i="9"/>
  <c r="A96" i="9"/>
  <c r="AG95" i="5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5"/>
  <c r="B95" i="9"/>
  <c r="A95" i="9"/>
  <c r="AG94" i="5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5"/>
  <c r="B94" i="9"/>
  <c r="A94" i="9"/>
  <c r="AG93" i="5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5"/>
  <c r="B93" i="9"/>
  <c r="A93" i="9"/>
  <c r="AG92" i="5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5"/>
  <c r="B92" i="9"/>
  <c r="A92" i="9"/>
  <c r="AG91" i="5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5"/>
  <c r="B91" i="9"/>
  <c r="A91" i="9"/>
  <c r="AG90" i="5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5"/>
  <c r="B90" i="9"/>
  <c r="A90" i="9"/>
  <c r="AG89" i="5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5"/>
  <c r="B89" i="9"/>
  <c r="A89" i="9"/>
  <c r="AG88" i="5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5"/>
  <c r="B88" i="9"/>
  <c r="A88" i="9"/>
  <c r="AG87" i="5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5"/>
  <c r="B87" i="9"/>
  <c r="A87" i="9"/>
  <c r="AG86" i="5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5"/>
  <c r="B86" i="9"/>
  <c r="A86" i="9"/>
  <c r="AG85" i="5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5"/>
  <c r="B85" i="9"/>
  <c r="A85" i="9"/>
  <c r="AG84" i="5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5"/>
  <c r="B84" i="9"/>
  <c r="A84" i="9"/>
  <c r="AG83" i="5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5"/>
  <c r="B83" i="9"/>
  <c r="A83" i="9"/>
  <c r="AG82" i="5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5"/>
  <c r="B82" i="9"/>
  <c r="A82" i="9"/>
  <c r="AG81" i="5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5"/>
  <c r="B81" i="9"/>
  <c r="A81" i="9"/>
  <c r="AG80" i="5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5"/>
  <c r="B80" i="9"/>
  <c r="A80" i="9"/>
  <c r="AG79" i="5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5"/>
  <c r="B79" i="9"/>
  <c r="A79" i="9"/>
  <c r="AG78" i="5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5"/>
  <c r="B78" i="9"/>
  <c r="A78" i="9"/>
  <c r="AG77" i="5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5"/>
  <c r="B77" i="9"/>
  <c r="A77" i="9"/>
  <c r="AG76" i="5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5"/>
  <c r="B76" i="9"/>
  <c r="A76" i="9"/>
  <c r="AG75" i="5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5"/>
  <c r="B75" i="9"/>
  <c r="A75" i="9"/>
  <c r="AG74" i="5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5"/>
  <c r="B74" i="9"/>
  <c r="A74" i="9"/>
  <c r="AG73" i="5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5"/>
  <c r="B73" i="9"/>
  <c r="A73" i="9"/>
  <c r="AG72" i="5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5"/>
  <c r="B72" i="9"/>
  <c r="A72" i="9"/>
  <c r="AG71" i="5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5"/>
  <c r="B71" i="9"/>
  <c r="A71" i="9"/>
  <c r="AG70" i="5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5"/>
  <c r="B70" i="9"/>
  <c r="A70" i="9"/>
  <c r="AG69" i="5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5"/>
  <c r="B69" i="9"/>
  <c r="A69" i="9"/>
  <c r="AG68" i="5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5"/>
  <c r="B68" i="9"/>
  <c r="A68" i="9"/>
  <c r="AG67" i="5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5"/>
  <c r="B67" i="9"/>
  <c r="A67" i="9"/>
  <c r="AG66" i="5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5"/>
  <c r="B66" i="9"/>
  <c r="A66" i="9"/>
  <c r="AG65" i="5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5"/>
  <c r="B65" i="9"/>
  <c r="A65" i="9"/>
  <c r="AG64" i="5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5"/>
  <c r="B64" i="9"/>
  <c r="A64" i="9"/>
  <c r="AG63" i="5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5"/>
  <c r="B63" i="9"/>
  <c r="A63" i="9"/>
  <c r="AG62" i="5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5"/>
  <c r="B62" i="9"/>
  <c r="A62" i="9"/>
  <c r="AG61" i="5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5"/>
  <c r="B61" i="9"/>
  <c r="A61" i="9"/>
  <c r="AG60" i="5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5"/>
  <c r="B60" i="9"/>
  <c r="A60" i="9"/>
  <c r="AG59" i="5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5"/>
  <c r="B59" i="9"/>
  <c r="A59" i="9"/>
  <c r="AG58" i="5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5"/>
  <c r="B58" i="9"/>
  <c r="A58" i="9"/>
  <c r="AG57" i="5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5"/>
  <c r="B57" i="9"/>
  <c r="A57" i="9"/>
  <c r="AG56" i="5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5"/>
  <c r="B56" i="9"/>
  <c r="A56" i="9"/>
  <c r="AG55" i="5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5"/>
  <c r="B55" i="9"/>
  <c r="A55" i="9"/>
  <c r="AG54" i="5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5"/>
  <c r="B54" i="9"/>
  <c r="A54" i="9"/>
  <c r="AG53" i="5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5"/>
  <c r="B53" i="9"/>
  <c r="A53" i="9"/>
  <c r="AG52" i="5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5"/>
  <c r="B52" i="9"/>
  <c r="A52" i="9"/>
  <c r="AG51" i="5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5"/>
  <c r="B51" i="9"/>
  <c r="A51" i="9"/>
  <c r="AG50" i="5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5"/>
  <c r="B50" i="9"/>
  <c r="A50" i="9"/>
  <c r="AG49" i="5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5"/>
  <c r="B49" i="9"/>
  <c r="A49" i="9"/>
  <c r="AG48" i="5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5"/>
  <c r="B48" i="9"/>
  <c r="A48" i="9"/>
  <c r="AG47" i="5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5"/>
  <c r="B47" i="9"/>
  <c r="A47" i="9"/>
  <c r="AG46" i="5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5"/>
  <c r="B46" i="9"/>
  <c r="A46" i="9"/>
  <c r="AG45" i="5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5"/>
  <c r="B45" i="9"/>
  <c r="A45" i="9"/>
  <c r="AG44" i="5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5"/>
  <c r="B44" i="9"/>
  <c r="A44" i="9"/>
  <c r="AG43" i="5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5"/>
  <c r="B43" i="9"/>
  <c r="A43" i="9"/>
  <c r="AG42" i="5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5"/>
  <c r="B42" i="9"/>
  <c r="A42" i="9"/>
  <c r="AG41" i="5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5"/>
  <c r="B41" i="9"/>
  <c r="A41" i="9"/>
  <c r="AG40" i="5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5"/>
  <c r="B40" i="9"/>
  <c r="A40" i="9"/>
  <c r="AG39" i="5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5"/>
  <c r="B39" i="9"/>
  <c r="A39" i="9"/>
  <c r="AG38" i="5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5"/>
  <c r="B38" i="9"/>
  <c r="A38" i="9"/>
  <c r="AG37" i="5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5"/>
  <c r="B37" i="9"/>
  <c r="A37" i="9"/>
  <c r="AG36" i="5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5"/>
  <c r="B36" i="9"/>
  <c r="A36" i="9"/>
  <c r="AG35" i="5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5"/>
  <c r="B35" i="9"/>
  <c r="A35" i="9"/>
  <c r="AG34" i="5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5"/>
  <c r="B34" i="9"/>
  <c r="A34" i="9"/>
  <c r="AG33" i="5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5"/>
  <c r="B33" i="9"/>
  <c r="A33" i="9"/>
  <c r="AG32" i="5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5"/>
  <c r="B32" i="9"/>
  <c r="A32" i="9"/>
  <c r="AG31" i="5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5"/>
  <c r="B31" i="9"/>
  <c r="A31" i="9"/>
  <c r="AG30" i="5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5"/>
  <c r="B30" i="9"/>
  <c r="A30" i="9"/>
  <c r="AG29" i="5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5"/>
  <c r="B29" i="9"/>
  <c r="A29" i="9"/>
  <c r="AG28" i="5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5"/>
  <c r="B28" i="9"/>
  <c r="A28" i="9"/>
  <c r="AG27" i="5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5"/>
  <c r="B27" i="9"/>
  <c r="A27" i="9"/>
  <c r="AG26" i="5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5"/>
  <c r="B26" i="9"/>
  <c r="A26" i="9"/>
  <c r="AG25" i="5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5"/>
  <c r="B25" i="9"/>
  <c r="A25" i="9"/>
  <c r="AG24" i="5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5"/>
  <c r="B24" i="9"/>
  <c r="A24" i="9"/>
  <c r="AG23" i="5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5"/>
  <c r="B23" i="9"/>
  <c r="A23" i="9"/>
  <c r="AG22" i="5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5"/>
  <c r="B22" i="9"/>
  <c r="A22" i="9"/>
  <c r="AG21" i="5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5"/>
  <c r="B21" i="9"/>
  <c r="A21" i="9"/>
  <c r="AG20" i="5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5"/>
  <c r="B20" i="9"/>
  <c r="A20" i="9"/>
  <c r="AG19" i="5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5"/>
  <c r="B19" i="9"/>
  <c r="A19" i="9"/>
  <c r="AG18" i="5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5"/>
  <c r="B18" i="9"/>
  <c r="A18" i="9"/>
  <c r="AG17" i="5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5"/>
  <c r="B17" i="9"/>
  <c r="A17" i="9"/>
  <c r="AG16" i="5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5"/>
  <c r="B16" i="9"/>
  <c r="A16" i="9"/>
  <c r="AG15" i="5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5"/>
  <c r="B15" i="9"/>
  <c r="A15" i="9"/>
  <c r="AG14" i="5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5"/>
  <c r="B14" i="9"/>
  <c r="A14" i="9"/>
  <c r="AG13" i="5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5"/>
  <c r="B13" i="9"/>
  <c r="A13" i="9"/>
  <c r="AG12" i="5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5"/>
  <c r="B12" i="9"/>
  <c r="A12" i="9"/>
  <c r="AG11" i="5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5"/>
  <c r="B11" i="9"/>
  <c r="A11" i="9"/>
  <c r="AG10" i="5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5"/>
  <c r="B10" i="9"/>
  <c r="A10" i="9"/>
  <c r="AG9" i="5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5"/>
  <c r="B9" i="9"/>
  <c r="A9" i="9"/>
  <c r="AG8" i="5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5"/>
  <c r="B8" i="9"/>
  <c r="A8" i="9"/>
  <c r="AG7" i="5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5"/>
  <c r="B7" i="9"/>
  <c r="A7" i="9"/>
  <c r="AG6" i="5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5"/>
  <c r="B6" i="9"/>
  <c r="A6" i="9"/>
  <c r="AG5" i="5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5"/>
  <c r="B5" i="9"/>
  <c r="A5" i="9"/>
  <c r="Q141" i="5"/>
  <c r="Q141" i="8"/>
  <c r="P141" i="5"/>
  <c r="P141" i="8"/>
  <c r="O141" i="5"/>
  <c r="O141" i="8"/>
  <c r="N141" i="5"/>
  <c r="N141" i="8"/>
  <c r="M141" i="5"/>
  <c r="M141" i="8"/>
  <c r="L141" i="5"/>
  <c r="L141" i="8"/>
  <c r="K141" i="5"/>
  <c r="K141" i="8"/>
  <c r="J141" i="5"/>
  <c r="J141" i="8"/>
  <c r="I141" i="5"/>
  <c r="I141" i="8"/>
  <c r="H141" i="5"/>
  <c r="H141" i="8"/>
  <c r="G141" i="5"/>
  <c r="G141" i="8"/>
  <c r="F141" i="5"/>
  <c r="F141" i="8"/>
  <c r="E141" i="5"/>
  <c r="E141" i="8"/>
  <c r="D141" i="5"/>
  <c r="D141" i="8"/>
  <c r="C141" i="5"/>
  <c r="C141" i="8"/>
  <c r="B141" i="8"/>
  <c r="A141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B140" i="8"/>
  <c r="A140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B139" i="8"/>
  <c r="A139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B138" i="8"/>
  <c r="A138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B137" i="8"/>
  <c r="A137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B136" i="8"/>
  <c r="A136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B135" i="8"/>
  <c r="A135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B134" i="8"/>
  <c r="A134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B133" i="8"/>
  <c r="A133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B132" i="8"/>
  <c r="A132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B131" i="8"/>
  <c r="A131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B130" i="8"/>
  <c r="A130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B129" i="8"/>
  <c r="A129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B128" i="8"/>
  <c r="A128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B127" i="8"/>
  <c r="A127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B126" i="8"/>
  <c r="A126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B125" i="8"/>
  <c r="A125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B124" i="8"/>
  <c r="A124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B123" i="8"/>
  <c r="A123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B122" i="8"/>
  <c r="A122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B121" i="8"/>
  <c r="A121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B120" i="8"/>
  <c r="A120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B119" i="8"/>
  <c r="A119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B118" i="8"/>
  <c r="A118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B117" i="8"/>
  <c r="A117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B116" i="8"/>
  <c r="A116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B115" i="8"/>
  <c r="A115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B114" i="8"/>
  <c r="A114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B113" i="8"/>
  <c r="A113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A112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A111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B110" i="8"/>
  <c r="A110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A109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A108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A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A106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A105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A104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A103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A102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A101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A100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B99" i="8"/>
  <c r="A99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B98" i="8"/>
  <c r="A98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A97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A96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A95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A94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A93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A92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A91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A90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B89" i="8"/>
  <c r="A89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A88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A87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A86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A85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A84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A83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B82" i="8"/>
  <c r="A82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A81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A80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A79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A78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A77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A76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A75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A74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A73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A72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B71" i="8"/>
  <c r="A71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B70" i="8"/>
  <c r="A70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A69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A68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B67" i="8"/>
  <c r="A67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A66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A65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A64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A63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A62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A61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A60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A59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A58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A57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56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A55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A54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A53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52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A51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8"/>
  <c r="A50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A49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A48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A47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A46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A45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A44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A43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A42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41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40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39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38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A37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36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A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A34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A33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32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A31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A30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29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28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27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25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23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22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21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20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18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17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16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15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14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AR53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AQ55" i="6"/>
  <c r="AR55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AQ56" i="6"/>
  <c r="AR56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AQ57" i="6"/>
  <c r="AR57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AQ58" i="6"/>
  <c r="AR58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AR60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AQ61" i="6"/>
  <c r="AR61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O62" i="6"/>
  <c r="AP62" i="6"/>
  <c r="AQ62" i="6"/>
  <c r="AR62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AQ63" i="6"/>
  <c r="AR63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O64" i="6"/>
  <c r="AP64" i="6"/>
  <c r="AQ64" i="6"/>
  <c r="AR64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AQ65" i="6"/>
  <c r="AR65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AQ66" i="6"/>
  <c r="AR66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AQ67" i="6"/>
  <c r="AR67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AQ68" i="6"/>
  <c r="AR68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Q69" i="6"/>
  <c r="AR69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AQ70" i="6"/>
  <c r="AR70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AR71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AR72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AR73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Q74" i="6"/>
  <c r="AR74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AR75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O76" i="6"/>
  <c r="AP76" i="6"/>
  <c r="AQ76" i="6"/>
  <c r="AR76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O77" i="6"/>
  <c r="AP77" i="6"/>
  <c r="AQ77" i="6"/>
  <c r="AR77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AO78" i="6"/>
  <c r="AP78" i="6"/>
  <c r="AQ78" i="6"/>
  <c r="AR78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AK79" i="6"/>
  <c r="AL79" i="6"/>
  <c r="AM79" i="6"/>
  <c r="AN79" i="6"/>
  <c r="AO79" i="6"/>
  <c r="AP79" i="6"/>
  <c r="AQ79" i="6"/>
  <c r="AR79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AJ80" i="6"/>
  <c r="AK80" i="6"/>
  <c r="AL80" i="6"/>
  <c r="AM80" i="6"/>
  <c r="AN80" i="6"/>
  <c r="AO80" i="6"/>
  <c r="AP80" i="6"/>
  <c r="AQ80" i="6"/>
  <c r="AR80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AK81" i="6"/>
  <c r="AL81" i="6"/>
  <c r="AM81" i="6"/>
  <c r="AN81" i="6"/>
  <c r="AO81" i="6"/>
  <c r="AP81" i="6"/>
  <c r="AQ81" i="6"/>
  <c r="AR81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AO82" i="6"/>
  <c r="AP82" i="6"/>
  <c r="AQ82" i="6"/>
  <c r="AR82" i="6"/>
  <c r="C83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AO83" i="6"/>
  <c r="AP83" i="6"/>
  <c r="AQ83" i="6"/>
  <c r="AR83" i="6"/>
  <c r="C84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AJ84" i="6"/>
  <c r="AK84" i="6"/>
  <c r="AL84" i="6"/>
  <c r="AM84" i="6"/>
  <c r="AN84" i="6"/>
  <c r="AO84" i="6"/>
  <c r="AP84" i="6"/>
  <c r="AQ84" i="6"/>
  <c r="AR84" i="6"/>
  <c r="C85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AJ85" i="6"/>
  <c r="AK85" i="6"/>
  <c r="AL85" i="6"/>
  <c r="AM85" i="6"/>
  <c r="AN85" i="6"/>
  <c r="AO85" i="6"/>
  <c r="AP85" i="6"/>
  <c r="AQ85" i="6"/>
  <c r="AR85" i="6"/>
  <c r="C86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AJ86" i="6"/>
  <c r="AK86" i="6"/>
  <c r="AL86" i="6"/>
  <c r="AM86" i="6"/>
  <c r="AN86" i="6"/>
  <c r="AO86" i="6"/>
  <c r="AP86" i="6"/>
  <c r="AQ86" i="6"/>
  <c r="AR86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AJ87" i="6"/>
  <c r="AK87" i="6"/>
  <c r="AL87" i="6"/>
  <c r="AM87" i="6"/>
  <c r="AN87" i="6"/>
  <c r="AO87" i="6"/>
  <c r="AP87" i="6"/>
  <c r="AQ87" i="6"/>
  <c r="AR87" i="6"/>
  <c r="C88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AJ88" i="6"/>
  <c r="AK88" i="6"/>
  <c r="AL88" i="6"/>
  <c r="AM88" i="6"/>
  <c r="AN88" i="6"/>
  <c r="AO88" i="6"/>
  <c r="AP88" i="6"/>
  <c r="AQ88" i="6"/>
  <c r="AR88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AJ89" i="6"/>
  <c r="AK89" i="6"/>
  <c r="AL89" i="6"/>
  <c r="AM89" i="6"/>
  <c r="AN89" i="6"/>
  <c r="AO89" i="6"/>
  <c r="AP89" i="6"/>
  <c r="AQ89" i="6"/>
  <c r="AR89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AJ90" i="6"/>
  <c r="AK90" i="6"/>
  <c r="AL90" i="6"/>
  <c r="AM90" i="6"/>
  <c r="AN90" i="6"/>
  <c r="AO90" i="6"/>
  <c r="AP90" i="6"/>
  <c r="AQ90" i="6"/>
  <c r="AR90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AJ91" i="6"/>
  <c r="AK91" i="6"/>
  <c r="AL91" i="6"/>
  <c r="AM91" i="6"/>
  <c r="AN91" i="6"/>
  <c r="AO91" i="6"/>
  <c r="AP91" i="6"/>
  <c r="AQ91" i="6"/>
  <c r="AR91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AJ92" i="6"/>
  <c r="AK92" i="6"/>
  <c r="AL92" i="6"/>
  <c r="AM92" i="6"/>
  <c r="AN92" i="6"/>
  <c r="AO92" i="6"/>
  <c r="AP92" i="6"/>
  <c r="AQ92" i="6"/>
  <c r="AR92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AJ93" i="6"/>
  <c r="AK93" i="6"/>
  <c r="AL93" i="6"/>
  <c r="AM93" i="6"/>
  <c r="AN93" i="6"/>
  <c r="AO93" i="6"/>
  <c r="AP93" i="6"/>
  <c r="AQ93" i="6"/>
  <c r="AR93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AJ94" i="6"/>
  <c r="AK94" i="6"/>
  <c r="AL94" i="6"/>
  <c r="AM94" i="6"/>
  <c r="AN94" i="6"/>
  <c r="AO94" i="6"/>
  <c r="AP94" i="6"/>
  <c r="AQ94" i="6"/>
  <c r="AR94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AJ95" i="6"/>
  <c r="AK95" i="6"/>
  <c r="AL95" i="6"/>
  <c r="AM95" i="6"/>
  <c r="AN95" i="6"/>
  <c r="AO95" i="6"/>
  <c r="AP95" i="6"/>
  <c r="AQ95" i="6"/>
  <c r="AR95" i="6"/>
  <c r="C96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AJ96" i="6"/>
  <c r="AK96" i="6"/>
  <c r="AL96" i="6"/>
  <c r="AM96" i="6"/>
  <c r="AN96" i="6"/>
  <c r="AO96" i="6"/>
  <c r="AP96" i="6"/>
  <c r="AQ96" i="6"/>
  <c r="AR96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AJ97" i="6"/>
  <c r="AK97" i="6"/>
  <c r="AL97" i="6"/>
  <c r="AM97" i="6"/>
  <c r="AN97" i="6"/>
  <c r="AO97" i="6"/>
  <c r="AP97" i="6"/>
  <c r="AQ97" i="6"/>
  <c r="AR97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AJ98" i="6"/>
  <c r="AK98" i="6"/>
  <c r="AL98" i="6"/>
  <c r="AM98" i="6"/>
  <c r="AN98" i="6"/>
  <c r="AO98" i="6"/>
  <c r="AP98" i="6"/>
  <c r="AQ98" i="6"/>
  <c r="AR98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AJ99" i="6"/>
  <c r="AK99" i="6"/>
  <c r="AL99" i="6"/>
  <c r="AM99" i="6"/>
  <c r="AN99" i="6"/>
  <c r="AO99" i="6"/>
  <c r="AP99" i="6"/>
  <c r="AQ99" i="6"/>
  <c r="AR99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AJ100" i="6"/>
  <c r="AK100" i="6"/>
  <c r="AL100" i="6"/>
  <c r="AM100" i="6"/>
  <c r="AN100" i="6"/>
  <c r="AO100" i="6"/>
  <c r="AP100" i="6"/>
  <c r="AQ100" i="6"/>
  <c r="AR100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AJ101" i="6"/>
  <c r="AK101" i="6"/>
  <c r="AL101" i="6"/>
  <c r="AM101" i="6"/>
  <c r="AN101" i="6"/>
  <c r="AO101" i="6"/>
  <c r="AP101" i="6"/>
  <c r="AQ101" i="6"/>
  <c r="AR101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AJ102" i="6"/>
  <c r="AK102" i="6"/>
  <c r="AL102" i="6"/>
  <c r="AM102" i="6"/>
  <c r="AN102" i="6"/>
  <c r="AO102" i="6"/>
  <c r="AP102" i="6"/>
  <c r="AQ102" i="6"/>
  <c r="AR102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AJ103" i="6"/>
  <c r="AK103" i="6"/>
  <c r="AL103" i="6"/>
  <c r="AM103" i="6"/>
  <c r="AN103" i="6"/>
  <c r="AO103" i="6"/>
  <c r="AP103" i="6"/>
  <c r="AQ103" i="6"/>
  <c r="AR103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AJ104" i="6"/>
  <c r="AK104" i="6"/>
  <c r="AL104" i="6"/>
  <c r="AM104" i="6"/>
  <c r="AN104" i="6"/>
  <c r="AO104" i="6"/>
  <c r="AP104" i="6"/>
  <c r="AQ104" i="6"/>
  <c r="AR104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AJ105" i="6"/>
  <c r="AK105" i="6"/>
  <c r="AL105" i="6"/>
  <c r="AM105" i="6"/>
  <c r="AN105" i="6"/>
  <c r="AO105" i="6"/>
  <c r="AP105" i="6"/>
  <c r="AQ105" i="6"/>
  <c r="AR105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AJ106" i="6"/>
  <c r="AK106" i="6"/>
  <c r="AL106" i="6"/>
  <c r="AM106" i="6"/>
  <c r="AN106" i="6"/>
  <c r="AO106" i="6"/>
  <c r="AP106" i="6"/>
  <c r="AQ106" i="6"/>
  <c r="AR106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AJ107" i="6"/>
  <c r="AK107" i="6"/>
  <c r="AL107" i="6"/>
  <c r="AM107" i="6"/>
  <c r="AN107" i="6"/>
  <c r="AO107" i="6"/>
  <c r="AP107" i="6"/>
  <c r="AQ107" i="6"/>
  <c r="AR107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AJ108" i="6"/>
  <c r="AK108" i="6"/>
  <c r="AL108" i="6"/>
  <c r="AM108" i="6"/>
  <c r="AN108" i="6"/>
  <c r="AO108" i="6"/>
  <c r="AP108" i="6"/>
  <c r="AQ108" i="6"/>
  <c r="AR108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AJ109" i="6"/>
  <c r="AK109" i="6"/>
  <c r="AL109" i="6"/>
  <c r="AM109" i="6"/>
  <c r="AN109" i="6"/>
  <c r="AO109" i="6"/>
  <c r="AP109" i="6"/>
  <c r="AQ109" i="6"/>
  <c r="AR109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AJ110" i="6"/>
  <c r="AK110" i="6"/>
  <c r="AL110" i="6"/>
  <c r="AM110" i="6"/>
  <c r="AN110" i="6"/>
  <c r="AO110" i="6"/>
  <c r="AP110" i="6"/>
  <c r="AQ110" i="6"/>
  <c r="AR110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AJ111" i="6"/>
  <c r="AK111" i="6"/>
  <c r="AL111" i="6"/>
  <c r="AM111" i="6"/>
  <c r="AN111" i="6"/>
  <c r="AO111" i="6"/>
  <c r="AP111" i="6"/>
  <c r="AQ111" i="6"/>
  <c r="AR111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AJ112" i="6"/>
  <c r="AK112" i="6"/>
  <c r="AL112" i="6"/>
  <c r="AM112" i="6"/>
  <c r="AN112" i="6"/>
  <c r="AO112" i="6"/>
  <c r="AP112" i="6"/>
  <c r="AQ112" i="6"/>
  <c r="AR112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AJ113" i="6"/>
  <c r="AK113" i="6"/>
  <c r="AL113" i="6"/>
  <c r="AM113" i="6"/>
  <c r="AN113" i="6"/>
  <c r="AO113" i="6"/>
  <c r="AP113" i="6"/>
  <c r="AQ113" i="6"/>
  <c r="AR113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AJ114" i="6"/>
  <c r="AK114" i="6"/>
  <c r="AL114" i="6"/>
  <c r="AM114" i="6"/>
  <c r="AN114" i="6"/>
  <c r="AO114" i="6"/>
  <c r="AP114" i="6"/>
  <c r="AQ114" i="6"/>
  <c r="AR114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AJ115" i="6"/>
  <c r="AK115" i="6"/>
  <c r="AL115" i="6"/>
  <c r="AM115" i="6"/>
  <c r="AN115" i="6"/>
  <c r="AO115" i="6"/>
  <c r="AP115" i="6"/>
  <c r="AQ115" i="6"/>
  <c r="AR115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AJ116" i="6"/>
  <c r="AK116" i="6"/>
  <c r="AL116" i="6"/>
  <c r="AM116" i="6"/>
  <c r="AN116" i="6"/>
  <c r="AO116" i="6"/>
  <c r="AP116" i="6"/>
  <c r="AQ116" i="6"/>
  <c r="AR116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AJ117" i="6"/>
  <c r="AK117" i="6"/>
  <c r="AL117" i="6"/>
  <c r="AM117" i="6"/>
  <c r="AN117" i="6"/>
  <c r="AO117" i="6"/>
  <c r="AP117" i="6"/>
  <c r="AQ117" i="6"/>
  <c r="AR117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AJ118" i="6"/>
  <c r="AK118" i="6"/>
  <c r="AL118" i="6"/>
  <c r="AM118" i="6"/>
  <c r="AN118" i="6"/>
  <c r="AO118" i="6"/>
  <c r="AP118" i="6"/>
  <c r="AQ118" i="6"/>
  <c r="AR118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AJ119" i="6"/>
  <c r="AK119" i="6"/>
  <c r="AL119" i="6"/>
  <c r="AM119" i="6"/>
  <c r="AN119" i="6"/>
  <c r="AO119" i="6"/>
  <c r="AP119" i="6"/>
  <c r="AQ119" i="6"/>
  <c r="AR119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AJ120" i="6"/>
  <c r="AK120" i="6"/>
  <c r="AL120" i="6"/>
  <c r="AM120" i="6"/>
  <c r="AN120" i="6"/>
  <c r="AO120" i="6"/>
  <c r="AP120" i="6"/>
  <c r="AQ120" i="6"/>
  <c r="AR120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AJ121" i="6"/>
  <c r="AK121" i="6"/>
  <c r="AL121" i="6"/>
  <c r="AM121" i="6"/>
  <c r="AN121" i="6"/>
  <c r="AO121" i="6"/>
  <c r="AP121" i="6"/>
  <c r="AQ121" i="6"/>
  <c r="AR121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AJ122" i="6"/>
  <c r="AK122" i="6"/>
  <c r="AL122" i="6"/>
  <c r="AM122" i="6"/>
  <c r="AN122" i="6"/>
  <c r="AO122" i="6"/>
  <c r="AP122" i="6"/>
  <c r="AQ122" i="6"/>
  <c r="AR122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AJ123" i="6"/>
  <c r="AK123" i="6"/>
  <c r="AL123" i="6"/>
  <c r="AM123" i="6"/>
  <c r="AN123" i="6"/>
  <c r="AO123" i="6"/>
  <c r="AP123" i="6"/>
  <c r="AQ123" i="6"/>
  <c r="AR123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AJ124" i="6"/>
  <c r="AK124" i="6"/>
  <c r="AL124" i="6"/>
  <c r="AM124" i="6"/>
  <c r="AN124" i="6"/>
  <c r="AO124" i="6"/>
  <c r="AP124" i="6"/>
  <c r="AQ124" i="6"/>
  <c r="AR124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AJ125" i="6"/>
  <c r="AK125" i="6"/>
  <c r="AL125" i="6"/>
  <c r="AM125" i="6"/>
  <c r="AN125" i="6"/>
  <c r="AO125" i="6"/>
  <c r="AP125" i="6"/>
  <c r="AQ125" i="6"/>
  <c r="AR125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AJ126" i="6"/>
  <c r="AK126" i="6"/>
  <c r="AL126" i="6"/>
  <c r="AM126" i="6"/>
  <c r="AN126" i="6"/>
  <c r="AO126" i="6"/>
  <c r="AP126" i="6"/>
  <c r="AQ126" i="6"/>
  <c r="AR126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AJ127" i="6"/>
  <c r="AK127" i="6"/>
  <c r="AL127" i="6"/>
  <c r="AM127" i="6"/>
  <c r="AN127" i="6"/>
  <c r="AO127" i="6"/>
  <c r="AP127" i="6"/>
  <c r="AQ127" i="6"/>
  <c r="AR127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AJ128" i="6"/>
  <c r="AK128" i="6"/>
  <c r="AL128" i="6"/>
  <c r="AM128" i="6"/>
  <c r="AN128" i="6"/>
  <c r="AO128" i="6"/>
  <c r="AP128" i="6"/>
  <c r="AQ128" i="6"/>
  <c r="AR128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AJ129" i="6"/>
  <c r="AK129" i="6"/>
  <c r="AL129" i="6"/>
  <c r="AM129" i="6"/>
  <c r="AN129" i="6"/>
  <c r="AO129" i="6"/>
  <c r="AP129" i="6"/>
  <c r="AQ129" i="6"/>
  <c r="AR129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AJ130" i="6"/>
  <c r="AK130" i="6"/>
  <c r="AL130" i="6"/>
  <c r="AM130" i="6"/>
  <c r="AN130" i="6"/>
  <c r="AO130" i="6"/>
  <c r="AP130" i="6"/>
  <c r="AQ130" i="6"/>
  <c r="AR130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AJ131" i="6"/>
  <c r="AK131" i="6"/>
  <c r="AL131" i="6"/>
  <c r="AM131" i="6"/>
  <c r="AN131" i="6"/>
  <c r="AO131" i="6"/>
  <c r="AP131" i="6"/>
  <c r="AQ131" i="6"/>
  <c r="AR131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AJ132" i="6"/>
  <c r="AK132" i="6"/>
  <c r="AL132" i="6"/>
  <c r="AM132" i="6"/>
  <c r="AN132" i="6"/>
  <c r="AO132" i="6"/>
  <c r="AP132" i="6"/>
  <c r="AQ132" i="6"/>
  <c r="AR132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AJ133" i="6"/>
  <c r="AK133" i="6"/>
  <c r="AL133" i="6"/>
  <c r="AM133" i="6"/>
  <c r="AN133" i="6"/>
  <c r="AO133" i="6"/>
  <c r="AP133" i="6"/>
  <c r="AQ133" i="6"/>
  <c r="AR133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AJ134" i="6"/>
  <c r="AK134" i="6"/>
  <c r="AL134" i="6"/>
  <c r="AM134" i="6"/>
  <c r="AN134" i="6"/>
  <c r="AO134" i="6"/>
  <c r="AP134" i="6"/>
  <c r="AQ134" i="6"/>
  <c r="AR134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AJ135" i="6"/>
  <c r="AK135" i="6"/>
  <c r="AL135" i="6"/>
  <c r="AM135" i="6"/>
  <c r="AN135" i="6"/>
  <c r="AO135" i="6"/>
  <c r="AP135" i="6"/>
  <c r="AQ135" i="6"/>
  <c r="AR135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AJ136" i="6"/>
  <c r="AK136" i="6"/>
  <c r="AL136" i="6"/>
  <c r="AM136" i="6"/>
  <c r="AN136" i="6"/>
  <c r="AO136" i="6"/>
  <c r="AP136" i="6"/>
  <c r="AQ136" i="6"/>
  <c r="AR136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AJ137" i="6"/>
  <c r="AK137" i="6"/>
  <c r="AL137" i="6"/>
  <c r="AM137" i="6"/>
  <c r="AN137" i="6"/>
  <c r="AO137" i="6"/>
  <c r="AP137" i="6"/>
  <c r="AQ137" i="6"/>
  <c r="AR137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AJ138" i="6"/>
  <c r="AK138" i="6"/>
  <c r="AL138" i="6"/>
  <c r="AM138" i="6"/>
  <c r="AN138" i="6"/>
  <c r="AO138" i="6"/>
  <c r="AP138" i="6"/>
  <c r="AQ138" i="6"/>
  <c r="AR138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AJ139" i="6"/>
  <c r="AK139" i="6"/>
  <c r="AL139" i="6"/>
  <c r="AM139" i="6"/>
  <c r="AN139" i="6"/>
  <c r="AO139" i="6"/>
  <c r="AP139" i="6"/>
  <c r="AQ139" i="6"/>
  <c r="AR139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AJ140" i="6"/>
  <c r="AK140" i="6"/>
  <c r="AL140" i="6"/>
  <c r="AM140" i="6"/>
  <c r="AN140" i="6"/>
  <c r="AO140" i="6"/>
  <c r="AP140" i="6"/>
  <c r="AQ140" i="6"/>
  <c r="AR140" i="6"/>
  <c r="AR141" i="6"/>
  <c r="AQ141" i="6"/>
  <c r="AP141" i="6"/>
  <c r="AO141" i="6"/>
  <c r="AN141" i="6"/>
  <c r="AM141" i="6"/>
  <c r="AL141" i="6"/>
  <c r="AK141" i="6"/>
  <c r="AJ141" i="6"/>
  <c r="AI141" i="6"/>
  <c r="AH141" i="6"/>
  <c r="AG141" i="6"/>
  <c r="AF141" i="6"/>
  <c r="AE141" i="6"/>
  <c r="AD141" i="6"/>
  <c r="AC141" i="6"/>
  <c r="AB141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C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D18" i="1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" authorId="0" shapeId="0" xr:uid="{00000000-0006-0000-0200-000001000000}">
      <text>
        <r>
          <rPr>
            <sz val="10"/>
            <rFont val="Noto Sans CJK SC"/>
            <family val="2"/>
          </rPr>
          <t>自社は作業員名、業者は業者名。プルダウンは自社作業員のみ。業者名はマスターの「業者」列を参考に手入力可。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36" authorId="0" shapeId="0" xr:uid="{00000000-0006-0000-0A00-000001000000}">
      <text>
        <r>
          <rPr>
            <sz val="10"/>
            <rFont val="Noto Sans CJK SC"/>
            <family val="2"/>
          </rPr>
          <t>同じ日に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>工種に分けて入力した場合は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>と数えます（台帳の行数ベース）</t>
        </r>
      </text>
    </comment>
  </commentList>
</comments>
</file>

<file path=xl/sharedStrings.xml><?xml version="1.0" encoding="utf-8"?>
<sst xmlns="http://schemas.openxmlformats.org/spreadsheetml/2006/main" count="2311" uniqueCount="519">
  <si>
    <t>印刷メニュー</t>
  </si>
  <si>
    <r>
      <rPr>
        <sz val="9"/>
        <color rgb="FF595959"/>
        <rFont val="Meiryo"/>
        <charset val="1"/>
      </rPr>
      <t>B</t>
    </r>
    <r>
      <rPr>
        <sz val="9"/>
        <color rgb="FF595959"/>
        <rFont val="Noto Sans CJK SC"/>
        <family val="2"/>
      </rPr>
      <t>列に「○」を付けたシートをまとめて印刷します（マクロ導入後はボタン／</t>
    </r>
    <r>
      <rPr>
        <sz val="9"/>
        <color rgb="FF595959"/>
        <rFont val="Meiryo"/>
        <charset val="1"/>
      </rPr>
      <t>Alt+F8</t>
    </r>
    <r>
      <rPr>
        <sz val="9"/>
        <color rgb="FF595959"/>
        <rFont val="Noto Sans CJK SC"/>
        <family val="2"/>
      </rPr>
      <t>で実行。導入前でも下の手順で手動一括印刷できます）。</t>
    </r>
  </si>
  <si>
    <t>シート名</t>
  </si>
  <si>
    <t>印刷する（○）</t>
  </si>
  <si>
    <t>用紙</t>
  </si>
  <si>
    <t>枚数目安</t>
  </si>
  <si>
    <t>内容</t>
  </si>
  <si>
    <r>
      <rPr>
        <sz val="10"/>
        <rFont val="Noto Sans CJK SC"/>
        <family val="2"/>
      </rPr>
      <t>印刷</t>
    </r>
    <r>
      <rPr>
        <sz val="10"/>
        <rFont val="Meiryo"/>
        <charset val="1"/>
      </rPr>
      <t>01_</t>
    </r>
    <r>
      <rPr>
        <sz val="10"/>
        <rFont val="Noto Sans CJK SC"/>
        <family val="2"/>
      </rPr>
      <t>日別人工</t>
    </r>
  </si>
  <si>
    <t>○</t>
  </si>
  <si>
    <r>
      <rPr>
        <sz val="10"/>
        <rFont val="Meiryo"/>
        <charset val="1"/>
      </rPr>
      <t>A4</t>
    </r>
    <r>
      <rPr>
        <sz val="10"/>
        <rFont val="Noto Sans CJK SC"/>
        <family val="2"/>
      </rPr>
      <t>縦</t>
    </r>
  </si>
  <si>
    <r>
      <rPr>
        <sz val="10"/>
        <rFont val="Noto Sans CJK SC"/>
        <family val="2"/>
      </rPr>
      <t>日付</t>
    </r>
    <r>
      <rPr>
        <sz val="10"/>
        <rFont val="Meiryo"/>
        <charset val="1"/>
      </rPr>
      <t>×</t>
    </r>
    <r>
      <rPr>
        <sz val="10"/>
        <rFont val="Noto Sans CJK SC"/>
        <family val="2"/>
      </rPr>
      <t>工程の人工、自社／業者／合計</t>
    </r>
  </si>
  <si>
    <r>
      <rPr>
        <sz val="10"/>
        <rFont val="Noto Sans CJK SC"/>
        <family val="2"/>
      </rPr>
      <t>印刷</t>
    </r>
    <r>
      <rPr>
        <sz val="10"/>
        <rFont val="Meiryo"/>
        <charset val="1"/>
      </rPr>
      <t>02_</t>
    </r>
    <r>
      <rPr>
        <sz val="10"/>
        <rFont val="Noto Sans CJK SC"/>
        <family val="2"/>
      </rPr>
      <t>累計推移</t>
    </r>
  </si>
  <si>
    <r>
      <rPr>
        <sz val="10"/>
        <rFont val="Meiryo"/>
        <charset val="1"/>
      </rPr>
      <t>A4</t>
    </r>
    <r>
      <rPr>
        <sz val="10"/>
        <rFont val="Noto Sans CJK SC"/>
        <family val="2"/>
      </rPr>
      <t>横</t>
    </r>
  </si>
  <si>
    <t>工程別の累計人工と当日の作業内容</t>
  </si>
  <si>
    <r>
      <rPr>
        <sz val="10"/>
        <rFont val="Noto Sans CJK SC"/>
        <family val="2"/>
      </rPr>
      <t>印刷</t>
    </r>
    <r>
      <rPr>
        <sz val="10"/>
        <rFont val="Meiryo"/>
        <charset val="1"/>
      </rPr>
      <t>03_</t>
    </r>
    <r>
      <rPr>
        <sz val="10"/>
        <rFont val="Noto Sans CJK SC"/>
        <family val="2"/>
      </rPr>
      <t>グラフ</t>
    </r>
  </si>
  <si>
    <t>累計推移グラフ・日別人工グラフ</t>
  </si>
  <si>
    <r>
      <rPr>
        <sz val="10"/>
        <rFont val="Noto Sans CJK SC"/>
        <family val="2"/>
      </rPr>
      <t>印刷</t>
    </r>
    <r>
      <rPr>
        <sz val="10"/>
        <rFont val="Meiryo"/>
        <charset val="1"/>
      </rPr>
      <t>04_</t>
    </r>
    <r>
      <rPr>
        <sz val="10"/>
        <rFont val="Noto Sans CJK SC"/>
        <family val="2"/>
      </rPr>
      <t>集計</t>
    </r>
  </si>
  <si>
    <r>
      <rPr>
        <sz val="10"/>
        <rFont val="Noto Sans CJK SC"/>
        <family val="2"/>
      </rPr>
      <t>工程別 実績と予算比較、業者別、作業員</t>
    </r>
    <r>
      <rPr>
        <sz val="10"/>
        <rFont val="Meiryo"/>
        <charset val="1"/>
      </rPr>
      <t>×</t>
    </r>
    <r>
      <rPr>
        <sz val="10"/>
        <rFont val="Noto Sans CJK SC"/>
        <family val="2"/>
      </rPr>
      <t>工程</t>
    </r>
  </si>
  <si>
    <r>
      <rPr>
        <sz val="10"/>
        <rFont val="Noto Sans CJK SC"/>
        <family val="2"/>
      </rPr>
      <t>印刷</t>
    </r>
    <r>
      <rPr>
        <sz val="10"/>
        <rFont val="Meiryo"/>
        <charset val="1"/>
      </rPr>
      <t>05_</t>
    </r>
    <r>
      <rPr>
        <sz val="10"/>
        <rFont val="Noto Sans CJK SC"/>
        <family val="2"/>
      </rPr>
      <t>工種別予算</t>
    </r>
  </si>
  <si>
    <t>工種ごとの実績と予算比較</t>
  </si>
  <si>
    <r>
      <rPr>
        <sz val="10"/>
        <rFont val="Noto Sans CJK SC"/>
        <family val="2"/>
      </rPr>
      <t>印刷</t>
    </r>
    <r>
      <rPr>
        <sz val="10"/>
        <rFont val="Meiryo"/>
        <charset val="1"/>
      </rPr>
      <t>06_</t>
    </r>
    <r>
      <rPr>
        <sz val="10"/>
        <rFont val="Noto Sans CJK SC"/>
        <family val="2"/>
      </rPr>
      <t>週別</t>
    </r>
  </si>
  <si>
    <r>
      <rPr>
        <sz val="10"/>
        <rFont val="Noto Sans CJK SC"/>
        <family val="2"/>
      </rPr>
      <t>工程→工種</t>
    </r>
    <r>
      <rPr>
        <sz val="10"/>
        <rFont val="Meiryo"/>
        <charset val="1"/>
      </rPr>
      <t>×</t>
    </r>
    <r>
      <rPr>
        <sz val="10"/>
        <rFont val="Noto Sans CJK SC"/>
        <family val="2"/>
      </rPr>
      <t>週の人工マトリクス</t>
    </r>
  </si>
  <si>
    <t>日別集計</t>
  </si>
  <si>
    <r>
      <rPr>
        <sz val="10"/>
        <rFont val="Noto Sans CJK SC"/>
        <family val="2"/>
      </rPr>
      <t>日別＋累計を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枚幅に（</t>
    </r>
    <r>
      <rPr>
        <sz val="10"/>
        <rFont val="Meiryo"/>
        <charset val="1"/>
      </rPr>
      <t>A</t>
    </r>
    <r>
      <rPr>
        <sz val="10"/>
        <rFont val="Noto Sans CJK SC"/>
        <family val="2"/>
      </rPr>
      <t>〜</t>
    </r>
    <r>
      <rPr>
        <sz val="10"/>
        <rFont val="Meiryo"/>
        <charset val="1"/>
      </rPr>
      <t>AG</t>
    </r>
    <r>
      <rPr>
        <sz val="10"/>
        <rFont val="Noto Sans CJK SC"/>
        <family val="2"/>
      </rPr>
      <t>列すべて。文字は小さめ）</t>
    </r>
  </si>
  <si>
    <t>台帳</t>
  </si>
  <si>
    <t>元データ（見出し行付き）</t>
  </si>
  <si>
    <t>マスター</t>
  </si>
  <si>
    <t>選択リスト</t>
  </si>
  <si>
    <t>工種別日別</t>
  </si>
  <si>
    <r>
      <rPr>
        <sz val="10"/>
        <rFont val="Noto Sans CJK SC"/>
        <family val="2"/>
      </rPr>
      <t>日付</t>
    </r>
    <r>
      <rPr>
        <sz val="10"/>
        <rFont val="Meiryo"/>
        <charset val="1"/>
      </rPr>
      <t>×</t>
    </r>
    <r>
      <rPr>
        <sz val="10"/>
        <rFont val="Noto Sans CJK SC"/>
        <family val="2"/>
      </rPr>
      <t>工種（文字が小さいため画面用）</t>
    </r>
  </si>
  <si>
    <t>確認事項</t>
  </si>
  <si>
    <t>読み取り不明点・修正点</t>
  </si>
  <si>
    <t>使い方</t>
  </si>
  <si>
    <t>このブックの説明</t>
  </si>
  <si>
    <t>○の枚数合計</t>
  </si>
  <si>
    <r>
      <rPr>
        <b/>
        <sz val="10"/>
        <rFont val="Noto Sans CJK SC"/>
        <family val="2"/>
      </rPr>
      <t xml:space="preserve">■ マクロ導入後（ボタン </t>
    </r>
    <r>
      <rPr>
        <b/>
        <sz val="10"/>
        <rFont val="Meiryo"/>
        <charset val="1"/>
      </rPr>
      <t>or Alt+F8</t>
    </r>
    <r>
      <rPr>
        <b/>
        <sz val="10"/>
        <rFont val="Noto Sans CJK SC"/>
        <family val="2"/>
      </rPr>
      <t>）</t>
    </r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</si>
  <si>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_○</t>
    </r>
    <r>
      <rPr>
        <b/>
        <sz val="10"/>
        <rFont val="Noto Sans CJK SC"/>
        <family val="2"/>
      </rPr>
      <t>のシートをプレビュー</t>
    </r>
  </si>
  <si>
    <t>○を付けたシートを印刷プレビューで確認</t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</si>
  <si>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_○</t>
    </r>
    <r>
      <rPr>
        <b/>
        <sz val="10"/>
        <rFont val="Noto Sans CJK SC"/>
        <family val="2"/>
      </rPr>
      <t>のシートを印刷</t>
    </r>
  </si>
  <si>
    <t>○を付けたシートを通常のプリンターへ一括印刷</t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</si>
  <si>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_</t>
    </r>
    <r>
      <rPr>
        <b/>
        <sz val="10"/>
        <rFont val="Noto Sans CJK SC"/>
        <family val="2"/>
      </rPr>
      <t>印刷用シートを全部印刷</t>
    </r>
  </si>
  <si>
    <r>
      <rPr>
        <sz val="10"/>
        <rFont val="Noto Sans CJK SC"/>
        <family val="2"/>
      </rPr>
      <t>印刷</t>
    </r>
    <r>
      <rPr>
        <sz val="10"/>
        <rFont val="Meiryo"/>
        <charset val="1"/>
      </rPr>
      <t>01</t>
    </r>
    <r>
      <rPr>
        <sz val="10"/>
        <rFont val="Noto Sans CJK SC"/>
        <family val="2"/>
      </rPr>
      <t>〜</t>
    </r>
    <r>
      <rPr>
        <sz val="10"/>
        <rFont val="Meiryo"/>
        <charset val="1"/>
      </rPr>
      <t>06</t>
    </r>
    <r>
      <rPr>
        <sz val="10"/>
        <rFont val="Noto Sans CJK SC"/>
        <family val="2"/>
      </rPr>
      <t>をまとめて印刷（○に関係なく）</t>
    </r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</si>
  <si>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_</t>
    </r>
    <r>
      <rPr>
        <b/>
        <sz val="10"/>
        <rFont val="Noto Sans CJK SC"/>
        <family val="2"/>
      </rPr>
      <t>全シートを印刷</t>
    </r>
  </si>
  <si>
    <t>ブック内の全シートを印刷</t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</si>
  <si>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_○</t>
    </r>
    <r>
      <rPr>
        <b/>
        <sz val="10"/>
        <rFont val="Noto Sans CJK SC"/>
        <family val="2"/>
      </rPr>
      <t>をすべて付ける ／ 印刷</t>
    </r>
    <r>
      <rPr>
        <b/>
        <sz val="10"/>
        <rFont val="Meiryo"/>
        <charset val="1"/>
      </rPr>
      <t>_○</t>
    </r>
    <r>
      <rPr>
        <b/>
        <sz val="10"/>
        <rFont val="Noto Sans CJK SC"/>
        <family val="2"/>
      </rPr>
      <t>をすべて外す</t>
    </r>
  </si>
  <si>
    <r>
      <rPr>
        <sz val="10"/>
        <rFont val="Meiryo"/>
        <charset val="1"/>
      </rPr>
      <t>B</t>
    </r>
    <r>
      <rPr>
        <sz val="10"/>
        <rFont val="Noto Sans CJK SC"/>
        <family val="2"/>
      </rPr>
      <t>列の○を一括で切替</t>
    </r>
  </si>
  <si>
    <r>
      <rPr>
        <b/>
        <sz val="10"/>
        <rFont val="Noto Sans CJK SC"/>
        <family val="2"/>
      </rPr>
      <t>■ マクロなしで一括印刷する手順（</t>
    </r>
    <r>
      <rPr>
        <b/>
        <sz val="10"/>
        <rFont val="Meiryo"/>
        <charset val="1"/>
      </rPr>
      <t>Excel</t>
    </r>
    <r>
      <rPr>
        <b/>
        <sz val="10"/>
        <rFont val="Noto Sans CJK SC"/>
        <family val="2"/>
      </rPr>
      <t>）</t>
    </r>
  </si>
  <si>
    <t>1</t>
  </si>
  <si>
    <t>印刷したい最初のシートのタブをクリック</t>
  </si>
  <si>
    <t>2</t>
  </si>
  <si>
    <r>
      <rPr>
        <sz val="10"/>
        <rFont val="Meiryo"/>
        <charset val="1"/>
      </rPr>
      <t>Ctrl</t>
    </r>
    <r>
      <rPr>
        <sz val="10"/>
        <rFont val="Noto Sans CJK SC"/>
        <family val="2"/>
      </rPr>
      <t>キーを押しながら他のタブをクリック（連続なら</t>
    </r>
    <r>
      <rPr>
        <sz val="10"/>
        <rFont val="Meiryo"/>
        <charset val="1"/>
      </rPr>
      <t>Shift</t>
    </r>
    <r>
      <rPr>
        <sz val="10"/>
        <rFont val="Noto Sans CJK SC"/>
        <family val="2"/>
      </rPr>
      <t>＋クリック）→ 選んだタブが白くなりグループ化される</t>
    </r>
  </si>
  <si>
    <t>3</t>
  </si>
  <si>
    <r>
      <rPr>
        <sz val="10"/>
        <rFont val="Meiryo"/>
        <charset val="1"/>
      </rPr>
      <t>Ctrl+P →</t>
    </r>
    <r>
      <rPr>
        <sz val="10"/>
        <rFont val="Noto Sans CJK SC"/>
        <family val="2"/>
      </rPr>
      <t>「作業中のシートを印刷」になっていることを確認 → 印刷</t>
    </r>
  </si>
  <si>
    <t>4</t>
  </si>
  <si>
    <t>終わったらタブを右クリック →「シートのグループ解除」</t>
  </si>
  <si>
    <r>
      <rPr>
        <b/>
        <sz val="10"/>
        <rFont val="Meiryo"/>
        <charset val="1"/>
      </rPr>
      <t>■ Google</t>
    </r>
    <r>
      <rPr>
        <b/>
        <sz val="10"/>
        <rFont val="Noto Sans CJK SC"/>
        <family val="2"/>
      </rPr>
      <t>スプレッドシートの場合</t>
    </r>
  </si>
  <si>
    <t>メニュー「🖨 印刷」</t>
  </si>
  <si>
    <r>
      <rPr>
        <sz val="10"/>
        <rFont val="Meiryo"/>
        <charset val="1"/>
      </rPr>
      <t>Apps Script</t>
    </r>
    <r>
      <rPr>
        <sz val="10"/>
        <rFont val="Noto Sans CJK SC"/>
        <family val="2"/>
      </rPr>
      <t>（別紙 印刷メニュー</t>
    </r>
    <r>
      <rPr>
        <sz val="10"/>
        <rFont val="Meiryo"/>
        <charset val="1"/>
      </rPr>
      <t>_AppsScript.gs</t>
    </r>
    <r>
      <rPr>
        <sz val="10"/>
        <rFont val="Noto Sans CJK SC"/>
        <family val="2"/>
      </rPr>
      <t>）を入れると、メニューから ○のシート／印刷用シート／全シート を</t>
    </r>
    <r>
      <rPr>
        <sz val="10"/>
        <rFont val="Meiryo"/>
        <charset val="1"/>
      </rPr>
      <t>PDF</t>
    </r>
    <r>
      <rPr>
        <sz val="10"/>
        <rFont val="Noto Sans CJK SC"/>
        <family val="2"/>
      </rPr>
      <t>にしてドライブに保存し、そのままブラウザで印刷できます</t>
    </r>
  </si>
  <si>
    <r>
      <rPr>
        <b/>
        <sz val="14"/>
        <color rgb="FF1F4E78"/>
        <rFont val="Noto Sans CJK SC"/>
        <family val="2"/>
      </rPr>
      <t>現場日報 台帳・集計ブック（第</t>
    </r>
    <r>
      <rPr>
        <b/>
        <sz val="14"/>
        <color rgb="FF1F4E78"/>
        <rFont val="Meiryo"/>
        <charset val="1"/>
      </rPr>
      <t>1</t>
    </r>
    <r>
      <rPr>
        <b/>
        <sz val="14"/>
        <color rgb="FF1F4E78"/>
        <rFont val="Noto Sans CJK SC"/>
        <family val="2"/>
      </rPr>
      <t>弾 試作）</t>
    </r>
  </si>
  <si>
    <r>
      <rPr>
        <sz val="9"/>
        <color rgb="FF595959"/>
        <rFont val="Noto Sans CJK SC"/>
        <family val="2"/>
      </rPr>
      <t>谷直美様住宅新築工事　</t>
    </r>
    <r>
      <rPr>
        <sz val="9"/>
        <color rgb="FF595959"/>
        <rFont val="Meiryo"/>
        <charset val="1"/>
      </rPr>
      <t>2026/4/20</t>
    </r>
    <r>
      <rPr>
        <sz val="9"/>
        <color rgb="FF595959"/>
        <rFont val="Noto Sans CJK SC"/>
        <family val="2"/>
      </rPr>
      <t>〜</t>
    </r>
    <r>
      <rPr>
        <sz val="9"/>
        <color rgb="FF595959"/>
        <rFont val="Meiryo"/>
        <charset val="1"/>
      </rPr>
      <t xml:space="preserve">9/2 </t>
    </r>
    <r>
      <rPr>
        <sz val="9"/>
        <color rgb="FF595959"/>
        <rFont val="Noto Sans CJK SC"/>
        <family val="2"/>
      </rPr>
      <t xml:space="preserve">の </t>
    </r>
    <r>
      <rPr>
        <sz val="9"/>
        <color rgb="FF595959"/>
        <rFont val="Meiryo"/>
        <charset val="1"/>
      </rPr>
      <t xml:space="preserve">Keep </t>
    </r>
    <r>
      <rPr>
        <sz val="9"/>
        <color rgb="FF595959"/>
        <rFont val="Noto Sans CJK SC"/>
        <family val="2"/>
      </rPr>
      <t>日報を台帳化したもの</t>
    </r>
  </si>
  <si>
    <t>■ このブックの構成</t>
  </si>
  <si>
    <r>
      <rPr>
        <sz val="10"/>
        <rFont val="Noto Sans CJK SC"/>
        <family val="2"/>
      </rPr>
      <t>元データ。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日</t>
    </r>
    <r>
      <rPr>
        <sz val="10"/>
        <rFont val="Meiryo"/>
        <charset val="1"/>
      </rPr>
      <t>×1</t>
    </r>
    <r>
      <rPr>
        <sz val="10"/>
        <rFont val="Noto Sans CJK SC"/>
        <family val="2"/>
      </rPr>
      <t>人（自社）または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日</t>
    </r>
    <r>
      <rPr>
        <sz val="10"/>
        <rFont val="Meiryo"/>
        <charset val="1"/>
      </rPr>
      <t>×1</t>
    </r>
    <r>
      <rPr>
        <sz val="10"/>
        <rFont val="Noto Sans CJK SC"/>
        <family val="2"/>
      </rPr>
      <t xml:space="preserve">業者 ＝ 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行。ここに追記すると他のシートはすべて自動で更新されます。</t>
    </r>
  </si>
  <si>
    <t>現場・工程・工種・作業員・業者・機械・作業内容の選択リスト。行を追加すれば台帳の選択肢に反映されます。</t>
  </si>
  <si>
    <t>印刷したいシートに○を付けて一括印刷（マクロ導入後はボタン、導入前は手動グループ印刷）。</t>
  </si>
  <si>
    <r>
      <rPr>
        <sz val="10"/>
        <rFont val="Noto Sans CJK SC"/>
        <family val="2"/>
      </rPr>
      <t>日付ごとの人工（工程別・自社</t>
    </r>
    <r>
      <rPr>
        <sz val="10"/>
        <rFont val="Meiryo"/>
        <charset val="1"/>
      </rPr>
      <t>/</t>
    </r>
    <r>
      <rPr>
        <sz val="10"/>
        <rFont val="Noto Sans CJK SC"/>
        <family val="2"/>
      </rPr>
      <t>業者別）と累計。</t>
    </r>
    <r>
      <rPr>
        <sz val="10"/>
        <rFont val="Meiryo"/>
        <charset val="1"/>
      </rPr>
      <t>A4</t>
    </r>
    <r>
      <rPr>
        <sz val="10"/>
        <rFont val="Noto Sans CJK SC"/>
        <family val="2"/>
      </rPr>
      <t>横で</t>
    </r>
    <r>
      <rPr>
        <sz val="10"/>
        <rFont val="Meiryo"/>
        <charset val="1"/>
      </rPr>
      <t>A</t>
    </r>
    <r>
      <rPr>
        <sz val="10"/>
        <rFont val="Noto Sans CJK SC"/>
        <family val="2"/>
      </rPr>
      <t>〜</t>
    </r>
    <r>
      <rPr>
        <sz val="10"/>
        <rFont val="Meiryo"/>
        <charset val="1"/>
      </rPr>
      <t>AG</t>
    </r>
    <r>
      <rPr>
        <sz val="10"/>
        <rFont val="Noto Sans CJK SC"/>
        <family val="2"/>
      </rPr>
      <t>列全部を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枚幅に印刷（</t>
    </r>
    <r>
      <rPr>
        <sz val="10"/>
        <rFont val="Meiryo"/>
        <charset val="1"/>
      </rPr>
      <t>3</t>
    </r>
    <r>
      <rPr>
        <sz val="10"/>
        <rFont val="Noto Sans CJK SC"/>
        <family val="2"/>
      </rPr>
      <t>枚・文字小さめ）。大きく見たい時は印刷</t>
    </r>
    <r>
      <rPr>
        <sz val="10"/>
        <rFont val="Meiryo"/>
        <charset val="1"/>
      </rPr>
      <t>01</t>
    </r>
    <r>
      <rPr>
        <sz val="10"/>
        <rFont val="Noto Sans CJK SC"/>
        <family val="2"/>
      </rPr>
      <t>・</t>
    </r>
    <r>
      <rPr>
        <sz val="10"/>
        <rFont val="Meiryo"/>
        <charset val="1"/>
      </rPr>
      <t>02</t>
    </r>
    <r>
      <rPr>
        <sz val="10"/>
        <rFont val="Noto Sans CJK SC"/>
        <family val="2"/>
      </rPr>
      <t>。</t>
    </r>
  </si>
  <si>
    <r>
      <rPr>
        <sz val="10"/>
        <rFont val="Noto Sans CJK SC"/>
        <family val="2"/>
      </rPr>
      <t>日付</t>
    </r>
    <r>
      <rPr>
        <sz val="10"/>
        <rFont val="Meiryo"/>
        <charset val="1"/>
      </rPr>
      <t>×</t>
    </r>
    <r>
      <rPr>
        <sz val="10"/>
        <rFont val="Noto Sans CJK SC"/>
        <family val="2"/>
      </rPr>
      <t>工種の人工マトリクス。列が多いので画面確認用（印刷は印刷</t>
    </r>
    <r>
      <rPr>
        <sz val="10"/>
        <rFont val="Meiryo"/>
        <charset val="1"/>
      </rPr>
      <t>06_</t>
    </r>
    <r>
      <rPr>
        <sz val="10"/>
        <rFont val="Noto Sans CJK SC"/>
        <family val="2"/>
      </rPr>
      <t>週別を使用）。</t>
    </r>
  </si>
  <si>
    <t>元の日報で読み取れなかった点・修正した点の一覧。</t>
  </si>
  <si>
    <t>■ 印刷用シート（赤いタブ）</t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</si>
  <si>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01_</t>
    </r>
    <r>
      <rPr>
        <b/>
        <sz val="10"/>
        <rFont val="Noto Sans CJK SC"/>
        <family val="2"/>
      </rPr>
      <t>日別人工</t>
    </r>
  </si>
  <si>
    <r>
      <rPr>
        <sz val="10"/>
        <rFont val="Meiryo"/>
        <charset val="1"/>
      </rPr>
      <t>A4</t>
    </r>
    <r>
      <rPr>
        <sz val="10"/>
        <rFont val="Noto Sans CJK SC"/>
        <family val="2"/>
      </rPr>
      <t>縦・</t>
    </r>
    <r>
      <rPr>
        <sz val="10"/>
        <rFont val="Meiryo"/>
        <charset val="1"/>
      </rPr>
      <t>2</t>
    </r>
    <r>
      <rPr>
        <sz val="10"/>
        <rFont val="Noto Sans CJK SC"/>
        <family val="2"/>
      </rPr>
      <t>枚。日付</t>
    </r>
    <r>
      <rPr>
        <sz val="10"/>
        <rFont val="Meiryo"/>
        <charset val="1"/>
      </rPr>
      <t>×</t>
    </r>
    <r>
      <rPr>
        <sz val="10"/>
        <rFont val="Noto Sans CJK SC"/>
        <family val="2"/>
      </rPr>
      <t>工程の人工と自社／業者／合計。</t>
    </r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</si>
  <si>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02_</t>
    </r>
    <r>
      <rPr>
        <b/>
        <sz val="10"/>
        <rFont val="Noto Sans CJK SC"/>
        <family val="2"/>
      </rPr>
      <t>累計推移</t>
    </r>
  </si>
  <si>
    <r>
      <rPr>
        <sz val="10"/>
        <rFont val="Meiryo"/>
        <charset val="1"/>
      </rPr>
      <t>A4</t>
    </r>
    <r>
      <rPr>
        <sz val="10"/>
        <rFont val="Noto Sans CJK SC"/>
        <family val="2"/>
      </rPr>
      <t>横・</t>
    </r>
    <r>
      <rPr>
        <sz val="10"/>
        <rFont val="Meiryo"/>
        <charset val="1"/>
      </rPr>
      <t>3</t>
    </r>
    <r>
      <rPr>
        <sz val="10"/>
        <rFont val="Noto Sans CJK SC"/>
        <family val="2"/>
      </rPr>
      <t>枚。工程別の累計人工と、その日の作業内容。</t>
    </r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</si>
  <si>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03_</t>
    </r>
    <r>
      <rPr>
        <b/>
        <sz val="10"/>
        <rFont val="Noto Sans CJK SC"/>
        <family val="2"/>
      </rPr>
      <t>グラフ</t>
    </r>
  </si>
  <si>
    <r>
      <rPr>
        <sz val="10"/>
        <rFont val="Meiryo"/>
        <charset val="1"/>
      </rPr>
      <t>A4</t>
    </r>
    <r>
      <rPr>
        <sz val="10"/>
        <rFont val="Noto Sans CJK SC"/>
        <family val="2"/>
      </rPr>
      <t>横・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枚。累計推移グラフと日別人工グラフ。</t>
    </r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</si>
  <si>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04_</t>
    </r>
    <r>
      <rPr>
        <b/>
        <sz val="10"/>
        <rFont val="Noto Sans CJK SC"/>
        <family val="2"/>
      </rPr>
      <t>集計</t>
    </r>
  </si>
  <si>
    <r>
      <rPr>
        <sz val="10"/>
        <rFont val="Meiryo"/>
        <charset val="1"/>
      </rPr>
      <t>A4</t>
    </r>
    <r>
      <rPr>
        <sz val="10"/>
        <rFont val="Noto Sans CJK SC"/>
        <family val="2"/>
      </rPr>
      <t>横・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枚。工程別の実績と予算比較、業者別、作業員</t>
    </r>
    <r>
      <rPr>
        <sz val="10"/>
        <rFont val="Meiryo"/>
        <charset val="1"/>
      </rPr>
      <t>×</t>
    </r>
    <r>
      <rPr>
        <sz val="10"/>
        <rFont val="Noto Sans CJK SC"/>
        <family val="2"/>
      </rPr>
      <t>工程。</t>
    </r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</si>
  <si>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05_</t>
    </r>
    <r>
      <rPr>
        <b/>
        <sz val="10"/>
        <rFont val="Noto Sans CJK SC"/>
        <family val="2"/>
      </rPr>
      <t>工種別予算</t>
    </r>
  </si>
  <si>
    <r>
      <rPr>
        <sz val="10"/>
        <rFont val="Meiryo"/>
        <charset val="1"/>
      </rPr>
      <t>A4</t>
    </r>
    <r>
      <rPr>
        <sz val="10"/>
        <rFont val="Noto Sans CJK SC"/>
        <family val="2"/>
      </rPr>
      <t>縦・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枚。工種ごとの実績と予算比較。</t>
    </r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</si>
  <si>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06_</t>
    </r>
    <r>
      <rPr>
        <b/>
        <sz val="10"/>
        <rFont val="Noto Sans CJK SC"/>
        <family val="2"/>
      </rPr>
      <t>週別</t>
    </r>
  </si>
  <si>
    <r>
      <rPr>
        <sz val="10"/>
        <rFont val="Meiryo"/>
        <charset val="1"/>
      </rPr>
      <t>A4</t>
    </r>
    <r>
      <rPr>
        <sz val="10"/>
        <rFont val="Noto Sans CJK SC"/>
        <family val="2"/>
      </rPr>
      <t>横・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枚。工程→工種</t>
    </r>
    <r>
      <rPr>
        <sz val="10"/>
        <rFont val="Meiryo"/>
        <charset val="1"/>
      </rPr>
      <t>×</t>
    </r>
    <r>
      <rPr>
        <sz val="10"/>
        <rFont val="Noto Sans CJK SC"/>
        <family val="2"/>
      </rPr>
      <t>週の人工ヒートマップ（工程表のように読める）。</t>
    </r>
  </si>
  <si>
    <r>
      <rPr>
        <b/>
        <sz val="10"/>
        <rFont val="Noto Sans CJK SC"/>
        <family val="2"/>
      </rPr>
      <t>まとめて印刷（</t>
    </r>
    <r>
      <rPr>
        <b/>
        <sz val="10"/>
        <rFont val="Meiryo"/>
        <charset val="1"/>
      </rPr>
      <t>Excel</t>
    </r>
    <r>
      <rPr>
        <b/>
        <sz val="10"/>
        <rFont val="Noto Sans CJK SC"/>
        <family val="2"/>
      </rPr>
      <t>）</t>
    </r>
  </si>
  <si>
    <r>
      <rPr>
        <sz val="10"/>
        <rFont val="Noto Sans CJK SC"/>
        <family val="2"/>
      </rPr>
      <t>「印刷</t>
    </r>
    <r>
      <rPr>
        <sz val="10"/>
        <rFont val="Meiryo"/>
        <charset val="1"/>
      </rPr>
      <t>01</t>
    </r>
    <r>
      <rPr>
        <sz val="10"/>
        <rFont val="Noto Sans CJK SC"/>
        <family val="2"/>
      </rPr>
      <t xml:space="preserve">」のタブをクリック → </t>
    </r>
    <r>
      <rPr>
        <sz val="10"/>
        <rFont val="Meiryo"/>
        <charset val="1"/>
      </rPr>
      <t>Shift</t>
    </r>
    <r>
      <rPr>
        <sz val="10"/>
        <rFont val="Noto Sans CJK SC"/>
        <family val="2"/>
      </rPr>
      <t>キーを押しながら「印刷</t>
    </r>
    <r>
      <rPr>
        <sz val="10"/>
        <rFont val="Meiryo"/>
        <charset val="1"/>
      </rPr>
      <t>06</t>
    </r>
    <r>
      <rPr>
        <sz val="10"/>
        <rFont val="Noto Sans CJK SC"/>
        <family val="2"/>
      </rPr>
      <t xml:space="preserve">」のタブをクリック（赤いタブが全部選ばれる）→ </t>
    </r>
    <r>
      <rPr>
        <sz val="10"/>
        <rFont val="Meiryo"/>
        <charset val="1"/>
      </rPr>
      <t>Ctrl+P →</t>
    </r>
    <r>
      <rPr>
        <sz val="10"/>
        <rFont val="Noto Sans CJK SC"/>
        <family val="2"/>
      </rPr>
      <t>「作業中のシートを印刷」で一括印刷。必要なシートだけなら</t>
    </r>
    <r>
      <rPr>
        <sz val="10"/>
        <rFont val="Meiryo"/>
        <charset val="1"/>
      </rPr>
      <t>Ctrl</t>
    </r>
    <r>
      <rPr>
        <sz val="10"/>
        <rFont val="Noto Sans CJK SC"/>
        <family val="2"/>
      </rPr>
      <t>キーを押しながらクリックで選ぶ。印刷後はどれかのタブを右クリック→「シートのグループ解除」。</t>
    </r>
  </si>
  <si>
    <r>
      <rPr>
        <b/>
        <sz val="10"/>
        <rFont val="Noto Sans CJK SC"/>
        <family val="2"/>
      </rPr>
      <t>まとめて印刷（</t>
    </r>
    <r>
      <rPr>
        <b/>
        <sz val="10"/>
        <rFont val="Meiryo"/>
        <charset val="1"/>
      </rPr>
      <t>Google</t>
    </r>
    <r>
      <rPr>
        <b/>
        <sz val="10"/>
        <rFont val="Noto Sans CJK SC"/>
        <family val="2"/>
      </rPr>
      <t>スプレッドシート）</t>
    </r>
  </si>
  <si>
    <r>
      <rPr>
        <sz val="10"/>
        <rFont val="Meiryo"/>
        <charset val="1"/>
      </rPr>
      <t>Google</t>
    </r>
    <r>
      <rPr>
        <sz val="10"/>
        <rFont val="Noto Sans CJK SC"/>
        <family val="2"/>
      </rPr>
      <t>スプレッドシートは複数シート選択印刷ができないため、印刷しないシート（台帳・マスター等）を右クリック→「シートを非表示」にしてから、</t>
    </r>
    <r>
      <rPr>
        <sz val="10"/>
        <rFont val="Meiryo"/>
        <charset val="1"/>
      </rPr>
      <t>Ctrl+P →</t>
    </r>
    <r>
      <rPr>
        <sz val="10"/>
        <rFont val="Noto Sans CJK SC"/>
        <family val="2"/>
      </rPr>
      <t>「ブック全体」で印刷。印刷後に再表示。</t>
    </r>
  </si>
  <si>
    <t>台帳の印刷</t>
  </si>
  <si>
    <r>
      <rPr>
        <sz val="10"/>
        <rFont val="Noto Sans CJK SC"/>
        <family val="2"/>
      </rPr>
      <t>台帳は入力シートのため印刷用シートは作らず、台帳タブから直接印刷（</t>
    </r>
    <r>
      <rPr>
        <sz val="10"/>
        <rFont val="Meiryo"/>
        <charset val="1"/>
      </rPr>
      <t>A4</t>
    </r>
    <r>
      <rPr>
        <sz val="10"/>
        <rFont val="Noto Sans CJK SC"/>
        <family val="2"/>
      </rPr>
      <t>横・見出し行付き・約</t>
    </r>
    <r>
      <rPr>
        <sz val="10"/>
        <rFont val="Meiryo"/>
        <charset val="1"/>
      </rPr>
      <t>6</t>
    </r>
    <r>
      <rPr>
        <sz val="10"/>
        <rFont val="Noto Sans CJK SC"/>
        <family val="2"/>
      </rPr>
      <t>枚）。</t>
    </r>
  </si>
  <si>
    <t>■ 入力ルール</t>
  </si>
  <si>
    <t>黄色のセル</t>
  </si>
  <si>
    <t>入力してよいセル（台帳の入力列、集計の予算人工）。白いセルは数式なので触らない。</t>
  </si>
  <si>
    <t>人工</t>
  </si>
  <si>
    <r>
      <rPr>
        <sz val="10"/>
        <rFont val="Noto Sans CJK SC"/>
        <family val="2"/>
      </rPr>
      <t xml:space="preserve">半日（午前のみ・数時間）でも 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人工 で数える（</t>
    </r>
    <r>
      <rPr>
        <sz val="10"/>
        <rFont val="Meiryo"/>
        <charset val="1"/>
      </rPr>
      <t xml:space="preserve">2026/9/2 </t>
    </r>
    <r>
      <rPr>
        <sz val="10"/>
        <rFont val="Noto Sans CJK SC"/>
        <family val="2"/>
      </rPr>
      <t>決定）。人数不明の場合は空欄にして備考に理由を書く。</t>
    </r>
  </si>
  <si>
    <t>工種</t>
  </si>
  <si>
    <t>台帳の「工種」を選ぶと「工程」は自動で入ります。リストにない工種は直接入力し、後でマスターにも追加する。</t>
  </si>
  <si>
    <r>
      <rPr>
        <sz val="10"/>
        <rFont val="Noto Sans CJK SC"/>
        <family val="2"/>
      </rPr>
      <t>台帳の 現場・区分・工種・作業員</t>
    </r>
    <r>
      <rPr>
        <sz val="10"/>
        <rFont val="Meiryo"/>
        <charset val="1"/>
      </rPr>
      <t>/</t>
    </r>
    <r>
      <rPr>
        <sz val="10"/>
        <rFont val="Noto Sans CJK SC"/>
        <family val="2"/>
      </rPr>
      <t>業者名・作業内容・機械 はプルダウン。リストにないものはそのまま手入力できます（エラーになりません）。</t>
    </r>
  </si>
  <si>
    <t>自社</t>
  </si>
  <si>
    <r>
      <rPr>
        <sz val="10"/>
        <rFont val="Noto Sans CJK SC"/>
        <family val="2"/>
      </rPr>
      <t>作業員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人につき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行。同じ日に</t>
    </r>
    <r>
      <rPr>
        <sz val="10"/>
        <rFont val="Meiryo"/>
        <charset val="1"/>
      </rPr>
      <t>2</t>
    </r>
    <r>
      <rPr>
        <sz val="10"/>
        <rFont val="Noto Sans CJK SC"/>
        <family val="2"/>
      </rPr>
      <t>つの工種に入った場合は工種ごとに行を分け、人工は合計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になるよう配分する。</t>
    </r>
  </si>
  <si>
    <t>業者</t>
  </si>
  <si>
    <r>
      <rPr>
        <sz val="10"/>
        <rFont val="Noto Sans CJK SC"/>
        <family val="2"/>
      </rPr>
      <t>業者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社につき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行、人工に「○人工」を入れる。個人名は分かれば備考へ。</t>
    </r>
  </si>
  <si>
    <t>休工</t>
  </si>
  <si>
    <r>
      <rPr>
        <sz val="10"/>
        <rFont val="Noto Sans CJK SC"/>
        <family val="2"/>
      </rPr>
      <t>工種「休工」で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行入れておくと、台風・養生などの記録が残ります（人工は空欄）。</t>
    </r>
  </si>
  <si>
    <t>■ 色の意味</t>
  </si>
  <si>
    <t>緑の行</t>
  </si>
  <si>
    <t>台帳で区分＝自社</t>
  </si>
  <si>
    <t>橙の行</t>
  </si>
  <si>
    <t>台帳で区分＝業者</t>
  </si>
  <si>
    <t>日付</t>
  </si>
  <si>
    <t>曜日</t>
  </si>
  <si>
    <t>現場</t>
  </si>
  <si>
    <t>区分</t>
  </si>
  <si>
    <t>工程</t>
  </si>
  <si>
    <r>
      <rPr>
        <b/>
        <sz val="10"/>
        <color rgb="FFFFFFFF"/>
        <rFont val="Noto Sans CJK SC"/>
        <family val="2"/>
      </rPr>
      <t>作業員</t>
    </r>
    <r>
      <rPr>
        <b/>
        <sz val="10"/>
        <color rgb="FFFFFFFF"/>
        <rFont val="Meiryo"/>
        <charset val="1"/>
      </rPr>
      <t>/</t>
    </r>
    <r>
      <rPr>
        <b/>
        <sz val="10"/>
        <color rgb="FFFFFFFF"/>
        <rFont val="Noto Sans CJK SC"/>
        <family val="2"/>
      </rPr>
      <t>業者名</t>
    </r>
  </si>
  <si>
    <t>作業内容</t>
  </si>
  <si>
    <t>機械</t>
  </si>
  <si>
    <t>備考</t>
  </si>
  <si>
    <t>元記載（名寄せ前）</t>
  </si>
  <si>
    <t>谷直美様住宅新築工事</t>
  </si>
  <si>
    <t>敷地整地</t>
  </si>
  <si>
    <t>荷川取</t>
  </si>
  <si>
    <r>
      <rPr>
        <sz val="9"/>
        <rFont val="Noto Sans CJK SC"/>
        <family val="2"/>
      </rPr>
      <t>ミニユンボ</t>
    </r>
    <r>
      <rPr>
        <sz val="9"/>
        <rFont val="Meiryo"/>
        <charset val="1"/>
      </rPr>
      <t>0.2 1</t>
    </r>
    <r>
      <rPr>
        <sz val="9"/>
        <rFont val="Noto Sans CJK SC"/>
        <family val="2"/>
      </rPr>
      <t>台、</t>
    </r>
    <r>
      <rPr>
        <sz val="9"/>
        <rFont val="Meiryo"/>
        <charset val="1"/>
      </rPr>
      <t>1t</t>
    </r>
    <r>
      <rPr>
        <sz val="9"/>
        <rFont val="Noto Sans CJK SC"/>
        <family val="2"/>
      </rPr>
      <t>ローラー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台、ランマー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台</t>
    </r>
  </si>
  <si>
    <r>
      <rPr>
        <sz val="9"/>
        <rFont val="Noto Sans CJK SC"/>
        <family val="2"/>
      </rPr>
      <t>元記載「ミニユンボ</t>
    </r>
    <r>
      <rPr>
        <sz val="9"/>
        <rFont val="Meiryo"/>
        <charset val="1"/>
      </rPr>
      <t>, 21</t>
    </r>
    <r>
      <rPr>
        <sz val="9"/>
        <rFont val="Noto Sans CJK SC"/>
        <family val="2"/>
      </rPr>
      <t>台」→</t>
    </r>
    <r>
      <rPr>
        <sz val="9"/>
        <rFont val="Meiryo"/>
        <charset val="1"/>
      </rPr>
      <t>0.2 1</t>
    </r>
    <r>
      <rPr>
        <sz val="9"/>
        <rFont val="Noto Sans CJK SC"/>
        <family val="2"/>
      </rPr>
      <t>台と解釈</t>
    </r>
  </si>
  <si>
    <t>荷川取強、友寄</t>
  </si>
  <si>
    <t>友寄</t>
  </si>
  <si>
    <t>残土運搬</t>
  </si>
  <si>
    <t>一輝興業</t>
  </si>
  <si>
    <r>
      <rPr>
        <sz val="9"/>
        <rFont val="Noto Sans CJK SC"/>
        <family val="2"/>
      </rPr>
      <t xml:space="preserve">残土搬出 </t>
    </r>
    <r>
      <rPr>
        <sz val="9"/>
        <rFont val="Meiryo"/>
        <charset val="1"/>
      </rPr>
      <t>10t</t>
    </r>
    <r>
      <rPr>
        <sz val="9"/>
        <rFont val="Noto Sans CJK SC"/>
        <family val="2"/>
      </rPr>
      <t>ダンプ</t>
    </r>
    <r>
      <rPr>
        <sz val="9"/>
        <rFont val="Meiryo"/>
        <charset val="1"/>
      </rPr>
      <t>6</t>
    </r>
    <r>
      <rPr>
        <sz val="9"/>
        <rFont val="Noto Sans CJK SC"/>
        <family val="2"/>
      </rPr>
      <t>台</t>
    </r>
  </si>
  <si>
    <r>
      <rPr>
        <sz val="9"/>
        <rFont val="Meiryo"/>
        <charset val="1"/>
      </rPr>
      <t>10t</t>
    </r>
    <r>
      <rPr>
        <sz val="9"/>
        <rFont val="Noto Sans CJK SC"/>
        <family val="2"/>
      </rPr>
      <t>ダンプ</t>
    </r>
  </si>
  <si>
    <r>
      <rPr>
        <sz val="9"/>
        <rFont val="Noto Sans CJK SC"/>
        <family val="2"/>
      </rPr>
      <t>人工不明（ダンプ</t>
    </r>
    <r>
      <rPr>
        <sz val="9"/>
        <rFont val="Meiryo"/>
        <charset val="1"/>
      </rPr>
      <t>6</t>
    </r>
    <r>
      <rPr>
        <sz val="9"/>
        <rFont val="Noto Sans CJK SC"/>
        <family val="2"/>
      </rPr>
      <t>台分）</t>
    </r>
  </si>
  <si>
    <t>荷川取 剛、当山清</t>
  </si>
  <si>
    <t>當山</t>
  </si>
  <si>
    <t>当間均</t>
  </si>
  <si>
    <r>
      <rPr>
        <sz val="9"/>
        <rFont val="Noto Sans CJK SC"/>
        <family val="2"/>
      </rPr>
      <t xml:space="preserve">残土搬出 </t>
    </r>
    <r>
      <rPr>
        <sz val="9"/>
        <rFont val="Meiryo"/>
        <charset val="1"/>
      </rPr>
      <t>10t</t>
    </r>
    <r>
      <rPr>
        <sz val="9"/>
        <rFont val="Noto Sans CJK SC"/>
        <family val="2"/>
      </rPr>
      <t>ダンプ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台</t>
    </r>
  </si>
  <si>
    <r>
      <rPr>
        <sz val="9"/>
        <rFont val="Noto Sans CJK SC"/>
        <family val="2"/>
      </rPr>
      <t>人工不明（ダンプ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台分）</t>
    </r>
  </si>
  <si>
    <t>荷川取強、東山清</t>
  </si>
  <si>
    <t>敷地整地（午前中）</t>
  </si>
  <si>
    <r>
      <rPr>
        <sz val="9"/>
        <rFont val="Noto Sans CJK SC"/>
        <family val="2"/>
      </rPr>
      <t>午前中のみ→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人工で計上</t>
    </r>
  </si>
  <si>
    <t>擁壁基礎整地</t>
  </si>
  <si>
    <r>
      <rPr>
        <sz val="9"/>
        <rFont val="Noto Sans CJK SC"/>
        <family val="2"/>
      </rPr>
      <t>擁壁基礎整地、捨てコン打設</t>
    </r>
    <r>
      <rPr>
        <sz val="9"/>
        <rFont val="Meiryo"/>
        <charset val="1"/>
      </rPr>
      <t>1.5m3</t>
    </r>
  </si>
  <si>
    <r>
      <rPr>
        <sz val="9"/>
        <rFont val="Noto Sans CJK SC"/>
        <family val="2"/>
      </rPr>
      <t>ミニユンボ</t>
    </r>
    <r>
      <rPr>
        <sz val="9"/>
        <rFont val="Meiryo"/>
        <charset val="1"/>
      </rPr>
      <t>0.2 1</t>
    </r>
    <r>
      <rPr>
        <sz val="9"/>
        <rFont val="Noto Sans CJK SC"/>
        <family val="2"/>
      </rPr>
      <t>台、プレート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台</t>
    </r>
  </si>
  <si>
    <r>
      <rPr>
        <sz val="9"/>
        <rFont val="Noto Sans CJK SC"/>
        <family val="2"/>
      </rPr>
      <t>元記載「</t>
    </r>
    <r>
      <rPr>
        <sz val="9"/>
        <rFont val="Meiryo"/>
        <charset val="1"/>
      </rPr>
      <t>5</t>
    </r>
    <r>
      <rPr>
        <sz val="9"/>
        <rFont val="Noto Sans CJK SC"/>
        <family val="2"/>
      </rPr>
      <t>月</t>
    </r>
    <r>
      <rPr>
        <sz val="9"/>
        <rFont val="Meiryo"/>
        <charset val="1"/>
      </rPr>
      <t>19</t>
    </r>
    <r>
      <rPr>
        <sz val="9"/>
        <rFont val="Noto Sans CJK SC"/>
        <family val="2"/>
      </rPr>
      <t>日水曜日」→</t>
    </r>
    <r>
      <rPr>
        <sz val="9"/>
        <rFont val="Meiryo"/>
        <charset val="1"/>
      </rPr>
      <t>5/20</t>
    </r>
    <r>
      <rPr>
        <sz val="9"/>
        <rFont val="Noto Sans CJK SC"/>
        <family val="2"/>
      </rPr>
      <t>（水）に修正</t>
    </r>
  </si>
  <si>
    <t>地盤改良</t>
  </si>
  <si>
    <t>グランド技研</t>
  </si>
  <si>
    <t>資材搬入</t>
  </si>
  <si>
    <t>地盤改良工事 作業開始</t>
  </si>
  <si>
    <t>地盤改良（雨のため半日）</t>
  </si>
  <si>
    <r>
      <rPr>
        <sz val="9"/>
        <rFont val="Noto Sans CJK SC"/>
        <family val="2"/>
      </rPr>
      <t>半日→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人工で計上</t>
    </r>
  </si>
  <si>
    <t>地盤改良作業</t>
  </si>
  <si>
    <t>地盤改良作業（この日で作業終了）</t>
  </si>
  <si>
    <t>地盤改良機材 解体片付け</t>
  </si>
  <si>
    <t>地盤改良機材 解体片付け（全作業終了）</t>
  </si>
  <si>
    <t>基礎掘削</t>
  </si>
  <si>
    <t>掘削作業開始（掘削前整地）、建物位置出し</t>
  </si>
  <si>
    <r>
      <rPr>
        <sz val="9"/>
        <rFont val="Noto Sans CJK SC"/>
        <family val="2"/>
      </rPr>
      <t>ミニユンボ</t>
    </r>
    <r>
      <rPr>
        <sz val="9"/>
        <rFont val="Meiryo"/>
        <charset val="1"/>
      </rPr>
      <t>0.2 1</t>
    </r>
    <r>
      <rPr>
        <sz val="9"/>
        <rFont val="Noto Sans CJK SC"/>
        <family val="2"/>
      </rPr>
      <t>台</t>
    </r>
  </si>
  <si>
    <t>荷川取強、洞爺清、友寄司</t>
  </si>
  <si>
    <t>仮設トイレ</t>
  </si>
  <si>
    <t>仮設トイレ設置</t>
  </si>
  <si>
    <t>同日の掘削作業と兼務のため人工は掘削側に計上</t>
  </si>
  <si>
    <t>基礎掘削作業</t>
  </si>
  <si>
    <r>
      <rPr>
        <sz val="9"/>
        <rFont val="Noto Sans CJK SC"/>
        <family val="2"/>
      </rPr>
      <t>元記載「</t>
    </r>
    <r>
      <rPr>
        <sz val="9"/>
        <rFont val="Meiryo"/>
        <charset val="1"/>
      </rPr>
      <t>6</t>
    </r>
    <r>
      <rPr>
        <sz val="9"/>
        <rFont val="Noto Sans CJK SC"/>
        <family val="2"/>
      </rPr>
      <t>月</t>
    </r>
    <r>
      <rPr>
        <sz val="9"/>
        <rFont val="Meiryo"/>
        <charset val="1"/>
      </rPr>
      <t>24</t>
    </r>
    <r>
      <rPr>
        <sz val="9"/>
        <rFont val="Noto Sans CJK SC"/>
        <family val="2"/>
      </rPr>
      <t>日木曜日」→</t>
    </r>
    <r>
      <rPr>
        <sz val="9"/>
        <rFont val="Meiryo"/>
        <charset val="1"/>
      </rPr>
      <t>6/25</t>
    </r>
    <r>
      <rPr>
        <sz val="9"/>
        <rFont val="Noto Sans CJK SC"/>
        <family val="2"/>
      </rPr>
      <t>（木）に修正</t>
    </r>
  </si>
  <si>
    <t>荷川取、東山、友寄</t>
  </si>
  <si>
    <r>
      <rPr>
        <sz val="9"/>
        <rFont val="Noto Sans CJK SC"/>
        <family val="2"/>
      </rPr>
      <t>元記載「</t>
    </r>
    <r>
      <rPr>
        <sz val="9"/>
        <rFont val="Meiryo"/>
        <charset val="1"/>
      </rPr>
      <t>6</t>
    </r>
    <r>
      <rPr>
        <sz val="9"/>
        <rFont val="Noto Sans CJK SC"/>
        <family val="2"/>
      </rPr>
      <t>月</t>
    </r>
    <r>
      <rPr>
        <sz val="9"/>
        <rFont val="Meiryo"/>
        <charset val="1"/>
      </rPr>
      <t>25</t>
    </r>
    <r>
      <rPr>
        <sz val="9"/>
        <rFont val="Noto Sans CJK SC"/>
        <family val="2"/>
      </rPr>
      <t>日金曜日」→</t>
    </r>
    <r>
      <rPr>
        <sz val="9"/>
        <rFont val="Meiryo"/>
        <charset val="1"/>
      </rPr>
      <t>6/26</t>
    </r>
    <r>
      <rPr>
        <sz val="9"/>
        <rFont val="Noto Sans CJK SC"/>
        <family val="2"/>
      </rPr>
      <t>（金）に修正</t>
    </r>
  </si>
  <si>
    <t>荷川取り、当山</t>
  </si>
  <si>
    <r>
      <rPr>
        <sz val="9"/>
        <rFont val="Noto Sans CJK SC"/>
        <family val="2"/>
      </rPr>
      <t>台風のため作業中断（</t>
    </r>
    <r>
      <rPr>
        <sz val="9"/>
        <rFont val="Meiryo"/>
        <charset val="1"/>
      </rPr>
      <t>6/26</t>
    </r>
    <r>
      <rPr>
        <sz val="9"/>
        <rFont val="Noto Sans CJK SC"/>
        <family val="2"/>
      </rPr>
      <t>〜</t>
    </r>
    <r>
      <rPr>
        <sz val="9"/>
        <rFont val="Meiryo"/>
        <charset val="1"/>
      </rPr>
      <t>28</t>
    </r>
    <r>
      <rPr>
        <sz val="9"/>
        <rFont val="Noto Sans CJK SC"/>
        <family val="2"/>
      </rPr>
      <t>）</t>
    </r>
  </si>
  <si>
    <r>
      <rPr>
        <sz val="9"/>
        <rFont val="Noto Sans CJK SC"/>
        <family val="2"/>
      </rPr>
      <t>元記載「</t>
    </r>
    <r>
      <rPr>
        <sz val="9"/>
        <rFont val="Meiryo"/>
        <charset val="1"/>
      </rPr>
      <t>6</t>
    </r>
    <r>
      <rPr>
        <sz val="9"/>
        <rFont val="Noto Sans CJK SC"/>
        <family val="2"/>
      </rPr>
      <t>月</t>
    </r>
    <r>
      <rPr>
        <sz val="9"/>
        <rFont val="Meiryo"/>
        <charset val="1"/>
      </rPr>
      <t>26</t>
    </r>
    <r>
      <rPr>
        <sz val="9"/>
        <rFont val="Noto Sans CJK SC"/>
        <family val="2"/>
      </rPr>
      <t>日から</t>
    </r>
    <r>
      <rPr>
        <sz val="9"/>
        <rFont val="Meiryo"/>
        <charset val="1"/>
      </rPr>
      <t>28</t>
    </r>
    <r>
      <rPr>
        <sz val="9"/>
        <rFont val="Noto Sans CJK SC"/>
        <family val="2"/>
      </rPr>
      <t>日まで台風」。</t>
    </r>
    <r>
      <rPr>
        <sz val="9"/>
        <rFont val="Meiryo"/>
        <charset val="1"/>
      </rPr>
      <t>6/26</t>
    </r>
    <r>
      <rPr>
        <sz val="9"/>
        <rFont val="Noto Sans CJK SC"/>
        <family val="2"/>
      </rPr>
      <t>は作業記録ありのため</t>
    </r>
    <r>
      <rPr>
        <sz val="9"/>
        <rFont val="Meiryo"/>
        <charset val="1"/>
      </rPr>
      <t>6/27</t>
    </r>
    <r>
      <rPr>
        <sz val="9"/>
        <rFont val="Noto Sans CJK SC"/>
        <family val="2"/>
      </rPr>
      <t>〜</t>
    </r>
    <r>
      <rPr>
        <sz val="9"/>
        <rFont val="Meiryo"/>
        <charset val="1"/>
      </rPr>
      <t>28</t>
    </r>
    <r>
      <rPr>
        <sz val="9"/>
        <rFont val="Noto Sans CJK SC"/>
        <family val="2"/>
      </rPr>
      <t>を休工とした</t>
    </r>
  </si>
  <si>
    <t>台風のため作業中断</t>
  </si>
  <si>
    <r>
      <rPr>
        <sz val="9"/>
        <rFont val="Noto Sans CJK SC"/>
        <family val="2"/>
      </rPr>
      <t>残りの掘削、白蟻防除散布・土壌処理、土間防湿ポリシート敷込み、捨てコン打設</t>
    </r>
    <r>
      <rPr>
        <sz val="9"/>
        <rFont val="Meiryo"/>
        <charset val="1"/>
      </rPr>
      <t>2m3</t>
    </r>
  </si>
  <si>
    <t>荷川取、東山、宮城、友寄</t>
  </si>
  <si>
    <t>宮城</t>
  </si>
  <si>
    <t>基礎型枠</t>
  </si>
  <si>
    <t>基礎建物位置墨出し、基礎外回り型枠組</t>
  </si>
  <si>
    <t>荷川取、東山、宮城</t>
  </si>
  <si>
    <t>基礎底盤型枠組</t>
  </si>
  <si>
    <t>二箇取り、宮城</t>
  </si>
  <si>
    <t>鉄筋工事</t>
  </si>
  <si>
    <t>鉄筋業者</t>
  </si>
  <si>
    <t>基礎配筋組</t>
  </si>
  <si>
    <t>業者名不明</t>
  </si>
  <si>
    <t>底盤型枠組</t>
  </si>
  <si>
    <t>荷川取り、宮城</t>
  </si>
  <si>
    <t>基礎コンクリート打設</t>
  </si>
  <si>
    <r>
      <rPr>
        <sz val="9"/>
        <rFont val="Noto Sans CJK SC"/>
        <family val="2"/>
      </rPr>
      <t>基礎底盤打設（生コン</t>
    </r>
    <r>
      <rPr>
        <sz val="9"/>
        <rFont val="Meiryo"/>
        <charset val="1"/>
      </rPr>
      <t>24m3</t>
    </r>
    <r>
      <rPr>
        <sz val="9"/>
        <rFont val="Noto Sans CJK SC"/>
        <family val="2"/>
      </rPr>
      <t>）</t>
    </r>
  </si>
  <si>
    <t>生コン車</t>
  </si>
  <si>
    <r>
      <rPr>
        <sz val="9"/>
        <rFont val="Noto Sans CJK SC"/>
        <family val="2"/>
      </rPr>
      <t xml:space="preserve">施主 谷直美様 </t>
    </r>
    <r>
      <rPr>
        <sz val="9"/>
        <rFont val="Meiryo"/>
        <charset val="1"/>
      </rPr>
      <t>13</t>
    </r>
    <r>
      <rPr>
        <sz val="9"/>
        <rFont val="Noto Sans CJK SC"/>
        <family val="2"/>
      </rPr>
      <t>時過ぎ現地確認あり</t>
    </r>
  </si>
  <si>
    <t>左官工事</t>
  </si>
  <si>
    <t>土間左官</t>
  </si>
  <si>
    <t>東山</t>
  </si>
  <si>
    <t>左官業者</t>
  </si>
  <si>
    <r>
      <rPr>
        <sz val="9"/>
        <rFont val="Noto Sans CJK SC"/>
        <family val="2"/>
      </rPr>
      <t>土間左官（その他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人）</t>
    </r>
  </si>
  <si>
    <t>ポンプ工事</t>
  </si>
  <si>
    <t>ポンプ業者</t>
  </si>
  <si>
    <t>ポンプセット</t>
  </si>
  <si>
    <t>ポンプ車</t>
  </si>
  <si>
    <t>生コン</t>
  </si>
  <si>
    <r>
      <rPr>
        <sz val="9"/>
        <rFont val="Noto Sans CJK SC"/>
        <family val="2"/>
      </rPr>
      <t>生コン</t>
    </r>
    <r>
      <rPr>
        <sz val="9"/>
        <rFont val="Meiryo"/>
        <charset val="1"/>
      </rPr>
      <t>24m3</t>
    </r>
    <r>
      <rPr>
        <sz val="9"/>
        <rFont val="Noto Sans CJK SC"/>
        <family val="2"/>
      </rPr>
      <t>（</t>
    </r>
    <r>
      <rPr>
        <sz val="9"/>
        <rFont val="Meiryo"/>
        <charset val="1"/>
      </rPr>
      <t>21.18</t>
    </r>
    <r>
      <rPr>
        <sz val="9"/>
        <rFont val="Noto Sans CJK SC"/>
        <family val="2"/>
      </rPr>
      <t>）</t>
    </r>
  </si>
  <si>
    <t>数量のみ・人工なし</t>
  </si>
  <si>
    <t>基礎墨出し及び型枠組</t>
  </si>
  <si>
    <t>荷川取り、宮城、当山、上原、友寄</t>
  </si>
  <si>
    <t>上原</t>
  </si>
  <si>
    <t>基礎型枠組</t>
  </si>
  <si>
    <t>型枠組</t>
  </si>
  <si>
    <r>
      <rPr>
        <sz val="9"/>
        <rFont val="Noto Sans CJK SC"/>
        <family val="2"/>
      </rPr>
      <t>元記載「</t>
    </r>
    <r>
      <rPr>
        <sz val="9"/>
        <rFont val="Meiryo"/>
        <charset val="1"/>
      </rPr>
      <t>6</t>
    </r>
    <r>
      <rPr>
        <sz val="9"/>
        <rFont val="Noto Sans CJK SC"/>
        <family val="2"/>
      </rPr>
      <t>月</t>
    </r>
    <r>
      <rPr>
        <sz val="9"/>
        <rFont val="Meiryo"/>
        <charset val="1"/>
      </rPr>
      <t>7</t>
    </r>
    <r>
      <rPr>
        <sz val="9"/>
        <rFont val="Noto Sans CJK SC"/>
        <family val="2"/>
      </rPr>
      <t>日火曜日」→</t>
    </r>
    <r>
      <rPr>
        <sz val="9"/>
        <rFont val="Meiryo"/>
        <charset val="1"/>
      </rPr>
      <t>7/7</t>
    </r>
    <r>
      <rPr>
        <sz val="9"/>
        <rFont val="Noto Sans CJK SC"/>
        <family val="2"/>
      </rPr>
      <t>（火）に修正</t>
    </r>
  </si>
  <si>
    <r>
      <rPr>
        <sz val="9"/>
        <rFont val="Noto Sans CJK SC"/>
        <family val="2"/>
      </rPr>
      <t>基礎コンクリート打設（生コン車</t>
    </r>
    <r>
      <rPr>
        <sz val="9"/>
        <rFont val="Meiryo"/>
        <charset val="1"/>
      </rPr>
      <t>1</t>
    </r>
    <r>
      <rPr>
        <sz val="9"/>
        <rFont val="Noto Sans CJK SC"/>
        <family val="2"/>
      </rPr>
      <t xml:space="preserve">台 </t>
    </r>
    <r>
      <rPr>
        <sz val="9"/>
        <rFont val="Meiryo"/>
        <charset val="1"/>
      </rPr>
      <t>4m3</t>
    </r>
    <r>
      <rPr>
        <sz val="9"/>
        <rFont val="Noto Sans CJK SC"/>
        <family val="2"/>
      </rPr>
      <t>）</t>
    </r>
  </si>
  <si>
    <t>当山</t>
  </si>
  <si>
    <t>基礎コンクリート養生期間</t>
  </si>
  <si>
    <r>
      <rPr>
        <sz val="9"/>
        <rFont val="Noto Sans CJK SC"/>
        <family val="2"/>
      </rPr>
      <t>元記載「</t>
    </r>
    <r>
      <rPr>
        <sz val="9"/>
        <rFont val="Meiryo"/>
        <charset val="1"/>
      </rPr>
      <t>7</t>
    </r>
    <r>
      <rPr>
        <sz val="9"/>
        <rFont val="Noto Sans CJK SC"/>
        <family val="2"/>
      </rPr>
      <t>月</t>
    </r>
    <r>
      <rPr>
        <sz val="9"/>
        <rFont val="Meiryo"/>
        <charset val="1"/>
      </rPr>
      <t>9</t>
    </r>
    <r>
      <rPr>
        <sz val="9"/>
        <rFont val="Noto Sans CJK SC"/>
        <family val="2"/>
      </rPr>
      <t>日木曜日から</t>
    </r>
    <r>
      <rPr>
        <sz val="9"/>
        <rFont val="Meiryo"/>
        <charset val="1"/>
      </rPr>
      <t>6</t>
    </r>
    <r>
      <rPr>
        <sz val="9"/>
        <rFont val="Noto Sans CJK SC"/>
        <family val="2"/>
      </rPr>
      <t>月</t>
    </r>
    <r>
      <rPr>
        <sz val="9"/>
        <rFont val="Meiryo"/>
        <charset val="1"/>
      </rPr>
      <t>11</t>
    </r>
    <r>
      <rPr>
        <sz val="9"/>
        <rFont val="Noto Sans CJK SC"/>
        <family val="2"/>
      </rPr>
      <t>日土曜日」→</t>
    </r>
    <r>
      <rPr>
        <sz val="9"/>
        <rFont val="Meiryo"/>
        <charset val="1"/>
      </rPr>
      <t>7/9</t>
    </r>
    <r>
      <rPr>
        <sz val="9"/>
        <rFont val="Noto Sans CJK SC"/>
        <family val="2"/>
      </rPr>
      <t>〜</t>
    </r>
    <r>
      <rPr>
        <sz val="9"/>
        <rFont val="Meiryo"/>
        <charset val="1"/>
      </rPr>
      <t>7/11</t>
    </r>
  </si>
  <si>
    <t>基礎型枠解体・片付け</t>
  </si>
  <si>
    <t>基礎型枠解体</t>
  </si>
  <si>
    <t>基礎型枠材片付け・型枠撤去及び敷地整地、墨出し</t>
  </si>
  <si>
    <r>
      <rPr>
        <sz val="9"/>
        <rFont val="Noto Sans CJK SC"/>
        <family val="2"/>
      </rPr>
      <t>ユンボ</t>
    </r>
    <r>
      <rPr>
        <sz val="9"/>
        <rFont val="Meiryo"/>
        <charset val="1"/>
      </rPr>
      <t>0.4 1</t>
    </r>
    <r>
      <rPr>
        <sz val="9"/>
        <rFont val="Noto Sans CJK SC"/>
        <family val="2"/>
      </rPr>
      <t>台、ユニック</t>
    </r>
    <r>
      <rPr>
        <sz val="9"/>
        <rFont val="Meiryo"/>
        <charset val="1"/>
      </rPr>
      <t>2</t>
    </r>
    <r>
      <rPr>
        <sz val="9"/>
        <rFont val="Noto Sans CJK SC"/>
        <family val="2"/>
      </rPr>
      <t>往復</t>
    </r>
  </si>
  <si>
    <r>
      <rPr>
        <sz val="9"/>
        <rFont val="Noto Sans CJK SC"/>
        <family val="2"/>
      </rPr>
      <t>元記載「気象型枠材」「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部ビーコン埋め」は判読不明</t>
    </r>
  </si>
  <si>
    <t>土台・床組</t>
  </si>
  <si>
    <t>墨出し</t>
  </si>
  <si>
    <t>荷川取り、東山</t>
  </si>
  <si>
    <t>設備配管</t>
  </si>
  <si>
    <t>設備業者</t>
  </si>
  <si>
    <t>設備配管（内部・床下配管）</t>
  </si>
  <si>
    <t>人数記載なし</t>
  </si>
  <si>
    <t>床土台敷き、防風ネット</t>
  </si>
  <si>
    <t>床下地張り</t>
  </si>
  <si>
    <t>元記載「ゆか値段の張り」→床下地（根太・合板）張りと解釈</t>
  </si>
  <si>
    <t>仁川取り、当山、宮城、友寄</t>
  </si>
  <si>
    <t>床張り</t>
  </si>
  <si>
    <t>元記載「床張り値段の」</t>
  </si>
  <si>
    <t>上棟</t>
  </si>
  <si>
    <t>軸組棟上げ（上棟）</t>
  </si>
  <si>
    <r>
      <rPr>
        <sz val="9"/>
        <rFont val="Noto Sans CJK SC"/>
        <family val="2"/>
      </rPr>
      <t>クレーン車</t>
    </r>
    <r>
      <rPr>
        <sz val="9"/>
        <rFont val="Meiryo"/>
        <charset val="1"/>
      </rPr>
      <t>15t 1</t>
    </r>
    <r>
      <rPr>
        <sz val="9"/>
        <rFont val="Noto Sans CJK SC"/>
        <family val="2"/>
      </rPr>
      <t>台</t>
    </r>
  </si>
  <si>
    <t>施主 谷様へ請求書提出</t>
  </si>
  <si>
    <t>クレーン業者</t>
  </si>
  <si>
    <r>
      <rPr>
        <sz val="9"/>
        <rFont val="Noto Sans CJK SC"/>
        <family val="2"/>
      </rPr>
      <t>クレーン車</t>
    </r>
    <r>
      <rPr>
        <sz val="9"/>
        <rFont val="Meiryo"/>
        <charset val="1"/>
      </rPr>
      <t>15t 1</t>
    </r>
    <r>
      <rPr>
        <sz val="9"/>
        <rFont val="Noto Sans CJK SC"/>
        <family val="2"/>
      </rPr>
      <t>台（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日）</t>
    </r>
  </si>
  <si>
    <r>
      <rPr>
        <sz val="9"/>
        <rFont val="Noto Sans CJK SC"/>
        <family val="2"/>
      </rPr>
      <t>クレーン車</t>
    </r>
    <r>
      <rPr>
        <sz val="9"/>
        <rFont val="Meiryo"/>
        <charset val="1"/>
      </rPr>
      <t>15t</t>
    </r>
  </si>
  <si>
    <t>人工不明</t>
  </si>
  <si>
    <t>軸組・下地</t>
  </si>
  <si>
    <t>天井野地板張り</t>
  </si>
  <si>
    <t>間柱設置及び筋交い設置</t>
  </si>
  <si>
    <t>外壁下地</t>
  </si>
  <si>
    <t>ノボパン張り</t>
  </si>
  <si>
    <r>
      <rPr>
        <sz val="9"/>
        <rFont val="Noto Sans CJK SC"/>
        <family val="2"/>
      </rPr>
      <t>ノボパン張り（午前中</t>
    </r>
    <r>
      <rPr>
        <sz val="9"/>
        <rFont val="Meiryo"/>
        <charset val="1"/>
      </rPr>
      <t>DMM</t>
    </r>
    <r>
      <rPr>
        <sz val="9"/>
        <rFont val="Noto Sans CJK SC"/>
        <family val="2"/>
      </rPr>
      <t>）</t>
    </r>
  </si>
  <si>
    <r>
      <rPr>
        <sz val="9"/>
        <rFont val="Noto Sans CJK SC"/>
        <family val="2"/>
      </rPr>
      <t>午前中</t>
    </r>
    <r>
      <rPr>
        <sz val="9"/>
        <rFont val="Meiryo"/>
        <charset val="1"/>
      </rPr>
      <t>DMM→1</t>
    </r>
    <r>
      <rPr>
        <sz val="9"/>
        <rFont val="Noto Sans CJK SC"/>
        <family val="2"/>
      </rPr>
      <t>人工で計上</t>
    </r>
  </si>
  <si>
    <t>外壁下地ノボパン張り</t>
  </si>
  <si>
    <t>外壁下地ノボパン張り・サッシ取付</t>
  </si>
  <si>
    <r>
      <rPr>
        <sz val="9"/>
        <rFont val="Noto Sans CJK SC"/>
        <family val="2"/>
      </rPr>
      <t>當山は現場に来ていない（午前中</t>
    </r>
    <r>
      <rPr>
        <sz val="9"/>
        <rFont val="Meiryo"/>
        <charset val="1"/>
      </rPr>
      <t>DMM</t>
    </r>
    <r>
      <rPr>
        <sz val="9"/>
        <rFont val="Noto Sans CJK SC"/>
        <family val="2"/>
      </rPr>
      <t>）</t>
    </r>
  </si>
  <si>
    <r>
      <rPr>
        <sz val="9"/>
        <rFont val="Meiryo"/>
        <charset val="1"/>
      </rPr>
      <t>15</t>
    </r>
    <r>
      <rPr>
        <sz val="9"/>
        <rFont val="Noto Sans CJK SC"/>
        <family val="2"/>
      </rPr>
      <t>時より外壁下地ノボパン釘打ち、内部間柱筋交い・玄関廻り間柱設置</t>
    </r>
  </si>
  <si>
    <r>
      <rPr>
        <sz val="9"/>
        <rFont val="Noto Sans CJK SC"/>
        <family val="2"/>
      </rPr>
      <t>午前中</t>
    </r>
    <r>
      <rPr>
        <sz val="9"/>
        <rFont val="Meiryo"/>
        <charset val="1"/>
      </rPr>
      <t>DMM</t>
    </r>
    <r>
      <rPr>
        <sz val="9"/>
        <rFont val="Noto Sans CJK SC"/>
        <family val="2"/>
      </rPr>
      <t>位置出し後</t>
    </r>
  </si>
  <si>
    <t>現場管理・清掃</t>
  </si>
  <si>
    <t>現場清掃・金物検査立会い・資材設置</t>
  </si>
  <si>
    <r>
      <rPr>
        <sz val="9"/>
        <rFont val="Noto Sans CJK SC"/>
        <family val="2"/>
      </rPr>
      <t>同上（午後</t>
    </r>
    <r>
      <rPr>
        <sz val="9"/>
        <rFont val="Meiryo"/>
        <charset val="1"/>
      </rPr>
      <t>2</t>
    </r>
    <r>
      <rPr>
        <sz val="9"/>
        <rFont val="Noto Sans CJK SC"/>
        <family val="2"/>
      </rPr>
      <t>〜</t>
    </r>
    <r>
      <rPr>
        <sz val="9"/>
        <rFont val="Meiryo"/>
        <charset val="1"/>
      </rPr>
      <t>3</t>
    </r>
    <r>
      <rPr>
        <sz val="9"/>
        <rFont val="Noto Sans CJK SC"/>
        <family val="2"/>
      </rPr>
      <t>時間）</t>
    </r>
  </si>
  <si>
    <r>
      <rPr>
        <sz val="9"/>
        <rFont val="Noto Sans CJK SC"/>
        <family val="2"/>
      </rPr>
      <t>午後</t>
    </r>
    <r>
      <rPr>
        <sz val="9"/>
        <rFont val="Meiryo"/>
        <charset val="1"/>
      </rPr>
      <t>2</t>
    </r>
    <r>
      <rPr>
        <sz val="9"/>
        <rFont val="Noto Sans CJK SC"/>
        <family val="2"/>
      </rPr>
      <t>〜</t>
    </r>
    <r>
      <rPr>
        <sz val="9"/>
        <rFont val="Meiryo"/>
        <charset val="1"/>
      </rPr>
      <t>3</t>
    </r>
    <r>
      <rPr>
        <sz val="9"/>
        <rFont val="Noto Sans CJK SC"/>
        <family val="2"/>
      </rPr>
      <t>時間→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人工で計上</t>
    </r>
  </si>
  <si>
    <t>外壁防水シート</t>
  </si>
  <si>
    <t>稲嶺（屋根・外壁）</t>
  </si>
  <si>
    <t>外壁タイベックシート張り</t>
  </si>
  <si>
    <t>作業員・作業内容の記載なし</t>
  </si>
  <si>
    <t>記載なし</t>
  </si>
  <si>
    <t>内部作業（作業内容記載なし）</t>
  </si>
  <si>
    <t>電気配線</t>
  </si>
  <si>
    <t>電気業者</t>
  </si>
  <si>
    <t>配線設置</t>
  </si>
  <si>
    <t>外壁サイディング</t>
  </si>
  <si>
    <t>外壁サイディング業者</t>
  </si>
  <si>
    <t>外壁サイディング張り</t>
  </si>
  <si>
    <t>断熱工事</t>
  </si>
  <si>
    <t>断熱材張り・防湿シート張り</t>
  </si>
  <si>
    <t>山里</t>
  </si>
  <si>
    <r>
      <rPr>
        <sz val="9"/>
        <rFont val="Noto Sans CJK SC"/>
        <family val="2"/>
      </rPr>
      <t>内装下地（</t>
    </r>
    <r>
      <rPr>
        <sz val="9"/>
        <rFont val="Meiryo"/>
        <charset val="1"/>
      </rPr>
      <t>PB</t>
    </r>
    <r>
      <rPr>
        <sz val="9"/>
        <rFont val="Noto Sans CJK SC"/>
        <family val="2"/>
      </rPr>
      <t>）</t>
    </r>
  </si>
  <si>
    <r>
      <rPr>
        <sz val="9"/>
        <rFont val="Noto Sans CJK SC"/>
        <family val="2"/>
      </rPr>
      <t>内部壁</t>
    </r>
    <r>
      <rPr>
        <sz val="9"/>
        <rFont val="Meiryo"/>
        <charset val="1"/>
      </rPr>
      <t>PB</t>
    </r>
    <r>
      <rPr>
        <sz val="9"/>
        <rFont val="Noto Sans CJK SC"/>
        <family val="2"/>
      </rPr>
      <t>ボード張り・断熱材シート張り</t>
    </r>
  </si>
  <si>
    <t>元記載「明日建設株式会社」→アース建設</t>
  </si>
  <si>
    <t>配線工事</t>
  </si>
  <si>
    <r>
      <rPr>
        <sz val="9"/>
        <rFont val="Noto Sans CJK SC"/>
        <family val="2"/>
      </rPr>
      <t>内部壁</t>
    </r>
    <r>
      <rPr>
        <sz val="9"/>
        <rFont val="Meiryo"/>
        <charset val="1"/>
      </rPr>
      <t>PB</t>
    </r>
    <r>
      <rPr>
        <sz val="9"/>
        <rFont val="Noto Sans CJK SC"/>
        <family val="2"/>
      </rPr>
      <t>ボード張り</t>
    </r>
  </si>
  <si>
    <r>
      <rPr>
        <sz val="9"/>
        <rFont val="Noto Sans CJK SC"/>
        <family val="2"/>
      </rPr>
      <t>内部壁</t>
    </r>
    <r>
      <rPr>
        <sz val="9"/>
        <rFont val="Meiryo"/>
        <charset val="1"/>
      </rPr>
      <t>PB</t>
    </r>
    <r>
      <rPr>
        <sz val="9"/>
        <rFont val="Noto Sans CJK SC"/>
        <family val="2"/>
      </rPr>
      <t>ボード張り・ユニットバス設置</t>
    </r>
  </si>
  <si>
    <t>壁自然換気穴あけ間違え直し作業</t>
  </si>
  <si>
    <t>上部 電気業者間違え箇所 張り直し</t>
  </si>
  <si>
    <r>
      <rPr>
        <sz val="9"/>
        <rFont val="Noto Sans CJK SC"/>
        <family val="2"/>
      </rPr>
      <t>内部壁</t>
    </r>
    <r>
      <rPr>
        <sz val="9"/>
        <rFont val="Meiryo"/>
        <charset val="1"/>
      </rPr>
      <t>PB</t>
    </r>
    <r>
      <rPr>
        <sz val="9"/>
        <rFont val="Noto Sans CJK SC"/>
        <family val="2"/>
      </rPr>
      <t>ボード張り（午前 沖銀防風対策）</t>
    </r>
  </si>
  <si>
    <r>
      <rPr>
        <sz val="9"/>
        <rFont val="Noto Sans CJK SC"/>
        <family val="2"/>
      </rPr>
      <t>午前中別現場→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人工で計上</t>
    </r>
  </si>
  <si>
    <t>ユニットバス設置</t>
  </si>
  <si>
    <t>ユニットバス業者</t>
  </si>
  <si>
    <r>
      <rPr>
        <sz val="9"/>
        <rFont val="Noto Sans CJK SC"/>
        <family val="2"/>
      </rPr>
      <t>ユニットバス設置指導（午後より</t>
    </r>
    <r>
      <rPr>
        <sz val="9"/>
        <rFont val="Meiryo"/>
        <charset val="1"/>
      </rPr>
      <t>2</t>
    </r>
    <r>
      <rPr>
        <sz val="9"/>
        <rFont val="Noto Sans CJK SC"/>
        <family val="2"/>
      </rPr>
      <t>人応援）</t>
    </r>
  </si>
  <si>
    <t>コーキング</t>
  </si>
  <si>
    <t>コーキング業者</t>
  </si>
  <si>
    <t>外部シーリング塗布</t>
  </si>
  <si>
    <r>
      <rPr>
        <sz val="9"/>
        <rFont val="Noto Sans CJK SC"/>
        <family val="2"/>
      </rPr>
      <t>内部壁</t>
    </r>
    <r>
      <rPr>
        <sz val="9"/>
        <rFont val="Meiryo"/>
        <charset val="1"/>
      </rPr>
      <t>PB</t>
    </r>
    <r>
      <rPr>
        <sz val="9"/>
        <rFont val="Noto Sans CJK SC"/>
        <family val="2"/>
      </rPr>
      <t>ボード張り・現場台風対策片付け</t>
    </r>
  </si>
  <si>
    <t>作業内容の記載なし</t>
  </si>
  <si>
    <t>作業内容記載なし</t>
  </si>
  <si>
    <t>台風のため終日休み</t>
  </si>
  <si>
    <t>開口部直し（昼前連絡あり）</t>
  </si>
  <si>
    <t>宮城久一</t>
  </si>
  <si>
    <t>天井下地</t>
  </si>
  <si>
    <t>開口下地作成及び天井下地</t>
  </si>
  <si>
    <t>平良</t>
  </si>
  <si>
    <t>作業内容の記載なし（前後から天井下地と推定）</t>
  </si>
  <si>
    <r>
      <rPr>
        <sz val="9"/>
        <rFont val="Noto Sans CJK SC"/>
        <family val="2"/>
      </rPr>
      <t>同上（</t>
    </r>
    <r>
      <rPr>
        <sz val="9"/>
        <rFont val="Meiryo"/>
        <charset val="1"/>
      </rPr>
      <t>3</t>
    </r>
    <r>
      <rPr>
        <sz val="9"/>
        <rFont val="Noto Sans CJK SC"/>
        <family val="2"/>
      </rPr>
      <t>時まで沖縄銀行 台風巻上げ）</t>
    </r>
  </si>
  <si>
    <r>
      <rPr>
        <sz val="9"/>
        <rFont val="Noto Sans CJK SC"/>
        <family val="2"/>
      </rPr>
      <t>別現場後→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人工で計上</t>
    </r>
  </si>
  <si>
    <t>天井下地作成</t>
  </si>
  <si>
    <t>理科取り、山里</t>
  </si>
  <si>
    <t>天井下地作成（午前中 沖縄銀行 台風巻上げ）</t>
  </si>
  <si>
    <r>
      <rPr>
        <sz val="9"/>
        <rFont val="Noto Sans CJK SC"/>
        <family val="2"/>
      </rPr>
      <t>天井下地作成（</t>
    </r>
    <r>
      <rPr>
        <sz val="9"/>
        <rFont val="Meiryo"/>
        <charset val="1"/>
      </rPr>
      <t>3</t>
    </r>
    <r>
      <rPr>
        <sz val="9"/>
        <rFont val="Noto Sans CJK SC"/>
        <family val="2"/>
      </rPr>
      <t>時ごろから）</t>
    </r>
  </si>
  <si>
    <r>
      <rPr>
        <sz val="9"/>
        <rFont val="Noto Sans CJK SC"/>
        <family val="2"/>
      </rPr>
      <t>夕方から→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人工で計上</t>
    </r>
  </si>
  <si>
    <t>天井下地組み</t>
  </si>
  <si>
    <t>リカ取り、山里、宮城</t>
  </si>
  <si>
    <t>電気工事</t>
  </si>
  <si>
    <t>屋根工事</t>
  </si>
  <si>
    <t>屋根業者</t>
  </si>
  <si>
    <t>天井下地（作業内容記載なし）</t>
  </si>
  <si>
    <t>同上（午前中 かりゆしファーム土出し）</t>
  </si>
  <si>
    <t>天井 断熱材設置及びプラスターボード張り</t>
  </si>
  <si>
    <t>天井プラスターボード張り</t>
  </si>
  <si>
    <t>クロス前穴あけ</t>
  </si>
  <si>
    <t>自社は新都心 長嶺邸フェンス工事のため谷邸作業なし（荷川取、山里、友寄）</t>
  </si>
  <si>
    <t>他現場稼働</t>
  </si>
  <si>
    <t>クロス工事</t>
  </si>
  <si>
    <t>内装業者（クロス）</t>
  </si>
  <si>
    <t>壁パテ埋め</t>
  </si>
  <si>
    <r>
      <rPr>
        <sz val="9"/>
        <rFont val="Noto Sans CJK SC"/>
        <family val="2"/>
      </rPr>
      <t>元記載「</t>
    </r>
    <r>
      <rPr>
        <sz val="9"/>
        <rFont val="Meiryo"/>
        <charset val="1"/>
      </rPr>
      <t>2</t>
    </r>
    <r>
      <rPr>
        <sz val="9"/>
        <rFont val="Noto Sans CJK SC"/>
        <family val="2"/>
      </rPr>
      <t>人</t>
    </r>
    <r>
      <rPr>
        <sz val="9"/>
        <rFont val="Meiryo"/>
        <charset val="1"/>
      </rPr>
      <t>9</t>
    </r>
    <r>
      <rPr>
        <sz val="9"/>
        <rFont val="Noto Sans CJK SC"/>
        <family val="2"/>
      </rPr>
      <t>」→</t>
    </r>
    <r>
      <rPr>
        <sz val="9"/>
        <rFont val="Meiryo"/>
        <charset val="1"/>
      </rPr>
      <t>2</t>
    </r>
    <r>
      <rPr>
        <sz val="9"/>
        <rFont val="Noto Sans CJK SC"/>
        <family val="2"/>
      </rPr>
      <t>人</t>
    </r>
  </si>
  <si>
    <t>ポーチ・土間</t>
  </si>
  <si>
    <t>午後より玄関ポーチ・土間吊り作業</t>
  </si>
  <si>
    <t>元記載「土間釣り」</t>
  </si>
  <si>
    <t>作業内容の記載なし（前日の続きと推定）</t>
  </si>
  <si>
    <t>に取り、山里</t>
  </si>
  <si>
    <t>クロス仕上げ張り</t>
  </si>
  <si>
    <t>床仕上げ（フローリング）</t>
  </si>
  <si>
    <t>床材及び仕上げ資材搬入</t>
  </si>
  <si>
    <r>
      <rPr>
        <sz val="9"/>
        <rFont val="Noto Sans CJK SC"/>
        <family val="2"/>
      </rPr>
      <t>クロス仕上げ張り（午後</t>
    </r>
    <r>
      <rPr>
        <sz val="9"/>
        <rFont val="Meiryo"/>
        <charset val="1"/>
      </rPr>
      <t>2</t>
    </r>
    <r>
      <rPr>
        <sz val="9"/>
        <rFont val="Noto Sans CJK SC"/>
        <family val="2"/>
      </rPr>
      <t>時まで）</t>
    </r>
  </si>
  <si>
    <t>フローリング張り</t>
  </si>
  <si>
    <t>施主 谷様 現場確認に来る</t>
  </si>
  <si>
    <t>ゆかローリング張り</t>
  </si>
  <si>
    <t>造作（框・幅木）</t>
  </si>
  <si>
    <t>大工ヨナハラ</t>
  </si>
  <si>
    <t>玄関框取付</t>
  </si>
  <si>
    <t>足場</t>
  </si>
  <si>
    <t>足場業者</t>
  </si>
  <si>
    <t>足場解体</t>
  </si>
  <si>
    <t>ガス工事</t>
  </si>
  <si>
    <t>ガス業者</t>
  </si>
  <si>
    <t>外部器具取付</t>
  </si>
  <si>
    <t>湯川取り</t>
  </si>
  <si>
    <t>仁川取り</t>
  </si>
  <si>
    <t>玄関框</t>
  </si>
  <si>
    <t>電気器具取付</t>
  </si>
  <si>
    <t>器具取付</t>
  </si>
  <si>
    <t>床張り及び幅木取付</t>
  </si>
  <si>
    <r>
      <rPr>
        <sz val="9"/>
        <rFont val="Noto Sans CJK SC"/>
        <family val="2"/>
      </rPr>
      <t>宮城</t>
    </r>
    <r>
      <rPr>
        <sz val="9"/>
        <rFont val="Meiryo"/>
        <charset val="1"/>
      </rPr>
      <t>.</t>
    </r>
    <r>
      <rPr>
        <sz val="9"/>
        <rFont val="Noto Sans CJK SC"/>
        <family val="2"/>
      </rPr>
      <t>山里</t>
    </r>
    <r>
      <rPr>
        <sz val="9"/>
        <rFont val="Meiryo"/>
        <charset val="1"/>
      </rPr>
      <t>.</t>
    </r>
    <r>
      <rPr>
        <sz val="9"/>
        <rFont val="Noto Sans CJK SC"/>
        <family val="2"/>
      </rPr>
      <t>取り</t>
    </r>
  </si>
  <si>
    <t>自社作業員の記載なし</t>
  </si>
  <si>
    <t>水道業者</t>
  </si>
  <si>
    <t>埋設配管</t>
  </si>
  <si>
    <t>検査</t>
  </si>
  <si>
    <r>
      <rPr>
        <sz val="9"/>
        <rFont val="Noto Sans CJK SC"/>
        <family val="2"/>
      </rPr>
      <t>ブロック打ち出し及び検査前片付け、検査</t>
    </r>
    <r>
      <rPr>
        <sz val="9"/>
        <rFont val="Meiryo"/>
        <charset val="1"/>
      </rPr>
      <t>11</t>
    </r>
    <r>
      <rPr>
        <sz val="9"/>
        <rFont val="Noto Sans CJK SC"/>
        <family val="2"/>
      </rPr>
      <t>時（設計 斉藤参加）</t>
    </r>
  </si>
  <si>
    <r>
      <rPr>
        <sz val="9"/>
        <rFont val="Noto Sans CJK SC"/>
        <family val="2"/>
      </rPr>
      <t>同上（</t>
    </r>
    <r>
      <rPr>
        <sz val="9"/>
        <rFont val="Meiryo"/>
        <charset val="1"/>
      </rPr>
      <t>3</t>
    </r>
    <r>
      <rPr>
        <sz val="9"/>
        <rFont val="Noto Sans CJK SC"/>
        <family val="2"/>
      </rPr>
      <t>時間）</t>
    </r>
  </si>
  <si>
    <r>
      <rPr>
        <sz val="9"/>
        <rFont val="Meiryo"/>
        <charset val="1"/>
      </rPr>
      <t>3</t>
    </r>
    <r>
      <rPr>
        <sz val="9"/>
        <rFont val="Noto Sans CJK SC"/>
        <family val="2"/>
      </rPr>
      <t>時間→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人工で計上。山里はかりゆしファーム</t>
    </r>
  </si>
  <si>
    <t>現場の片付け・清掃及び品物調達調査</t>
  </si>
  <si>
    <t>山里はかりゆしファーム</t>
  </si>
  <si>
    <t>防風ネット巻き上げ、中城住宅建築予定のお客様 現場案内</t>
  </si>
  <si>
    <t>給排水器具取付</t>
  </si>
  <si>
    <t>器具取付（水栓）</t>
  </si>
  <si>
    <t>元記載「推薦取り付け」→水栓取付と解釈</t>
  </si>
  <si>
    <t>内部床ボンド清掃</t>
  </si>
  <si>
    <t>タイル工事</t>
  </si>
  <si>
    <t>タイル業者</t>
  </si>
  <si>
    <t>玄関框・玄関タイル</t>
  </si>
  <si>
    <t>元記載「玄関釜」</t>
  </si>
  <si>
    <t>外構整地・掘削</t>
  </si>
  <si>
    <t>外構土間整地</t>
  </si>
  <si>
    <r>
      <rPr>
        <sz val="9"/>
        <rFont val="Noto Sans CJK SC"/>
        <family val="2"/>
      </rPr>
      <t>ミニユンボ</t>
    </r>
    <r>
      <rPr>
        <sz val="9"/>
        <rFont val="Meiryo"/>
        <charset val="1"/>
      </rPr>
      <t>0.1 1</t>
    </r>
    <r>
      <rPr>
        <sz val="9"/>
        <rFont val="Noto Sans CJK SC"/>
        <family val="2"/>
      </rPr>
      <t>台、プレート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台</t>
    </r>
  </si>
  <si>
    <r>
      <rPr>
        <sz val="9"/>
        <rFont val="Noto Sans CJK SC"/>
        <family val="2"/>
      </rPr>
      <t>元記載「外交とは整地」「本間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ユンボ」→コンマ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（</t>
    </r>
    <r>
      <rPr>
        <sz val="9"/>
        <rFont val="Meiryo"/>
        <charset val="1"/>
      </rPr>
      <t>0.1</t>
    </r>
    <r>
      <rPr>
        <sz val="9"/>
        <rFont val="Noto Sans CJK SC"/>
        <family val="2"/>
      </rPr>
      <t>）ユンボと解釈</t>
    </r>
  </si>
  <si>
    <t>玄関ポーチタイル貼り</t>
  </si>
  <si>
    <r>
      <rPr>
        <sz val="9"/>
        <rFont val="Noto Sans CJK SC"/>
        <family val="2"/>
      </rPr>
      <t>外構土間整地掘削（</t>
    </r>
    <r>
      <rPr>
        <sz val="9"/>
        <rFont val="Meiryo"/>
        <charset val="1"/>
      </rPr>
      <t>2t</t>
    </r>
    <r>
      <rPr>
        <sz val="9"/>
        <rFont val="Noto Sans CJK SC"/>
        <family val="2"/>
      </rPr>
      <t>ダンプ追加）</t>
    </r>
  </si>
  <si>
    <r>
      <rPr>
        <sz val="9"/>
        <rFont val="Noto Sans CJK SC"/>
        <family val="2"/>
      </rPr>
      <t>ミニユンボ</t>
    </r>
    <r>
      <rPr>
        <sz val="9"/>
        <rFont val="Meiryo"/>
        <charset val="1"/>
      </rPr>
      <t>0.1 1</t>
    </r>
    <r>
      <rPr>
        <sz val="9"/>
        <rFont val="Noto Sans CJK SC"/>
        <family val="2"/>
      </rPr>
      <t>台、プレート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台、クラッシャー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台、</t>
    </r>
    <r>
      <rPr>
        <sz val="9"/>
        <rFont val="Meiryo"/>
        <charset val="1"/>
      </rPr>
      <t>2t</t>
    </r>
    <r>
      <rPr>
        <sz val="9"/>
        <rFont val="Noto Sans CJK SC"/>
        <family val="2"/>
      </rPr>
      <t>ダンプ</t>
    </r>
  </si>
  <si>
    <r>
      <rPr>
        <sz val="9"/>
        <rFont val="Noto Sans CJK SC"/>
        <family val="2"/>
      </rPr>
      <t>三川取り</t>
    </r>
    <r>
      <rPr>
        <sz val="9"/>
        <rFont val="Meiryo"/>
        <charset val="1"/>
      </rPr>
      <t>.</t>
    </r>
    <r>
      <rPr>
        <sz val="9"/>
        <rFont val="Noto Sans CJK SC"/>
        <family val="2"/>
      </rPr>
      <t>山里</t>
    </r>
    <r>
      <rPr>
        <sz val="9"/>
        <rFont val="Meiryo"/>
        <charset val="1"/>
      </rPr>
      <t>.</t>
    </r>
    <r>
      <rPr>
        <sz val="9"/>
        <rFont val="Noto Sans CJK SC"/>
        <family val="2"/>
      </rPr>
      <t>と当山</t>
    </r>
  </si>
  <si>
    <t>マスター（選択リスト）</t>
  </si>
  <si>
    <r>
      <rPr>
        <sz val="9"/>
        <color rgb="FF595959"/>
        <rFont val="Noto Sans CJK SC"/>
        <family val="2"/>
      </rPr>
      <t xml:space="preserve">行を追加すると台帳のプルダウンに反映されます（各列 </t>
    </r>
    <r>
      <rPr>
        <sz val="9"/>
        <color rgb="FF595959"/>
        <rFont val="Meiryo"/>
        <charset val="1"/>
      </rPr>
      <t xml:space="preserve">200 </t>
    </r>
    <r>
      <rPr>
        <sz val="9"/>
        <color rgb="FF595959"/>
        <rFont val="Noto Sans CJK SC"/>
        <family val="2"/>
      </rPr>
      <t>行まで見ています）。工種には必ず工程を対で入れてください。</t>
    </r>
  </si>
  <si>
    <t>工程（工種の親）</t>
  </si>
  <si>
    <t>作業員（自社）</t>
  </si>
  <si>
    <t>準備・仮設工事</t>
  </si>
  <si>
    <t>仮設工事</t>
  </si>
  <si>
    <r>
      <rPr>
        <sz val="10"/>
        <rFont val="Noto Sans CJK SC"/>
        <family val="2"/>
      </rPr>
      <t>ミニユンボ</t>
    </r>
    <r>
      <rPr>
        <sz val="10"/>
        <rFont val="Meiryo"/>
        <charset val="1"/>
      </rPr>
      <t>0.1</t>
    </r>
  </si>
  <si>
    <r>
      <rPr>
        <sz val="10"/>
        <rFont val="Meiryo"/>
        <charset val="1"/>
      </rPr>
      <t>15</t>
    </r>
    <r>
      <rPr>
        <sz val="10"/>
        <rFont val="Noto Sans CJK SC"/>
        <family val="2"/>
      </rPr>
      <t>時より外壁下地ノボパン釘打ち、内部間柱筋交い・玄関廻り間柱設置</t>
    </r>
  </si>
  <si>
    <t>土工事</t>
  </si>
  <si>
    <r>
      <rPr>
        <sz val="10"/>
        <rFont val="Noto Sans CJK SC"/>
        <family val="2"/>
      </rPr>
      <t>ミニユンボ</t>
    </r>
    <r>
      <rPr>
        <sz val="10"/>
        <rFont val="Meiryo"/>
        <charset val="1"/>
      </rPr>
      <t>0.2</t>
    </r>
  </si>
  <si>
    <r>
      <rPr>
        <sz val="10"/>
        <rFont val="Noto Sans CJK SC"/>
        <family val="2"/>
      </rPr>
      <t>クレーン車</t>
    </r>
    <r>
      <rPr>
        <sz val="10"/>
        <rFont val="Meiryo"/>
        <charset val="1"/>
      </rPr>
      <t>15t 1</t>
    </r>
    <r>
      <rPr>
        <sz val="10"/>
        <rFont val="Noto Sans CJK SC"/>
        <family val="2"/>
      </rPr>
      <t>台（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日）</t>
    </r>
  </si>
  <si>
    <t>擁壁工事</t>
  </si>
  <si>
    <r>
      <rPr>
        <sz val="10"/>
        <rFont val="Noto Sans CJK SC"/>
        <family val="2"/>
      </rPr>
      <t>ユンボ</t>
    </r>
    <r>
      <rPr>
        <sz val="10"/>
        <rFont val="Meiryo"/>
        <charset val="1"/>
      </rPr>
      <t>0.4</t>
    </r>
  </si>
  <si>
    <t>地盤改良工事</t>
  </si>
  <si>
    <r>
      <rPr>
        <sz val="10"/>
        <rFont val="Meiryo"/>
        <charset val="1"/>
      </rPr>
      <t>2t</t>
    </r>
    <r>
      <rPr>
        <sz val="10"/>
        <rFont val="Noto Sans CJK SC"/>
        <family val="2"/>
      </rPr>
      <t>ダンプ</t>
    </r>
  </si>
  <si>
    <r>
      <rPr>
        <sz val="10"/>
        <rFont val="Noto Sans CJK SC"/>
        <family val="2"/>
      </rPr>
      <t>クロス仕上げ張り（午後</t>
    </r>
    <r>
      <rPr>
        <sz val="10"/>
        <rFont val="Meiryo"/>
        <charset val="1"/>
      </rPr>
      <t>2</t>
    </r>
    <r>
      <rPr>
        <sz val="10"/>
        <rFont val="Noto Sans CJK SC"/>
        <family val="2"/>
      </rPr>
      <t>時まで）</t>
    </r>
  </si>
  <si>
    <t>基礎工事</t>
  </si>
  <si>
    <t>クラッシャー</t>
  </si>
  <si>
    <t>木工事</t>
  </si>
  <si>
    <r>
      <rPr>
        <sz val="10"/>
        <rFont val="Meiryo"/>
        <charset val="1"/>
      </rPr>
      <t>1t</t>
    </r>
    <r>
      <rPr>
        <sz val="10"/>
        <rFont val="Noto Sans CJK SC"/>
        <family val="2"/>
      </rPr>
      <t>ローラー</t>
    </r>
  </si>
  <si>
    <t>屋根・外壁工事</t>
  </si>
  <si>
    <t>ランマー</t>
  </si>
  <si>
    <r>
      <rPr>
        <sz val="10"/>
        <rFont val="Noto Sans CJK SC"/>
        <family val="2"/>
      </rPr>
      <t>ノボパン張り（午前中</t>
    </r>
    <r>
      <rPr>
        <sz val="10"/>
        <rFont val="Meiryo"/>
        <charset val="1"/>
      </rPr>
      <t>DMM</t>
    </r>
    <r>
      <rPr>
        <sz val="10"/>
        <rFont val="Noto Sans CJK SC"/>
        <family val="2"/>
      </rPr>
      <t>）</t>
    </r>
  </si>
  <si>
    <t>内装仕上げ工事</t>
  </si>
  <si>
    <t>プレート</t>
  </si>
  <si>
    <t>電気設備工事</t>
  </si>
  <si>
    <r>
      <rPr>
        <sz val="10"/>
        <rFont val="Meiryo"/>
        <charset val="1"/>
      </rPr>
      <t>10t</t>
    </r>
    <r>
      <rPr>
        <sz val="10"/>
        <rFont val="Noto Sans CJK SC"/>
        <family val="2"/>
      </rPr>
      <t>ダンプ</t>
    </r>
  </si>
  <si>
    <r>
      <rPr>
        <sz val="10"/>
        <rFont val="Noto Sans CJK SC"/>
        <family val="2"/>
      </rPr>
      <t>ブロック打ち出し及び検査前片付け、検査</t>
    </r>
    <r>
      <rPr>
        <sz val="10"/>
        <rFont val="Meiryo"/>
        <charset val="1"/>
      </rPr>
      <t>11</t>
    </r>
    <r>
      <rPr>
        <sz val="10"/>
        <rFont val="Noto Sans CJK SC"/>
        <family val="2"/>
      </rPr>
      <t>時（設計 斉藤参加）</t>
    </r>
  </si>
  <si>
    <t>給排水設備工事</t>
  </si>
  <si>
    <t>ユニック</t>
  </si>
  <si>
    <t>外構工事</t>
  </si>
  <si>
    <r>
      <rPr>
        <sz val="10"/>
        <rFont val="Noto Sans CJK SC"/>
        <family val="2"/>
      </rPr>
      <t>クレーン車</t>
    </r>
    <r>
      <rPr>
        <sz val="10"/>
        <rFont val="Meiryo"/>
        <charset val="1"/>
      </rPr>
      <t>15t</t>
    </r>
  </si>
  <si>
    <t>その他</t>
  </si>
  <si>
    <r>
      <rPr>
        <sz val="10"/>
        <rFont val="Noto Sans CJK SC"/>
        <family val="2"/>
      </rPr>
      <t>ユニットバス設置指導（午後より</t>
    </r>
    <r>
      <rPr>
        <sz val="10"/>
        <rFont val="Meiryo"/>
        <charset val="1"/>
      </rPr>
      <t>2</t>
    </r>
    <r>
      <rPr>
        <sz val="10"/>
        <rFont val="Noto Sans CJK SC"/>
        <family val="2"/>
      </rPr>
      <t>人応援）</t>
    </r>
  </si>
  <si>
    <t>サッシ取付</t>
  </si>
  <si>
    <r>
      <rPr>
        <sz val="10"/>
        <rFont val="Noto Sans CJK SC"/>
        <family val="2"/>
      </rPr>
      <t>内部壁</t>
    </r>
    <r>
      <rPr>
        <sz val="10"/>
        <rFont val="Meiryo"/>
        <charset val="1"/>
      </rPr>
      <t>PB</t>
    </r>
    <r>
      <rPr>
        <sz val="10"/>
        <rFont val="Noto Sans CJK SC"/>
        <family val="2"/>
      </rPr>
      <t>ボード張り</t>
    </r>
  </si>
  <si>
    <r>
      <rPr>
        <sz val="10"/>
        <rFont val="Noto Sans CJK SC"/>
        <family val="2"/>
      </rPr>
      <t>内装下地（</t>
    </r>
    <r>
      <rPr>
        <sz val="10"/>
        <rFont val="Meiryo"/>
        <charset val="1"/>
      </rPr>
      <t>PB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</si>
  <si>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内部壁</t>
    </r>
    <r>
      <rPr>
        <sz val="10"/>
        <rFont val="Meiryo"/>
        <charset val="1"/>
      </rPr>
      <t>PB</t>
    </r>
    <r>
      <rPr>
        <sz val="10"/>
        <rFont val="Noto Sans CJK SC"/>
        <family val="2"/>
      </rPr>
      <t>ボード張り・ユニットバス設置</t>
    </r>
  </si>
  <si>
    <r>
      <rPr>
        <sz val="10"/>
        <rFont val="Noto Sans CJK SC"/>
        <family val="2"/>
      </rPr>
      <t>内部壁</t>
    </r>
    <r>
      <rPr>
        <sz val="10"/>
        <rFont val="Meiryo"/>
        <charset val="1"/>
      </rPr>
      <t>PB</t>
    </r>
    <r>
      <rPr>
        <sz val="10"/>
        <rFont val="Noto Sans CJK SC"/>
        <family val="2"/>
      </rPr>
      <t>ボード張り・断熱材シート張り</t>
    </r>
  </si>
  <si>
    <r>
      <rPr>
        <sz val="10"/>
        <rFont val="Noto Sans CJK SC"/>
        <family val="2"/>
      </rPr>
      <t>内部壁</t>
    </r>
    <r>
      <rPr>
        <sz val="10"/>
        <rFont val="Meiryo"/>
        <charset val="1"/>
      </rPr>
      <t>PB</t>
    </r>
    <r>
      <rPr>
        <sz val="10"/>
        <rFont val="Noto Sans CJK SC"/>
        <family val="2"/>
      </rPr>
      <t>ボード張り・現場台風対策片付け</t>
    </r>
  </si>
  <si>
    <r>
      <rPr>
        <sz val="10"/>
        <rFont val="Noto Sans CJK SC"/>
        <family val="2"/>
      </rPr>
      <t>内部壁</t>
    </r>
    <r>
      <rPr>
        <sz val="10"/>
        <rFont val="Meiryo"/>
        <charset val="1"/>
      </rPr>
      <t>PB</t>
    </r>
    <r>
      <rPr>
        <sz val="10"/>
        <rFont val="Noto Sans CJK SC"/>
        <family val="2"/>
      </rPr>
      <t>ボード張り（午前 沖銀防風対策）</t>
    </r>
  </si>
  <si>
    <r>
      <rPr>
        <sz val="10"/>
        <rFont val="Noto Sans CJK SC"/>
        <family val="2"/>
      </rPr>
      <t>台風のため作業中断（</t>
    </r>
    <r>
      <rPr>
        <sz val="10"/>
        <rFont val="Meiryo"/>
        <charset val="1"/>
      </rPr>
      <t>6/26</t>
    </r>
    <r>
      <rPr>
        <sz val="10"/>
        <rFont val="Noto Sans CJK SC"/>
        <family val="2"/>
      </rPr>
      <t>〜</t>
    </r>
    <r>
      <rPr>
        <sz val="10"/>
        <rFont val="Meiryo"/>
        <charset val="1"/>
      </rPr>
      <t>28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</si>
  <si>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同上（</t>
    </r>
    <r>
      <rPr>
        <sz val="10"/>
        <rFont val="Meiryo"/>
        <charset val="1"/>
      </rPr>
      <t>3</t>
    </r>
    <r>
      <rPr>
        <sz val="10"/>
        <rFont val="Noto Sans CJK SC"/>
        <family val="2"/>
      </rPr>
      <t>時まで沖縄銀行 台風巻上げ）</t>
    </r>
  </si>
  <si>
    <r>
      <rPr>
        <sz val="10"/>
        <rFont val="Noto Sans CJK SC"/>
        <family val="2"/>
      </rPr>
      <t>同上（</t>
    </r>
    <r>
      <rPr>
        <sz val="10"/>
        <rFont val="Meiryo"/>
        <charset val="1"/>
      </rPr>
      <t>3</t>
    </r>
    <r>
      <rPr>
        <sz val="10"/>
        <rFont val="Noto Sans CJK SC"/>
        <family val="2"/>
      </rPr>
      <t>時間）</t>
    </r>
  </si>
  <si>
    <r>
      <rPr>
        <sz val="10"/>
        <rFont val="Noto Sans CJK SC"/>
        <family val="2"/>
      </rPr>
      <t>同上（午後</t>
    </r>
    <r>
      <rPr>
        <sz val="10"/>
        <rFont val="Meiryo"/>
        <charset val="1"/>
      </rPr>
      <t>2</t>
    </r>
    <r>
      <rPr>
        <sz val="10"/>
        <rFont val="Noto Sans CJK SC"/>
        <family val="2"/>
      </rPr>
      <t>〜</t>
    </r>
    <r>
      <rPr>
        <sz val="10"/>
        <rFont val="Meiryo"/>
        <charset val="1"/>
      </rPr>
      <t>3</t>
    </r>
    <r>
      <rPr>
        <sz val="10"/>
        <rFont val="Noto Sans CJK SC"/>
        <family val="2"/>
      </rPr>
      <t>時間）</t>
    </r>
  </si>
  <si>
    <r>
      <rPr>
        <sz val="10"/>
        <rFont val="Noto Sans CJK SC"/>
        <family val="2"/>
      </rPr>
      <t>土間左官（その他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人）</t>
    </r>
  </si>
  <si>
    <r>
      <rPr>
        <sz val="10"/>
        <rFont val="Noto Sans CJK SC"/>
        <family val="2"/>
      </rPr>
      <t>基礎コンクリート打設（生コン車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 xml:space="preserve">台 </t>
    </r>
    <r>
      <rPr>
        <sz val="10"/>
        <rFont val="Meiryo"/>
        <charset val="1"/>
      </rPr>
      <t>4m3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</si>
  <si>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基礎底盤打設（生コン</t>
    </r>
    <r>
      <rPr>
        <sz val="10"/>
        <rFont val="Meiryo"/>
        <charset val="1"/>
      </rPr>
      <t>24m3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</si>
  <si>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外構土間整地掘削（</t>
    </r>
    <r>
      <rPr>
        <sz val="10"/>
        <rFont val="Meiryo"/>
        <charset val="1"/>
      </rPr>
      <t>2t</t>
    </r>
    <r>
      <rPr>
        <sz val="10"/>
        <rFont val="Noto Sans CJK SC"/>
        <family val="2"/>
      </rPr>
      <t>ダンプ追加）</t>
    </r>
  </si>
  <si>
    <r>
      <rPr>
        <sz val="10"/>
        <rFont val="Noto Sans CJK SC"/>
        <family val="2"/>
      </rPr>
      <t>天井下地作成（</t>
    </r>
    <r>
      <rPr>
        <sz val="10"/>
        <rFont val="Meiryo"/>
        <charset val="1"/>
      </rPr>
      <t>3</t>
    </r>
    <r>
      <rPr>
        <sz val="10"/>
        <rFont val="Noto Sans CJK SC"/>
        <family val="2"/>
      </rPr>
      <t>時ごろから）</t>
    </r>
  </si>
  <si>
    <r>
      <rPr>
        <sz val="10"/>
        <rFont val="Noto Sans CJK SC"/>
        <family val="2"/>
      </rPr>
      <t>擁壁基礎整地、捨てコン打設</t>
    </r>
    <r>
      <rPr>
        <sz val="10"/>
        <rFont val="Meiryo"/>
        <charset val="1"/>
      </rPr>
      <t>1.5m3</t>
    </r>
  </si>
  <si>
    <r>
      <rPr>
        <sz val="10"/>
        <rFont val="Noto Sans CJK SC"/>
        <family val="2"/>
      </rPr>
      <t>残りの掘削、白蟻防除散布・土壌処理、土間防湿ポリシート敷込み、捨てコン打設</t>
    </r>
    <r>
      <rPr>
        <sz val="10"/>
        <rFont val="Meiryo"/>
        <charset val="1"/>
      </rPr>
      <t>2m3</t>
    </r>
  </si>
  <si>
    <r>
      <rPr>
        <sz val="10"/>
        <rFont val="Noto Sans CJK SC"/>
        <family val="2"/>
      </rPr>
      <t xml:space="preserve">残土搬出 </t>
    </r>
    <r>
      <rPr>
        <sz val="10"/>
        <rFont val="Meiryo"/>
        <charset val="1"/>
      </rPr>
      <t>10t</t>
    </r>
    <r>
      <rPr>
        <sz val="10"/>
        <rFont val="Noto Sans CJK SC"/>
        <family val="2"/>
      </rPr>
      <t>ダンプ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台</t>
    </r>
  </si>
  <si>
    <r>
      <rPr>
        <sz val="10"/>
        <rFont val="Noto Sans CJK SC"/>
        <family val="2"/>
      </rPr>
      <t xml:space="preserve">残土搬出 </t>
    </r>
    <r>
      <rPr>
        <sz val="10"/>
        <rFont val="Meiryo"/>
        <charset val="1"/>
      </rPr>
      <t>10t</t>
    </r>
    <r>
      <rPr>
        <sz val="10"/>
        <rFont val="Noto Sans CJK SC"/>
        <family val="2"/>
      </rPr>
      <t>ダンプ</t>
    </r>
    <r>
      <rPr>
        <sz val="10"/>
        <rFont val="Meiryo"/>
        <charset val="1"/>
      </rPr>
      <t>6</t>
    </r>
    <r>
      <rPr>
        <sz val="10"/>
        <rFont val="Noto Sans CJK SC"/>
        <family val="2"/>
      </rPr>
      <t>台</t>
    </r>
  </si>
  <si>
    <r>
      <rPr>
        <sz val="10"/>
        <rFont val="Noto Sans CJK SC"/>
        <family val="2"/>
      </rPr>
      <t>生コン</t>
    </r>
    <r>
      <rPr>
        <sz val="10"/>
        <rFont val="Meiryo"/>
        <charset val="1"/>
      </rPr>
      <t>24m3</t>
    </r>
    <r>
      <rPr>
        <sz val="10"/>
        <rFont val="Noto Sans CJK SC"/>
        <family val="2"/>
      </rPr>
      <t>（</t>
    </r>
    <r>
      <rPr>
        <sz val="10"/>
        <rFont val="Meiryo"/>
        <charset val="1"/>
      </rPr>
      <t>21.18</t>
    </r>
    <r>
      <rPr>
        <sz val="10"/>
        <rFont val="Noto Sans CJK SC"/>
        <family val="2"/>
      </rPr>
      <t>）</t>
    </r>
  </si>
  <si>
    <t>日別集計（工程別人工と累計）</t>
  </si>
  <si>
    <r>
      <rPr>
        <sz val="9"/>
        <color rgb="FF595959"/>
        <rFont val="Noto Sans CJK SC"/>
        <family val="2"/>
      </rPr>
      <t xml:space="preserve">台帳から自動集計。日付は </t>
    </r>
    <r>
      <rPr>
        <sz val="9"/>
        <color rgb="FF595959"/>
        <rFont val="Meiryo"/>
        <charset val="1"/>
      </rPr>
      <t>4/20</t>
    </r>
    <r>
      <rPr>
        <sz val="9"/>
        <color rgb="FF595959"/>
        <rFont val="Noto Sans CJK SC"/>
        <family val="2"/>
      </rPr>
      <t>〜</t>
    </r>
    <r>
      <rPr>
        <sz val="9"/>
        <color rgb="FF595959"/>
        <rFont val="Meiryo"/>
        <charset val="1"/>
      </rPr>
      <t xml:space="preserve">9/2 </t>
    </r>
    <r>
      <rPr>
        <sz val="9"/>
        <color rgb="FF595959"/>
        <rFont val="Noto Sans CJK SC"/>
        <family val="2"/>
      </rPr>
      <t>の全日（休工日も表示）。</t>
    </r>
  </si>
  <si>
    <t>合計</t>
  </si>
  <si>
    <t>累計 準備・仮設工事</t>
  </si>
  <si>
    <t>累計 土工事</t>
  </si>
  <si>
    <t>累計 擁壁工事</t>
  </si>
  <si>
    <t>累計 地盤改良工事</t>
  </si>
  <si>
    <t>累計 基礎工事</t>
  </si>
  <si>
    <t>累計 木工事</t>
  </si>
  <si>
    <t>累計 屋根・外壁工事</t>
  </si>
  <si>
    <t>累計 内装仕上げ工事</t>
  </si>
  <si>
    <t>累計 電気設備工事</t>
  </si>
  <si>
    <t>累計 給排水設備工事</t>
  </si>
  <si>
    <t>累計 外構工事</t>
  </si>
  <si>
    <t>累計 その他</t>
  </si>
  <si>
    <t>累計 自社</t>
  </si>
  <si>
    <t>累計 業者</t>
  </si>
  <si>
    <t>累計 合計</t>
  </si>
  <si>
    <t>その日の作業内容（自社）</t>
  </si>
  <si>
    <t>工種別 日別人工マトリクス</t>
  </si>
  <si>
    <t>行＝日付、列＝工種（工程の順）。台帳から自動集計。</t>
  </si>
  <si>
    <r>
      <rPr>
        <b/>
        <sz val="10"/>
        <color rgb="FFFFFFFF"/>
        <rFont val="Noto Sans CJK SC"/>
        <family val="2"/>
      </rPr>
      <t>内装下地（</t>
    </r>
    <r>
      <rPr>
        <b/>
        <sz val="10"/>
        <color rgb="FFFFFFFF"/>
        <rFont val="Meiryo"/>
        <charset val="1"/>
      </rPr>
      <t>PB</t>
    </r>
    <r>
      <rPr>
        <b/>
        <sz val="10"/>
        <color rgb="FFFFFFFF"/>
        <rFont val="Noto Sans CJK SC"/>
        <family val="2"/>
      </rPr>
      <t>）</t>
    </r>
  </si>
  <si>
    <t>確認事項（元日報から読み取れなかった点・修正した点）</t>
  </si>
  <si>
    <t>台帳の「備考」「元記載」列にも同じ内容を残しています。</t>
  </si>
  <si>
    <t>備考・要確認</t>
  </si>
  <si>
    <t>名寄せ</t>
  </si>
  <si>
    <t>荷川取強／荷川取り／荷川取 剛／仁川取り／二箇取り／理科取り／リカ取り／に取り／湯川取り／三川取り／取り → 「荷川取」</t>
  </si>
  <si>
    <t>作業員マスター確定後に置換</t>
  </si>
  <si>
    <t>当山／東山／當山／当山清／東山清／洞爺清 → 「當山」</t>
  </si>
  <si>
    <t>同上</t>
  </si>
  <si>
    <t>友寄司 → 「友寄」、宮城久一 → 「宮城」</t>
  </si>
  <si>
    <t>電気業者／電気工事 → 「電気業者」、外壁工事 → 「外壁サイディング業者」、内装業者 → 「内装業者（クロス）」</t>
  </si>
  <si>
    <t>業者名が分かれば置換</t>
  </si>
  <si>
    <t>日付修正</t>
  </si>
  <si>
    <r>
      <rPr>
        <sz val="10"/>
        <rFont val="Noto Sans CJK SC"/>
        <family val="2"/>
      </rPr>
      <t>「</t>
    </r>
    <r>
      <rPr>
        <sz val="10"/>
        <rFont val="Meiryo"/>
        <charset val="1"/>
      </rPr>
      <t>5</t>
    </r>
    <r>
      <rPr>
        <sz val="10"/>
        <rFont val="Noto Sans CJK SC"/>
        <family val="2"/>
      </rPr>
      <t>月</t>
    </r>
    <r>
      <rPr>
        <sz val="10"/>
        <rFont val="Meiryo"/>
        <charset val="1"/>
      </rPr>
      <t>19</t>
    </r>
    <r>
      <rPr>
        <sz val="10"/>
        <rFont val="Noto Sans CJK SC"/>
        <family val="2"/>
      </rPr>
      <t xml:space="preserve">日水曜日」→ </t>
    </r>
    <r>
      <rPr>
        <sz val="10"/>
        <rFont val="Meiryo"/>
        <charset val="1"/>
      </rPr>
      <t>5/20</t>
    </r>
    <r>
      <rPr>
        <sz val="10"/>
        <rFont val="Noto Sans CJK SC"/>
        <family val="2"/>
      </rPr>
      <t>（水）</t>
    </r>
  </si>
  <si>
    <r>
      <rPr>
        <sz val="10"/>
        <rFont val="Meiryo"/>
        <charset val="1"/>
      </rPr>
      <t>5/19</t>
    </r>
    <r>
      <rPr>
        <sz val="10"/>
        <rFont val="Noto Sans CJK SC"/>
        <family val="2"/>
      </rPr>
      <t>（火）の次の日と判断</t>
    </r>
  </si>
  <si>
    <r>
      <rPr>
        <sz val="10"/>
        <rFont val="Noto Sans CJK SC"/>
        <family val="2"/>
      </rPr>
      <t>「</t>
    </r>
    <r>
      <rPr>
        <sz val="10"/>
        <rFont val="Meiryo"/>
        <charset val="1"/>
      </rPr>
      <t>6</t>
    </r>
    <r>
      <rPr>
        <sz val="10"/>
        <rFont val="Noto Sans CJK SC"/>
        <family val="2"/>
      </rPr>
      <t>月</t>
    </r>
    <r>
      <rPr>
        <sz val="10"/>
        <rFont val="Meiryo"/>
        <charset val="1"/>
      </rPr>
      <t>7</t>
    </r>
    <r>
      <rPr>
        <sz val="10"/>
        <rFont val="Noto Sans CJK SC"/>
        <family val="2"/>
      </rPr>
      <t xml:space="preserve">日火曜日」→ </t>
    </r>
    <r>
      <rPr>
        <sz val="10"/>
        <rFont val="Meiryo"/>
        <charset val="1"/>
      </rPr>
      <t>7/7</t>
    </r>
    <r>
      <rPr>
        <sz val="10"/>
        <rFont val="Noto Sans CJK SC"/>
        <family val="2"/>
      </rPr>
      <t>（火）</t>
    </r>
  </si>
  <si>
    <r>
      <rPr>
        <sz val="10"/>
        <rFont val="Meiryo"/>
        <charset val="1"/>
      </rPr>
      <t>7/6</t>
    </r>
    <r>
      <rPr>
        <sz val="10"/>
        <rFont val="Noto Sans CJK SC"/>
        <family val="2"/>
      </rPr>
      <t>（月）と</t>
    </r>
    <r>
      <rPr>
        <sz val="10"/>
        <rFont val="Meiryo"/>
        <charset val="1"/>
      </rPr>
      <t>7/8</t>
    </r>
    <r>
      <rPr>
        <sz val="10"/>
        <rFont val="Noto Sans CJK SC"/>
        <family val="2"/>
      </rPr>
      <t>（水）の間</t>
    </r>
  </si>
  <si>
    <r>
      <rPr>
        <sz val="10"/>
        <rFont val="Noto Sans CJK SC"/>
        <family val="2"/>
      </rPr>
      <t>「</t>
    </r>
    <r>
      <rPr>
        <sz val="10"/>
        <rFont val="Meiryo"/>
        <charset val="1"/>
      </rPr>
      <t>6</t>
    </r>
    <r>
      <rPr>
        <sz val="10"/>
        <rFont val="Noto Sans CJK SC"/>
        <family val="2"/>
      </rPr>
      <t>月</t>
    </r>
    <r>
      <rPr>
        <sz val="10"/>
        <rFont val="Meiryo"/>
        <charset val="1"/>
      </rPr>
      <t>24</t>
    </r>
    <r>
      <rPr>
        <sz val="10"/>
        <rFont val="Noto Sans CJK SC"/>
        <family val="2"/>
      </rPr>
      <t xml:space="preserve">日木曜日」→ </t>
    </r>
    <r>
      <rPr>
        <sz val="10"/>
        <rFont val="Meiryo"/>
        <charset val="1"/>
      </rPr>
      <t>6/25</t>
    </r>
    <r>
      <rPr>
        <sz val="10"/>
        <rFont val="Noto Sans CJK SC"/>
        <family val="2"/>
      </rPr>
      <t>（木）、「</t>
    </r>
    <r>
      <rPr>
        <sz val="10"/>
        <rFont val="Meiryo"/>
        <charset val="1"/>
      </rPr>
      <t>6</t>
    </r>
    <r>
      <rPr>
        <sz val="10"/>
        <rFont val="Noto Sans CJK SC"/>
        <family val="2"/>
      </rPr>
      <t>月</t>
    </r>
    <r>
      <rPr>
        <sz val="10"/>
        <rFont val="Meiryo"/>
        <charset val="1"/>
      </rPr>
      <t>25</t>
    </r>
    <r>
      <rPr>
        <sz val="10"/>
        <rFont val="Noto Sans CJK SC"/>
        <family val="2"/>
      </rPr>
      <t xml:space="preserve">日金曜日」→ </t>
    </r>
    <r>
      <rPr>
        <sz val="10"/>
        <rFont val="Meiryo"/>
        <charset val="1"/>
      </rPr>
      <t>6/26</t>
    </r>
    <r>
      <rPr>
        <sz val="10"/>
        <rFont val="Noto Sans CJK SC"/>
        <family val="2"/>
      </rPr>
      <t>（金）</t>
    </r>
  </si>
  <si>
    <r>
      <rPr>
        <sz val="10"/>
        <rFont val="Meiryo"/>
        <charset val="1"/>
      </rPr>
      <t>6/24</t>
    </r>
    <r>
      <rPr>
        <sz val="10"/>
        <rFont val="Noto Sans CJK SC"/>
        <family val="2"/>
      </rPr>
      <t>は水曜のため順送り</t>
    </r>
  </si>
  <si>
    <r>
      <rPr>
        <sz val="10"/>
        <rFont val="Noto Sans CJK SC"/>
        <family val="2"/>
      </rPr>
      <t>「</t>
    </r>
    <r>
      <rPr>
        <sz val="10"/>
        <rFont val="Meiryo"/>
        <charset val="1"/>
      </rPr>
      <t>6</t>
    </r>
    <r>
      <rPr>
        <sz val="10"/>
        <rFont val="Noto Sans CJK SC"/>
        <family val="2"/>
      </rPr>
      <t>月</t>
    </r>
    <r>
      <rPr>
        <sz val="10"/>
        <rFont val="Meiryo"/>
        <charset val="1"/>
      </rPr>
      <t>26</t>
    </r>
    <r>
      <rPr>
        <sz val="10"/>
        <rFont val="Noto Sans CJK SC"/>
        <family val="2"/>
      </rPr>
      <t>日から</t>
    </r>
    <r>
      <rPr>
        <sz val="10"/>
        <rFont val="Meiryo"/>
        <charset val="1"/>
      </rPr>
      <t>28</t>
    </r>
    <r>
      <rPr>
        <sz val="10"/>
        <rFont val="Noto Sans CJK SC"/>
        <family val="2"/>
      </rPr>
      <t xml:space="preserve">日まで台風」→ </t>
    </r>
    <r>
      <rPr>
        <sz val="10"/>
        <rFont val="Meiryo"/>
        <charset val="1"/>
      </rPr>
      <t>6/27</t>
    </r>
    <r>
      <rPr>
        <sz val="10"/>
        <rFont val="Noto Sans CJK SC"/>
        <family val="2"/>
      </rPr>
      <t>〜</t>
    </r>
    <r>
      <rPr>
        <sz val="10"/>
        <rFont val="Meiryo"/>
        <charset val="1"/>
      </rPr>
      <t xml:space="preserve">28 </t>
    </r>
    <r>
      <rPr>
        <sz val="10"/>
        <rFont val="Noto Sans CJK SC"/>
        <family val="2"/>
      </rPr>
      <t>を休工</t>
    </r>
  </si>
  <si>
    <r>
      <rPr>
        <sz val="10"/>
        <rFont val="Meiryo"/>
        <charset val="1"/>
      </rPr>
      <t>6/26</t>
    </r>
    <r>
      <rPr>
        <sz val="10"/>
        <rFont val="Noto Sans CJK SC"/>
        <family val="2"/>
      </rPr>
      <t>は作業記録があるため</t>
    </r>
  </si>
  <si>
    <r>
      <rPr>
        <sz val="10"/>
        <rFont val="Noto Sans CJK SC"/>
        <family val="2"/>
      </rPr>
      <t>「</t>
    </r>
    <r>
      <rPr>
        <sz val="10"/>
        <rFont val="Meiryo"/>
        <charset val="1"/>
      </rPr>
      <t>7</t>
    </r>
    <r>
      <rPr>
        <sz val="10"/>
        <rFont val="Noto Sans CJK SC"/>
        <family val="2"/>
      </rPr>
      <t>月</t>
    </r>
    <r>
      <rPr>
        <sz val="10"/>
        <rFont val="Meiryo"/>
        <charset val="1"/>
      </rPr>
      <t>9</t>
    </r>
    <r>
      <rPr>
        <sz val="10"/>
        <rFont val="Noto Sans CJK SC"/>
        <family val="2"/>
      </rPr>
      <t>日木曜日から</t>
    </r>
    <r>
      <rPr>
        <sz val="10"/>
        <rFont val="Meiryo"/>
        <charset val="1"/>
      </rPr>
      <t>6</t>
    </r>
    <r>
      <rPr>
        <sz val="10"/>
        <rFont val="Noto Sans CJK SC"/>
        <family val="2"/>
      </rPr>
      <t>月</t>
    </r>
    <r>
      <rPr>
        <sz val="10"/>
        <rFont val="Meiryo"/>
        <charset val="1"/>
      </rPr>
      <t>11</t>
    </r>
    <r>
      <rPr>
        <sz val="10"/>
        <rFont val="Noto Sans CJK SC"/>
        <family val="2"/>
      </rPr>
      <t xml:space="preserve">日土曜日」→ </t>
    </r>
    <r>
      <rPr>
        <sz val="10"/>
        <rFont val="Meiryo"/>
        <charset val="1"/>
      </rPr>
      <t>7/9</t>
    </r>
    <r>
      <rPr>
        <sz val="10"/>
        <rFont val="Noto Sans CJK SC"/>
        <family val="2"/>
      </rPr>
      <t>〜</t>
    </r>
    <r>
      <rPr>
        <sz val="10"/>
        <rFont val="Meiryo"/>
        <charset val="1"/>
      </rPr>
      <t xml:space="preserve">7/11 </t>
    </r>
    <r>
      <rPr>
        <sz val="10"/>
        <rFont val="Noto Sans CJK SC"/>
        <family val="2"/>
      </rPr>
      <t>養生</t>
    </r>
  </si>
  <si>
    <r>
      <rPr>
        <sz val="10"/>
        <rFont val="Meiryo"/>
        <charset val="1"/>
      </rPr>
      <t xml:space="preserve">4/20 </t>
    </r>
    <r>
      <rPr>
        <sz val="10"/>
        <rFont val="Noto Sans CJK SC"/>
        <family val="2"/>
      </rPr>
      <t>一輝興業（ダンプ</t>
    </r>
    <r>
      <rPr>
        <sz val="10"/>
        <rFont val="Meiryo"/>
        <charset val="1"/>
      </rPr>
      <t>6</t>
    </r>
    <r>
      <rPr>
        <sz val="10"/>
        <rFont val="Noto Sans CJK SC"/>
        <family val="2"/>
      </rPr>
      <t>台）、</t>
    </r>
    <r>
      <rPr>
        <sz val="10"/>
        <rFont val="Meiryo"/>
        <charset val="1"/>
      </rPr>
      <t xml:space="preserve">4/21 </t>
    </r>
    <r>
      <rPr>
        <sz val="10"/>
        <rFont val="Noto Sans CJK SC"/>
        <family val="2"/>
      </rPr>
      <t>当間均（ダンプ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台）</t>
    </r>
  </si>
  <si>
    <t>運搬は人工に含めず台数のみ。人工計上するか要確認</t>
  </si>
  <si>
    <r>
      <rPr>
        <sz val="10"/>
        <rFont val="Meiryo"/>
        <charset val="1"/>
      </rPr>
      <t xml:space="preserve">7/14 </t>
    </r>
    <r>
      <rPr>
        <sz val="10"/>
        <rFont val="Noto Sans CJK SC"/>
        <family val="2"/>
      </rPr>
      <t>設備配管、</t>
    </r>
    <r>
      <rPr>
        <sz val="10"/>
        <rFont val="Meiryo"/>
        <charset val="1"/>
      </rPr>
      <t xml:space="preserve">7/18 </t>
    </r>
    <r>
      <rPr>
        <sz val="10"/>
        <rFont val="Noto Sans CJK SC"/>
        <family val="2"/>
      </rPr>
      <t>クレーン業者</t>
    </r>
  </si>
  <si>
    <t>人数の記載なし → 人工空欄</t>
  </si>
  <si>
    <t>作業員不明</t>
  </si>
  <si>
    <r>
      <rPr>
        <sz val="10"/>
        <rFont val="Meiryo"/>
        <charset val="1"/>
      </rPr>
      <t>7/28</t>
    </r>
    <r>
      <rPr>
        <sz val="10"/>
        <rFont val="Noto Sans CJK SC"/>
        <family val="2"/>
      </rPr>
      <t>、</t>
    </r>
    <r>
      <rPr>
        <sz val="10"/>
        <rFont val="Meiryo"/>
        <charset val="1"/>
      </rPr>
      <t xml:space="preserve">8/27 </t>
    </r>
    <r>
      <rPr>
        <sz val="10"/>
        <rFont val="Noto Sans CJK SC"/>
        <family val="2"/>
      </rPr>
      <t>は自社作業員の記載なし</t>
    </r>
  </si>
  <si>
    <r>
      <rPr>
        <sz val="10"/>
        <rFont val="Noto Sans CJK SC"/>
        <family val="2"/>
      </rPr>
      <t>人工空欄（</t>
    </r>
    <r>
      <rPr>
        <sz val="10"/>
        <rFont val="Meiryo"/>
        <charset val="1"/>
      </rPr>
      <t>8/27</t>
    </r>
    <r>
      <rPr>
        <sz val="10"/>
        <rFont val="Noto Sans CJK SC"/>
        <family val="2"/>
      </rPr>
      <t>は水道業者のみ）</t>
    </r>
  </si>
  <si>
    <t>作業内容不明</t>
  </si>
  <si>
    <r>
      <rPr>
        <sz val="10"/>
        <rFont val="Meiryo"/>
        <charset val="1"/>
      </rPr>
      <t>7/29</t>
    </r>
    <r>
      <rPr>
        <sz val="10"/>
        <rFont val="Noto Sans CJK SC"/>
        <family val="2"/>
      </rPr>
      <t>・</t>
    </r>
    <r>
      <rPr>
        <sz val="10"/>
        <rFont val="Meiryo"/>
        <charset val="1"/>
      </rPr>
      <t>7/30</t>
    </r>
    <r>
      <rPr>
        <sz val="10"/>
        <rFont val="Noto Sans CJK SC"/>
        <family val="2"/>
      </rPr>
      <t>（自社</t>
    </r>
    <r>
      <rPr>
        <sz val="10"/>
        <rFont val="Meiryo"/>
        <charset val="1"/>
      </rPr>
      <t>2</t>
    </r>
    <r>
      <rPr>
        <sz val="10"/>
        <rFont val="Noto Sans CJK SC"/>
        <family val="2"/>
      </rPr>
      <t>名）、</t>
    </r>
    <r>
      <rPr>
        <sz val="10"/>
        <rFont val="Meiryo"/>
        <charset val="1"/>
      </rPr>
      <t>8/6</t>
    </r>
    <r>
      <rPr>
        <sz val="10"/>
        <rFont val="Noto Sans CJK SC"/>
        <family val="2"/>
      </rPr>
      <t>、</t>
    </r>
    <r>
      <rPr>
        <sz val="10"/>
        <rFont val="Meiryo"/>
        <charset val="1"/>
      </rPr>
      <t>8/10</t>
    </r>
    <r>
      <rPr>
        <sz val="10"/>
        <rFont val="Noto Sans CJK SC"/>
        <family val="2"/>
      </rPr>
      <t>、</t>
    </r>
    <r>
      <rPr>
        <sz val="10"/>
        <rFont val="Meiryo"/>
        <charset val="1"/>
      </rPr>
      <t>8/13</t>
    </r>
    <r>
      <rPr>
        <sz val="10"/>
        <rFont val="Noto Sans CJK SC"/>
        <family val="2"/>
      </rPr>
      <t>、</t>
    </r>
    <r>
      <rPr>
        <sz val="10"/>
        <rFont val="Meiryo"/>
        <charset val="1"/>
      </rPr>
      <t>8/19</t>
    </r>
  </si>
  <si>
    <t>前後の日から工種を推定して入力（備考に明記）</t>
  </si>
  <si>
    <t>解釈</t>
  </si>
  <si>
    <r>
      <rPr>
        <sz val="10"/>
        <rFont val="Meiryo"/>
        <charset val="1"/>
      </rPr>
      <t>4/20</t>
    </r>
    <r>
      <rPr>
        <sz val="10"/>
        <rFont val="Noto Sans CJK SC"/>
        <family val="2"/>
      </rPr>
      <t>「ミニユンボ</t>
    </r>
    <r>
      <rPr>
        <sz val="10"/>
        <rFont val="Meiryo"/>
        <charset val="1"/>
      </rPr>
      <t>, 21</t>
    </r>
    <r>
      <rPr>
        <sz val="10"/>
        <rFont val="Noto Sans CJK SC"/>
        <family val="2"/>
      </rPr>
      <t xml:space="preserve">台」→ </t>
    </r>
    <r>
      <rPr>
        <sz val="10"/>
        <rFont val="Meiryo"/>
        <charset val="1"/>
      </rPr>
      <t>0.2 1</t>
    </r>
    <r>
      <rPr>
        <sz val="10"/>
        <rFont val="Noto Sans CJK SC"/>
        <family val="2"/>
      </rPr>
      <t>台、</t>
    </r>
    <r>
      <rPr>
        <sz val="10"/>
        <rFont val="Meiryo"/>
        <charset val="1"/>
      </rPr>
      <t>9/1</t>
    </r>
    <r>
      <rPr>
        <sz val="10"/>
        <rFont val="Noto Sans CJK SC"/>
        <family val="2"/>
      </rPr>
      <t>「本間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ユンボ」→ コンマ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（</t>
    </r>
    <r>
      <rPr>
        <sz val="10"/>
        <rFont val="Meiryo"/>
        <charset val="1"/>
      </rPr>
      <t>0.1</t>
    </r>
    <r>
      <rPr>
        <sz val="10"/>
        <rFont val="Noto Sans CJK SC"/>
        <family val="2"/>
      </rPr>
      <t>）ユンボ</t>
    </r>
  </si>
  <si>
    <r>
      <rPr>
        <sz val="10"/>
        <rFont val="Meiryo"/>
        <charset val="1"/>
      </rPr>
      <t>7/3</t>
    </r>
    <r>
      <rPr>
        <sz val="10"/>
        <rFont val="Noto Sans CJK SC"/>
        <family val="2"/>
      </rPr>
      <t>「土間左官 東山、その他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人」→ 當山（自社）</t>
    </r>
    <r>
      <rPr>
        <sz val="10"/>
        <rFont val="Meiryo"/>
        <charset val="1"/>
      </rPr>
      <t xml:space="preserve">1 </t>
    </r>
    <r>
      <rPr>
        <sz val="10"/>
        <rFont val="Noto Sans CJK SC"/>
        <family val="2"/>
      </rPr>
      <t xml:space="preserve">＋ 左官業者 </t>
    </r>
    <r>
      <rPr>
        <sz val="10"/>
        <rFont val="Meiryo"/>
        <charset val="1"/>
      </rPr>
      <t>1</t>
    </r>
  </si>
  <si>
    <r>
      <rPr>
        <sz val="10"/>
        <rFont val="Noto Sans CJK SC"/>
        <family val="2"/>
      </rPr>
      <t>その他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人が自社か業者か要確認</t>
    </r>
  </si>
  <si>
    <r>
      <rPr>
        <sz val="10"/>
        <rFont val="Meiryo"/>
        <charset val="1"/>
      </rPr>
      <t>7/16</t>
    </r>
    <r>
      <rPr>
        <sz val="10"/>
        <rFont val="Noto Sans CJK SC"/>
        <family val="2"/>
      </rPr>
      <t>「ゆか値段の張り」</t>
    </r>
    <r>
      <rPr>
        <sz val="10"/>
        <rFont val="Meiryo"/>
        <charset val="1"/>
      </rPr>
      <t>7/17</t>
    </r>
    <r>
      <rPr>
        <sz val="10"/>
        <rFont val="Noto Sans CJK SC"/>
        <family val="2"/>
      </rPr>
      <t>「床張り値段の」→ 床下地張り／床張り</t>
    </r>
  </si>
  <si>
    <t>音声入力の誤変換と判断</t>
  </si>
  <si>
    <r>
      <rPr>
        <sz val="10"/>
        <rFont val="Meiryo"/>
        <charset val="1"/>
      </rPr>
      <t>7/13</t>
    </r>
    <r>
      <rPr>
        <sz val="10"/>
        <rFont val="Noto Sans CJK SC"/>
        <family val="2"/>
      </rPr>
      <t>「気象型枠材」「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部ビーコン埋め」</t>
    </r>
  </si>
  <si>
    <t>判読不明のまま備考に記載</t>
  </si>
  <si>
    <r>
      <rPr>
        <sz val="10"/>
        <rFont val="Meiryo"/>
        <charset val="1"/>
      </rPr>
      <t>8/1</t>
    </r>
    <r>
      <rPr>
        <sz val="10"/>
        <rFont val="Noto Sans CJK SC"/>
        <family val="2"/>
      </rPr>
      <t>「明日建設株式会社」→ アース建設</t>
    </r>
  </si>
  <si>
    <r>
      <rPr>
        <sz val="10"/>
        <rFont val="Meiryo"/>
        <charset val="1"/>
      </rPr>
      <t>8/17</t>
    </r>
    <r>
      <rPr>
        <sz val="10"/>
        <rFont val="Noto Sans CJK SC"/>
        <family val="2"/>
      </rPr>
      <t xml:space="preserve">「クロス工事 </t>
    </r>
    <r>
      <rPr>
        <sz val="10"/>
        <rFont val="Meiryo"/>
        <charset val="1"/>
      </rPr>
      <t>2</t>
    </r>
    <r>
      <rPr>
        <sz val="10"/>
        <rFont val="Noto Sans CJK SC"/>
        <family val="2"/>
      </rPr>
      <t>人</t>
    </r>
    <r>
      <rPr>
        <sz val="10"/>
        <rFont val="Meiryo"/>
        <charset val="1"/>
      </rPr>
      <t>9</t>
    </r>
    <r>
      <rPr>
        <sz val="10"/>
        <rFont val="Noto Sans CJK SC"/>
        <family val="2"/>
      </rPr>
      <t xml:space="preserve">」→ </t>
    </r>
    <r>
      <rPr>
        <sz val="10"/>
        <rFont val="Meiryo"/>
        <charset val="1"/>
      </rPr>
      <t>2</t>
    </r>
    <r>
      <rPr>
        <sz val="10"/>
        <rFont val="Noto Sans CJK SC"/>
        <family val="2"/>
      </rPr>
      <t>人、</t>
    </r>
    <r>
      <rPr>
        <sz val="10"/>
        <rFont val="Meiryo"/>
        <charset val="1"/>
      </rPr>
      <t>8/30</t>
    </r>
    <r>
      <rPr>
        <sz val="10"/>
        <rFont val="Noto Sans CJK SC"/>
        <family val="2"/>
      </rPr>
      <t>「推薦取り付け」→ 水栓取付、</t>
    </r>
    <r>
      <rPr>
        <sz val="10"/>
        <rFont val="Meiryo"/>
        <charset val="1"/>
      </rPr>
      <t>8/31</t>
    </r>
    <r>
      <rPr>
        <sz val="10"/>
        <rFont val="Noto Sans CJK SC"/>
        <family val="2"/>
      </rPr>
      <t>「玄関釜」→ 玄関框</t>
    </r>
  </si>
  <si>
    <r>
      <rPr>
        <sz val="10"/>
        <rFont val="Meiryo"/>
        <charset val="1"/>
      </rPr>
      <t xml:space="preserve">8/17 </t>
    </r>
    <r>
      <rPr>
        <sz val="10"/>
        <rFont val="Noto Sans CJK SC"/>
        <family val="2"/>
      </rPr>
      <t>自社は長嶺邸フェンス工事のため谷邸は休工扱い（人工</t>
    </r>
    <r>
      <rPr>
        <sz val="10"/>
        <rFont val="Meiryo"/>
        <charset val="1"/>
      </rPr>
      <t>0</t>
    </r>
    <r>
      <rPr>
        <sz val="10"/>
        <rFont val="Noto Sans CJK SC"/>
        <family val="2"/>
      </rPr>
      <t>）</t>
    </r>
  </si>
  <si>
    <t>長嶺邸側の日報に計上</t>
  </si>
  <si>
    <t>ルール</t>
  </si>
  <si>
    <r>
      <rPr>
        <sz val="10"/>
        <rFont val="Noto Sans CJK SC"/>
        <family val="2"/>
      </rPr>
      <t>半日・数時間（</t>
    </r>
    <r>
      <rPr>
        <sz val="10"/>
        <rFont val="Meiryo"/>
        <charset val="1"/>
      </rPr>
      <t xml:space="preserve">4/22 </t>
    </r>
    <r>
      <rPr>
        <sz val="10"/>
        <rFont val="Noto Sans CJK SC"/>
        <family val="2"/>
      </rPr>
      <t>友寄、</t>
    </r>
    <r>
      <rPr>
        <sz val="10"/>
        <rFont val="Meiryo"/>
        <charset val="1"/>
      </rPr>
      <t xml:space="preserve">6/16 </t>
    </r>
    <r>
      <rPr>
        <sz val="10"/>
        <rFont val="Noto Sans CJK SC"/>
        <family val="2"/>
      </rPr>
      <t>雨天半日、</t>
    </r>
    <r>
      <rPr>
        <sz val="10"/>
        <rFont val="Meiryo"/>
        <charset val="1"/>
      </rPr>
      <t xml:space="preserve">7/21 </t>
    </r>
    <r>
      <rPr>
        <sz val="10"/>
        <rFont val="Noto Sans CJK SC"/>
        <family val="2"/>
      </rPr>
      <t>當山、</t>
    </r>
    <r>
      <rPr>
        <sz val="10"/>
        <rFont val="Meiryo"/>
        <charset val="1"/>
      </rPr>
      <t xml:space="preserve">7/27 </t>
    </r>
    <r>
      <rPr>
        <sz val="10"/>
        <rFont val="Noto Sans CJK SC"/>
        <family val="2"/>
      </rPr>
      <t>宮城、</t>
    </r>
    <r>
      <rPr>
        <sz val="10"/>
        <rFont val="Meiryo"/>
        <charset val="1"/>
      </rPr>
      <t xml:space="preserve">8/4-5 </t>
    </r>
    <r>
      <rPr>
        <sz val="10"/>
        <rFont val="Noto Sans CJK SC"/>
        <family val="2"/>
      </rPr>
      <t>山里、</t>
    </r>
    <r>
      <rPr>
        <sz val="10"/>
        <rFont val="Meiryo"/>
        <charset val="1"/>
      </rPr>
      <t xml:space="preserve">8/10-11 </t>
    </r>
    <r>
      <rPr>
        <sz val="10"/>
        <rFont val="Noto Sans CJK SC"/>
        <family val="2"/>
      </rPr>
      <t>友寄、</t>
    </r>
    <r>
      <rPr>
        <sz val="10"/>
        <rFont val="Meiryo"/>
        <charset val="1"/>
      </rPr>
      <t xml:space="preserve">8/11 </t>
    </r>
    <r>
      <rPr>
        <sz val="10"/>
        <rFont val="Noto Sans CJK SC"/>
        <family val="2"/>
      </rPr>
      <t>宮城、</t>
    </r>
    <r>
      <rPr>
        <sz val="10"/>
        <rFont val="Meiryo"/>
        <charset val="1"/>
      </rPr>
      <t xml:space="preserve">8/13 </t>
    </r>
    <r>
      <rPr>
        <sz val="10"/>
        <rFont val="Noto Sans CJK SC"/>
        <family val="2"/>
      </rPr>
      <t>荷川取、</t>
    </r>
    <r>
      <rPr>
        <sz val="10"/>
        <rFont val="Meiryo"/>
        <charset val="1"/>
      </rPr>
      <t xml:space="preserve">8/28 </t>
    </r>
    <r>
      <rPr>
        <sz val="10"/>
        <rFont val="Noto Sans CJK SC"/>
        <family val="2"/>
      </rPr>
      <t xml:space="preserve">宮城）→ 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人工</t>
    </r>
  </si>
  <si>
    <r>
      <rPr>
        <sz val="10"/>
        <rFont val="Meiryo"/>
        <charset val="1"/>
      </rPr>
      <t xml:space="preserve">2026/9/2 </t>
    </r>
    <r>
      <rPr>
        <sz val="10"/>
        <rFont val="Noto Sans CJK SC"/>
        <family val="2"/>
      </rPr>
      <t>決定</t>
    </r>
  </si>
  <si>
    <r>
      <rPr>
        <sz val="10"/>
        <rFont val="Meiryo"/>
        <charset val="1"/>
      </rPr>
      <t xml:space="preserve">6/24 </t>
    </r>
    <r>
      <rPr>
        <sz val="10"/>
        <rFont val="Noto Sans CJK SC"/>
        <family val="2"/>
      </rPr>
      <t>仮設トイレ設置は掘削作業と兼務のため人工</t>
    </r>
    <r>
      <rPr>
        <sz val="10"/>
        <rFont val="Meiryo"/>
        <charset val="1"/>
      </rPr>
      <t>0</t>
    </r>
    <r>
      <rPr>
        <sz val="10"/>
        <rFont val="Noto Sans CJK SC"/>
        <family val="2"/>
      </rPr>
      <t>（記録のみ）</t>
    </r>
  </si>
  <si>
    <t>別現場（かりゆしファーム・沖縄銀行・長嶺邸）にいた時間は谷邸には計上しない</t>
  </si>
  <si>
    <t>その現場の日報側で計上</t>
  </si>
  <si>
    <t>工種追加</t>
  </si>
  <si>
    <r>
      <rPr>
        <sz val="10"/>
        <rFont val="Meiryo"/>
        <charset val="1"/>
      </rPr>
      <t>8/10</t>
    </r>
    <r>
      <rPr>
        <sz val="10"/>
        <rFont val="Noto Sans CJK SC"/>
        <family val="2"/>
      </rPr>
      <t>以降で 天井下地・屋根工事・クロス工事・床仕上げ・造作・足場・ガス・給排水器具・タイル・外構整地・ポーチ土間・検査 を追加</t>
    </r>
  </si>
  <si>
    <t>工種は随時追加可</t>
  </si>
  <si>
    <t>日別 人工（工程別・自社／業者）</t>
  </si>
  <si>
    <t>台帳から自動集計。灰色＝土日。</t>
  </si>
  <si>
    <t>累計人工の推移（工程別）と当日の作業内容</t>
  </si>
  <si>
    <t>各工程の累計人工が日ごとにどう積み上がったか。右端はその日の自社作業内容（先頭行）。</t>
  </si>
  <si>
    <t>人工の推移グラフ</t>
  </si>
  <si>
    <t>上：工程別の累計人工（どの工程にどれだけ入ってきたかの流れ）／下：日別の人工（自社・業者）</t>
  </si>
  <si>
    <t>集計（工程別・作業員別・業者別）</t>
  </si>
  <si>
    <r>
      <rPr>
        <sz val="9"/>
        <color rgb="FF595959"/>
        <rFont val="Noto Sans CJK SC"/>
        <family val="2"/>
      </rPr>
      <t>黄色の「予算人工」に見積書（実行予算）の人工を入れると差引・消化率が出ます。工種ごとの予算比較は「印刷</t>
    </r>
    <r>
      <rPr>
        <sz val="9"/>
        <color rgb="FF595959"/>
        <rFont val="Meiryo"/>
        <charset val="1"/>
      </rPr>
      <t>05_</t>
    </r>
    <r>
      <rPr>
        <sz val="9"/>
        <color rgb="FF595959"/>
        <rFont val="Noto Sans CJK SC"/>
        <family val="2"/>
      </rPr>
      <t>工種別予算」シート。</t>
    </r>
  </si>
  <si>
    <t>実績人工</t>
  </si>
  <si>
    <t>予算人工</t>
  </si>
  <si>
    <t>差引（予算−実績）</t>
  </si>
  <si>
    <t>消化率</t>
  </si>
  <si>
    <t>人工あり行数</t>
  </si>
  <si>
    <t>主な工種</t>
  </si>
  <si>
    <t>合計人工</t>
  </si>
  <si>
    <t>工種別 実績人工と予算比較</t>
  </si>
  <si>
    <t>黄色の「予算人工」に見積書（実行予算）の工種別人工を入力。工程小計は自動。</t>
  </si>
  <si>
    <t>週別 人工マトリクス（工程 → 工種）</t>
  </si>
  <si>
    <t>列＝週（月曜始まり）。色が濃いほど人工が多い。台帳から自動集計。</t>
  </si>
  <si>
    <r>
      <rPr>
        <sz val="8"/>
        <color rgb="FF595959"/>
        <rFont val="Meiryo"/>
        <charset val="1"/>
      </rPr>
      <t>4</t>
    </r>
    <r>
      <rPr>
        <sz val="8"/>
        <color rgb="FF595959"/>
        <rFont val="Noto Sans CJK SC"/>
        <family val="2"/>
      </rPr>
      <t>月</t>
    </r>
  </si>
  <si>
    <r>
      <rPr>
        <sz val="8"/>
        <color rgb="FF595959"/>
        <rFont val="Meiryo"/>
        <charset val="1"/>
      </rPr>
      <t>5</t>
    </r>
    <r>
      <rPr>
        <sz val="8"/>
        <color rgb="FF595959"/>
        <rFont val="Noto Sans CJK SC"/>
        <family val="2"/>
      </rPr>
      <t>月</t>
    </r>
  </si>
  <si>
    <r>
      <rPr>
        <sz val="8"/>
        <color rgb="FF595959"/>
        <rFont val="Meiryo"/>
        <charset val="1"/>
      </rPr>
      <t>6</t>
    </r>
    <r>
      <rPr>
        <sz val="8"/>
        <color rgb="FF595959"/>
        <rFont val="Noto Sans CJK SC"/>
        <family val="2"/>
      </rPr>
      <t>月</t>
    </r>
  </si>
  <si>
    <r>
      <rPr>
        <sz val="8"/>
        <color rgb="FF595959"/>
        <rFont val="Meiryo"/>
        <charset val="1"/>
      </rPr>
      <t>7</t>
    </r>
    <r>
      <rPr>
        <sz val="8"/>
        <color rgb="FF595959"/>
        <rFont val="Noto Sans CJK SC"/>
        <family val="2"/>
      </rPr>
      <t>月</t>
    </r>
  </si>
  <si>
    <r>
      <rPr>
        <sz val="8"/>
        <color rgb="FF595959"/>
        <rFont val="Meiryo"/>
        <charset val="1"/>
      </rPr>
      <t>8</t>
    </r>
    <r>
      <rPr>
        <sz val="8"/>
        <color rgb="FF595959"/>
        <rFont val="Noto Sans CJK SC"/>
        <family val="2"/>
      </rPr>
      <t>月</t>
    </r>
  </si>
  <si>
    <t>（工程計）</t>
  </si>
  <si>
    <t>週合計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</si>
</sst>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"/>
    <numFmt numFmtId="177" formatCode="0;\-0;;"/>
  </numFmts>
  <fonts count="23" x14ac:knownFonts="1">
    <font>
      <sz val="11"/>
      <color theme="1"/>
      <name val="Calibri"/>
      <family val="2"/>
      <charset val="1"/>
    </font>
    <font>
      <b/>
      <sz val="14"/>
      <color rgb="FF1F4E78"/>
      <name val="Noto Sans CJK SC"/>
      <family val="2"/>
    </font>
    <font>
      <sz val="9"/>
      <color rgb="FF595959"/>
      <name val="Meiryo"/>
      <charset val="1"/>
    </font>
    <font>
      <sz val="9"/>
      <color rgb="FF595959"/>
      <name val="Noto Sans CJK SC"/>
      <family val="2"/>
    </font>
    <font>
      <b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Meiryo"/>
      <charset val="1"/>
    </font>
    <font>
      <b/>
      <sz val="10"/>
      <name val="Noto Sans CJK SC"/>
      <family val="2"/>
    </font>
    <font>
      <b/>
      <sz val="10"/>
      <name val="Meiryo"/>
      <charset val="1"/>
    </font>
    <font>
      <b/>
      <sz val="14"/>
      <color rgb="FF1F4E78"/>
      <name val="Meiryo"/>
      <charset val="1"/>
    </font>
    <font>
      <b/>
      <sz val="10"/>
      <color rgb="FFFFFFFF"/>
      <name val="Meiryo"/>
      <charset val="1"/>
    </font>
    <font>
      <sz val="9"/>
      <name val="Meiryo"/>
      <charset val="1"/>
    </font>
    <font>
      <sz val="9"/>
      <name val="Noto Sans CJK SC"/>
      <family val="2"/>
    </font>
    <font>
      <b/>
      <sz val="8"/>
      <color rgb="FFFFFFFF"/>
      <name val="Noto Sans CJK SC"/>
      <family val="2"/>
    </font>
    <font>
      <sz val="8"/>
      <name val="Meiryo"/>
      <charset val="1"/>
    </font>
    <font>
      <sz val="8"/>
      <name val="Noto Sans CJK SC"/>
      <family val="2"/>
    </font>
    <font>
      <b/>
      <sz val="8"/>
      <name val="Noto Sans CJK SC"/>
      <family val="2"/>
    </font>
    <font>
      <b/>
      <sz val="8"/>
      <name val="Meiryo"/>
      <charset val="1"/>
    </font>
    <font>
      <sz val="8"/>
      <color rgb="FF595959"/>
      <name val="Noto Sans CJK SC"/>
      <family val="2"/>
    </font>
    <font>
      <b/>
      <sz val="9"/>
      <name val="Meiryo"/>
      <charset val="1"/>
    </font>
    <font>
      <sz val="10"/>
      <name val="Arial"/>
      <family val="2"/>
    </font>
    <font>
      <sz val="10"/>
      <color rgb="FF808080"/>
      <name val="Noto Sans CJK SC"/>
      <family val="2"/>
    </font>
    <font>
      <sz val="8"/>
      <color rgb="FF595959"/>
      <name val="Meiryo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8" fillId="4" borderId="1" xfId="0" applyFont="1" applyFill="1" applyBorder="1"/>
    <xf numFmtId="0" fontId="6" fillId="0" borderId="0" xfId="0" applyFont="1"/>
    <xf numFmtId="0" fontId="8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76" fontId="11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5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2" fillId="6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176" fontId="0" fillId="3" borderId="0" xfId="0" applyNumberFormat="1" applyFill="1"/>
    <xf numFmtId="0" fontId="0" fillId="3" borderId="0" xfId="0" applyFill="1"/>
    <xf numFmtId="0" fontId="5" fillId="3" borderId="1" xfId="0" applyFont="1" applyFill="1" applyBorder="1"/>
    <xf numFmtId="0" fontId="6" fillId="3" borderId="1" xfId="0" applyFont="1" applyFill="1" applyBorder="1"/>
    <xf numFmtId="0" fontId="13" fillId="2" borderId="1" xfId="0" applyFont="1" applyFill="1" applyBorder="1" applyAlignment="1">
      <alignment horizontal="center" vertical="center" wrapText="1"/>
    </xf>
    <xf numFmtId="176" fontId="14" fillId="0" borderId="1" xfId="0" applyNumberFormat="1" applyFont="1" applyBorder="1"/>
    <xf numFmtId="0" fontId="15" fillId="0" borderId="1" xfId="0" applyFont="1" applyBorder="1"/>
    <xf numFmtId="177" fontId="14" fillId="0" borderId="1" xfId="0" applyNumberFormat="1" applyFont="1" applyBorder="1"/>
    <xf numFmtId="0" fontId="15" fillId="0" borderId="1" xfId="0" applyFont="1" applyBorder="1" applyAlignment="1">
      <alignment vertical="center" shrinkToFit="1"/>
    </xf>
    <xf numFmtId="176" fontId="14" fillId="7" borderId="1" xfId="0" applyNumberFormat="1" applyFont="1" applyFill="1" applyBorder="1"/>
    <xf numFmtId="0" fontId="15" fillId="7" borderId="1" xfId="0" applyFont="1" applyFill="1" applyBorder="1"/>
    <xf numFmtId="177" fontId="14" fillId="7" borderId="1" xfId="0" applyNumberFormat="1" applyFont="1" applyFill="1" applyBorder="1"/>
    <xf numFmtId="0" fontId="14" fillId="7" borderId="1" xfId="0" applyFont="1" applyFill="1" applyBorder="1" applyAlignment="1">
      <alignment vertical="center" shrinkToFit="1"/>
    </xf>
    <xf numFmtId="0" fontId="16" fillId="0" borderId="0" xfId="0" applyFont="1"/>
    <xf numFmtId="0" fontId="17" fillId="4" borderId="1" xfId="0" applyFont="1" applyFill="1" applyBorder="1"/>
    <xf numFmtId="0" fontId="17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/>
    </xf>
    <xf numFmtId="176" fontId="6" fillId="0" borderId="1" xfId="0" applyNumberFormat="1" applyFont="1" applyBorder="1"/>
    <xf numFmtId="0" fontId="5" fillId="0" borderId="1" xfId="0" applyFont="1" applyBorder="1"/>
    <xf numFmtId="177" fontId="6" fillId="0" borderId="1" xfId="0" applyNumberFormat="1" applyFont="1" applyBorder="1"/>
    <xf numFmtId="0" fontId="6" fillId="0" borderId="1" xfId="0" applyFont="1" applyBorder="1" applyAlignment="1">
      <alignment vertical="center" wrapText="1"/>
    </xf>
    <xf numFmtId="176" fontId="11" fillId="0" borderId="1" xfId="0" applyNumberFormat="1" applyFont="1" applyBorder="1"/>
    <xf numFmtId="0" fontId="12" fillId="0" borderId="1" xfId="0" applyFont="1" applyBorder="1"/>
    <xf numFmtId="177" fontId="11" fillId="0" borderId="1" xfId="0" applyNumberFormat="1" applyFont="1" applyBorder="1"/>
    <xf numFmtId="176" fontId="11" fillId="7" borderId="1" xfId="0" applyNumberFormat="1" applyFont="1" applyFill="1" applyBorder="1"/>
    <xf numFmtId="0" fontId="12" fillId="7" borderId="1" xfId="0" applyFont="1" applyFill="1" applyBorder="1"/>
    <xf numFmtId="177" fontId="11" fillId="7" borderId="1" xfId="0" applyNumberFormat="1" applyFont="1" applyFill="1" applyBorder="1"/>
    <xf numFmtId="176" fontId="19" fillId="4" borderId="1" xfId="0" applyNumberFormat="1" applyFont="1" applyFill="1" applyBorder="1"/>
    <xf numFmtId="0" fontId="19" fillId="4" borderId="1" xfId="0" applyFont="1" applyFill="1" applyBorder="1"/>
    <xf numFmtId="177" fontId="19" fillId="4" borderId="1" xfId="0" applyNumberFormat="1" applyFont="1" applyFill="1" applyBorder="1"/>
    <xf numFmtId="0" fontId="12" fillId="0" borderId="1" xfId="0" applyFont="1" applyBorder="1" applyAlignment="1">
      <alignment vertical="center" shrinkToFit="1"/>
    </xf>
    <xf numFmtId="0" fontId="11" fillId="7" borderId="1" xfId="0" applyFont="1" applyFill="1" applyBorder="1" applyAlignment="1">
      <alignment vertical="center" shrinkToFit="1"/>
    </xf>
    <xf numFmtId="9" fontId="6" fillId="0" borderId="1" xfId="0" applyNumberFormat="1" applyFont="1" applyBorder="1"/>
    <xf numFmtId="0" fontId="7" fillId="4" borderId="1" xfId="0" applyFont="1" applyFill="1" applyBorder="1"/>
    <xf numFmtId="9" fontId="8" fillId="4" borderId="1" xfId="0" applyNumberFormat="1" applyFont="1" applyFill="1" applyBorder="1"/>
    <xf numFmtId="0" fontId="21" fillId="0" borderId="1" xfId="0" applyFont="1" applyBorder="1"/>
    <xf numFmtId="0" fontId="22" fillId="0" borderId="0" xfId="0" applyFont="1"/>
    <xf numFmtId="176" fontId="10" fillId="2" borderId="1" xfId="0" applyNumberFormat="1" applyFont="1" applyFill="1" applyBorder="1" applyAlignment="1">
      <alignment horizontal="center" vertical="center" wrapText="1"/>
    </xf>
    <xf numFmtId="0" fontId="7" fillId="4" borderId="0" xfId="0" applyFont="1" applyFill="1"/>
    <xf numFmtId="177" fontId="8" fillId="4" borderId="1" xfId="0" applyNumberFormat="1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4F81BD"/>
      <rgbColor rgb="FFBFBFBF"/>
      <rgbColor rgb="FF808080"/>
      <rgbColor rgb="FF8EA5CA"/>
      <rgbColor rgb="FFAA433F"/>
      <rgbColor rgb="FFFFF2CC"/>
      <rgbColor rgb="FFF2F2F2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8CBFD2"/>
      <rgbColor rgb="FFFF99CC"/>
      <rgbColor rgb="FF878787"/>
      <rgbColor rgb="FFF5B089"/>
      <rgbColor rgb="FF426FA6"/>
      <rgbColor rgb="FF33CCCC"/>
      <rgbColor rgb="FFB3C992"/>
      <rgbColor rgb="FFFFC000"/>
      <rgbColor rgb="FFDB8238"/>
      <rgbColor rgb="FFFF6600"/>
      <rgbColor rgb="FF6F568D"/>
      <rgbColor rgb="FFA596B9"/>
      <rgbColor rgb="FF003366"/>
      <rgbColor rgb="FF3D97AF"/>
      <rgbColor rgb="FF003300"/>
      <rgbColor rgb="FF333300"/>
      <rgbColor rgb="FF993300"/>
      <rgbColor rgb="FFC0504D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18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工程別 累計人工の推移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日別集計!R4</c:f>
              <c:strCache>
                <c:ptCount val="1"/>
                <c:pt idx="0">
                  <c:v>累計 準備・仮設工事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日別集計!$R$5:$R$140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D6-BC45-9FC1-9E2D8651C180}"/>
            </c:ext>
          </c:extLst>
        </c:ser>
        <c:ser>
          <c:idx val="1"/>
          <c:order val="1"/>
          <c:tx>
            <c:strRef>
              <c:f>日別集計!S4</c:f>
              <c:strCache>
                <c:ptCount val="1"/>
                <c:pt idx="0">
                  <c:v>累計 土工事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日別集計!$S$5:$S$140</c:f>
              <c:numCache>
                <c:formatCode>0;\-0;;</c:formatCode>
                <c:ptCount val="136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D6-BC45-9FC1-9E2D8651C180}"/>
            </c:ext>
          </c:extLst>
        </c:ser>
        <c:ser>
          <c:idx val="2"/>
          <c:order val="2"/>
          <c:tx>
            <c:strRef>
              <c:f>日別集計!T4</c:f>
              <c:strCache>
                <c:ptCount val="1"/>
                <c:pt idx="0">
                  <c:v>累計 擁壁工事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日別集計!$T$5:$T$140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4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8D6-BC45-9FC1-9E2D8651C180}"/>
            </c:ext>
          </c:extLst>
        </c:ser>
        <c:ser>
          <c:idx val="3"/>
          <c:order val="3"/>
          <c:tx>
            <c:strRef>
              <c:f>日別集計!U4</c:f>
              <c:strCache>
                <c:ptCount val="1"/>
                <c:pt idx="0">
                  <c:v>累計 地盤改良工事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日別集計!$U$5:$U$140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</c:v>
                </c:pt>
                <c:pt idx="54">
                  <c:v>8</c:v>
                </c:pt>
                <c:pt idx="55">
                  <c:v>8</c:v>
                </c:pt>
                <c:pt idx="56">
                  <c:v>12</c:v>
                </c:pt>
                <c:pt idx="57">
                  <c:v>15</c:v>
                </c:pt>
                <c:pt idx="58">
                  <c:v>18</c:v>
                </c:pt>
                <c:pt idx="59">
                  <c:v>21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27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8D6-BC45-9FC1-9E2D8651C180}"/>
            </c:ext>
          </c:extLst>
        </c:ser>
        <c:ser>
          <c:idx val="4"/>
          <c:order val="4"/>
          <c:tx>
            <c:strRef>
              <c:f>日別集計!V4</c:f>
              <c:strCache>
                <c:ptCount val="1"/>
                <c:pt idx="0">
                  <c:v>累計 基礎工事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日別集計!$V$5:$V$140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</c:v>
                </c:pt>
                <c:pt idx="66">
                  <c:v>6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12</c:v>
                </c:pt>
                <c:pt idx="71">
                  <c:v>15</c:v>
                </c:pt>
                <c:pt idx="72">
                  <c:v>19</c:v>
                </c:pt>
                <c:pt idx="73">
                  <c:v>21</c:v>
                </c:pt>
                <c:pt idx="74">
                  <c:v>27</c:v>
                </c:pt>
                <c:pt idx="75">
                  <c:v>32</c:v>
                </c:pt>
                <c:pt idx="76">
                  <c:v>32</c:v>
                </c:pt>
                <c:pt idx="77">
                  <c:v>36</c:v>
                </c:pt>
                <c:pt idx="78">
                  <c:v>41</c:v>
                </c:pt>
                <c:pt idx="79">
                  <c:v>46</c:v>
                </c:pt>
                <c:pt idx="80">
                  <c:v>46</c:v>
                </c:pt>
                <c:pt idx="81">
                  <c:v>46</c:v>
                </c:pt>
                <c:pt idx="82">
                  <c:v>46</c:v>
                </c:pt>
                <c:pt idx="83">
                  <c:v>47</c:v>
                </c:pt>
                <c:pt idx="84">
                  <c:v>51</c:v>
                </c:pt>
                <c:pt idx="85">
                  <c:v>51</c:v>
                </c:pt>
                <c:pt idx="86">
                  <c:v>51</c:v>
                </c:pt>
                <c:pt idx="87">
                  <c:v>51</c:v>
                </c:pt>
                <c:pt idx="88">
                  <c:v>51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51</c:v>
                </c:pt>
                <c:pt idx="102">
                  <c:v>51</c:v>
                </c:pt>
                <c:pt idx="103">
                  <c:v>51</c:v>
                </c:pt>
                <c:pt idx="104">
                  <c:v>51</c:v>
                </c:pt>
                <c:pt idx="105">
                  <c:v>51</c:v>
                </c:pt>
                <c:pt idx="106">
                  <c:v>51</c:v>
                </c:pt>
                <c:pt idx="107">
                  <c:v>51</c:v>
                </c:pt>
                <c:pt idx="108">
                  <c:v>51</c:v>
                </c:pt>
                <c:pt idx="109">
                  <c:v>51</c:v>
                </c:pt>
                <c:pt idx="110">
                  <c:v>51</c:v>
                </c:pt>
                <c:pt idx="111">
                  <c:v>51</c:v>
                </c:pt>
                <c:pt idx="112">
                  <c:v>51</c:v>
                </c:pt>
                <c:pt idx="113">
                  <c:v>51</c:v>
                </c:pt>
                <c:pt idx="114">
                  <c:v>51</c:v>
                </c:pt>
                <c:pt idx="115">
                  <c:v>51</c:v>
                </c:pt>
                <c:pt idx="116">
                  <c:v>51</c:v>
                </c:pt>
                <c:pt idx="117">
                  <c:v>51</c:v>
                </c:pt>
                <c:pt idx="118">
                  <c:v>51</c:v>
                </c:pt>
                <c:pt idx="119">
                  <c:v>51</c:v>
                </c:pt>
                <c:pt idx="120">
                  <c:v>51</c:v>
                </c:pt>
                <c:pt idx="121">
                  <c:v>51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51</c:v>
                </c:pt>
                <c:pt idx="126">
                  <c:v>51</c:v>
                </c:pt>
                <c:pt idx="127">
                  <c:v>51</c:v>
                </c:pt>
                <c:pt idx="128">
                  <c:v>51</c:v>
                </c:pt>
                <c:pt idx="129">
                  <c:v>51</c:v>
                </c:pt>
                <c:pt idx="130">
                  <c:v>51</c:v>
                </c:pt>
                <c:pt idx="131">
                  <c:v>51</c:v>
                </c:pt>
                <c:pt idx="132">
                  <c:v>51</c:v>
                </c:pt>
                <c:pt idx="133">
                  <c:v>51</c:v>
                </c:pt>
                <c:pt idx="134">
                  <c:v>51</c:v>
                </c:pt>
                <c:pt idx="135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8D6-BC45-9FC1-9E2D8651C180}"/>
            </c:ext>
          </c:extLst>
        </c:ser>
        <c:ser>
          <c:idx val="5"/>
          <c:order val="5"/>
          <c:tx>
            <c:strRef>
              <c:f>日別集計!W4</c:f>
              <c:strCache>
                <c:ptCount val="1"/>
                <c:pt idx="0">
                  <c:v>累計 木工事</c:v>
                </c:pt>
              </c:strCache>
            </c:strRef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日別集計!$W$5:$W$140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</c:v>
                </c:pt>
                <c:pt idx="86">
                  <c:v>6</c:v>
                </c:pt>
                <c:pt idx="87">
                  <c:v>10</c:v>
                </c:pt>
                <c:pt idx="88">
                  <c:v>14</c:v>
                </c:pt>
                <c:pt idx="89">
                  <c:v>18</c:v>
                </c:pt>
                <c:pt idx="90">
                  <c:v>19</c:v>
                </c:pt>
                <c:pt idx="91">
                  <c:v>22</c:v>
                </c:pt>
                <c:pt idx="92">
                  <c:v>25</c:v>
                </c:pt>
                <c:pt idx="93">
                  <c:v>28</c:v>
                </c:pt>
                <c:pt idx="94">
                  <c:v>30</c:v>
                </c:pt>
                <c:pt idx="95">
                  <c:v>32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36</c:v>
                </c:pt>
                <c:pt idx="101">
                  <c:v>38</c:v>
                </c:pt>
                <c:pt idx="102">
                  <c:v>42</c:v>
                </c:pt>
                <c:pt idx="103">
                  <c:v>46</c:v>
                </c:pt>
                <c:pt idx="104">
                  <c:v>47</c:v>
                </c:pt>
                <c:pt idx="105">
                  <c:v>51</c:v>
                </c:pt>
                <c:pt idx="106">
                  <c:v>55</c:v>
                </c:pt>
                <c:pt idx="107">
                  <c:v>59</c:v>
                </c:pt>
                <c:pt idx="108">
                  <c:v>62</c:v>
                </c:pt>
                <c:pt idx="109">
                  <c:v>62</c:v>
                </c:pt>
                <c:pt idx="110">
                  <c:v>63</c:v>
                </c:pt>
                <c:pt idx="111">
                  <c:v>67</c:v>
                </c:pt>
                <c:pt idx="112">
                  <c:v>70</c:v>
                </c:pt>
                <c:pt idx="113">
                  <c:v>74</c:v>
                </c:pt>
                <c:pt idx="114">
                  <c:v>77</c:v>
                </c:pt>
                <c:pt idx="115">
                  <c:v>80</c:v>
                </c:pt>
                <c:pt idx="116">
                  <c:v>83</c:v>
                </c:pt>
                <c:pt idx="117">
                  <c:v>85</c:v>
                </c:pt>
                <c:pt idx="118">
                  <c:v>85</c:v>
                </c:pt>
                <c:pt idx="119">
                  <c:v>85</c:v>
                </c:pt>
                <c:pt idx="120">
                  <c:v>85</c:v>
                </c:pt>
                <c:pt idx="121">
                  <c:v>85</c:v>
                </c:pt>
                <c:pt idx="122">
                  <c:v>85</c:v>
                </c:pt>
                <c:pt idx="123">
                  <c:v>85</c:v>
                </c:pt>
                <c:pt idx="124">
                  <c:v>86</c:v>
                </c:pt>
                <c:pt idx="125">
                  <c:v>86</c:v>
                </c:pt>
                <c:pt idx="126">
                  <c:v>86</c:v>
                </c:pt>
                <c:pt idx="127">
                  <c:v>87</c:v>
                </c:pt>
                <c:pt idx="128">
                  <c:v>87</c:v>
                </c:pt>
                <c:pt idx="129">
                  <c:v>87</c:v>
                </c:pt>
                <c:pt idx="130">
                  <c:v>87</c:v>
                </c:pt>
                <c:pt idx="131">
                  <c:v>87</c:v>
                </c:pt>
                <c:pt idx="132">
                  <c:v>87</c:v>
                </c:pt>
                <c:pt idx="133">
                  <c:v>87</c:v>
                </c:pt>
                <c:pt idx="134">
                  <c:v>87</c:v>
                </c:pt>
                <c:pt idx="135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8D6-BC45-9FC1-9E2D8651C180}"/>
            </c:ext>
          </c:extLst>
        </c:ser>
        <c:ser>
          <c:idx val="6"/>
          <c:order val="6"/>
          <c:tx>
            <c:strRef>
              <c:f>日別集計!X4</c:f>
              <c:strCache>
                <c:ptCount val="1"/>
                <c:pt idx="0">
                  <c:v>累計 屋根・外壁工事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日別集計!$X$5:$X$140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</c:v>
                </c:pt>
                <c:pt idx="99">
                  <c:v>2</c:v>
                </c:pt>
                <c:pt idx="100">
                  <c:v>5</c:v>
                </c:pt>
                <c:pt idx="101">
                  <c:v>8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13</c:v>
                </c:pt>
                <c:pt idx="106">
                  <c:v>14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17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22</c:v>
                </c:pt>
                <c:pt idx="125">
                  <c:v>22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78D6-BC45-9FC1-9E2D8651C180}"/>
            </c:ext>
          </c:extLst>
        </c:ser>
        <c:ser>
          <c:idx val="7"/>
          <c:order val="7"/>
          <c:tx>
            <c:strRef>
              <c:f>日別集計!Y4</c:f>
              <c:strCache>
                <c:ptCount val="1"/>
                <c:pt idx="0">
                  <c:v>累計 内装仕上げ工事</c:v>
                </c:pt>
              </c:strCache>
            </c:strRef>
          </c:tx>
          <c:spPr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日別集計!$Y$5:$Y$140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2</c:v>
                </c:pt>
                <c:pt idx="120">
                  <c:v>3</c:v>
                </c:pt>
                <c:pt idx="121">
                  <c:v>5</c:v>
                </c:pt>
                <c:pt idx="122">
                  <c:v>9</c:v>
                </c:pt>
                <c:pt idx="123">
                  <c:v>12</c:v>
                </c:pt>
                <c:pt idx="124">
                  <c:v>15</c:v>
                </c:pt>
                <c:pt idx="125">
                  <c:v>15</c:v>
                </c:pt>
                <c:pt idx="126">
                  <c:v>18</c:v>
                </c:pt>
                <c:pt idx="127">
                  <c:v>21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27</c:v>
                </c:pt>
                <c:pt idx="134">
                  <c:v>28</c:v>
                </c:pt>
                <c:pt idx="135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8D6-BC45-9FC1-9E2D8651C180}"/>
            </c:ext>
          </c:extLst>
        </c:ser>
        <c:ser>
          <c:idx val="8"/>
          <c:order val="8"/>
          <c:tx>
            <c:strRef>
              <c:f>日別集計!Z4</c:f>
              <c:strCache>
                <c:ptCount val="1"/>
                <c:pt idx="0">
                  <c:v>累計 電気設備工事</c:v>
                </c:pt>
              </c:strCache>
            </c:strRef>
          </c:tx>
          <c:spPr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日別集計!$Z$5:$Z$140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</c:v>
                </c:pt>
                <c:pt idx="101">
                  <c:v>6</c:v>
                </c:pt>
                <c:pt idx="102">
                  <c:v>8</c:v>
                </c:pt>
                <c:pt idx="103">
                  <c:v>11</c:v>
                </c:pt>
                <c:pt idx="104">
                  <c:v>11</c:v>
                </c:pt>
                <c:pt idx="105">
                  <c:v>13</c:v>
                </c:pt>
                <c:pt idx="106">
                  <c:v>13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17</c:v>
                </c:pt>
                <c:pt idx="118">
                  <c:v>17</c:v>
                </c:pt>
                <c:pt idx="119">
                  <c:v>17</c:v>
                </c:pt>
                <c:pt idx="120">
                  <c:v>17</c:v>
                </c:pt>
                <c:pt idx="121">
                  <c:v>17</c:v>
                </c:pt>
                <c:pt idx="122">
                  <c:v>17</c:v>
                </c:pt>
                <c:pt idx="123">
                  <c:v>17</c:v>
                </c:pt>
                <c:pt idx="124">
                  <c:v>17</c:v>
                </c:pt>
                <c:pt idx="125">
                  <c:v>17</c:v>
                </c:pt>
                <c:pt idx="126">
                  <c:v>17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78D6-BC45-9FC1-9E2D8651C180}"/>
            </c:ext>
          </c:extLst>
        </c:ser>
        <c:ser>
          <c:idx val="9"/>
          <c:order val="9"/>
          <c:tx>
            <c:strRef>
              <c:f>日別集計!AA4</c:f>
              <c:strCache>
                <c:ptCount val="1"/>
                <c:pt idx="0">
                  <c:v>累計 給排水設備工事</c:v>
                </c:pt>
              </c:strCache>
            </c:strRef>
          </c:tx>
          <c:spPr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日別集計!$AA$5:$AA$140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78D6-BC45-9FC1-9E2D8651C180}"/>
            </c:ext>
          </c:extLst>
        </c:ser>
        <c:ser>
          <c:idx val="10"/>
          <c:order val="10"/>
          <c:tx>
            <c:strRef>
              <c:f>日別集計!AB4</c:f>
              <c:strCache>
                <c:ptCount val="1"/>
                <c:pt idx="0">
                  <c:v>累計 外構工事</c:v>
                </c:pt>
              </c:strCache>
            </c:strRef>
          </c:tx>
          <c:spPr>
            <a:ln w="2844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日別集計!$AB$5:$AB$140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2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6</c:v>
                </c:pt>
                <c:pt idx="135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78D6-BC45-9FC1-9E2D8651C180}"/>
            </c:ext>
          </c:extLst>
        </c:ser>
        <c:ser>
          <c:idx val="11"/>
          <c:order val="11"/>
          <c:tx>
            <c:strRef>
              <c:f>日別集計!AC4</c:f>
              <c:strCache>
                <c:ptCount val="1"/>
                <c:pt idx="0">
                  <c:v>累計 その他</c:v>
                </c:pt>
              </c:strCache>
            </c:strRef>
          </c:tx>
          <c:spPr>
            <a:ln w="2844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日別集計!$AC$5:$AC$140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4</c:v>
                </c:pt>
                <c:pt idx="131">
                  <c:v>5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78D6-BC45-9FC1-9E2D8651C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029396"/>
        <c:axId val="40028549"/>
      </c:lineChart>
      <c:dateAx>
        <c:axId val="84029396"/>
        <c:scaling>
          <c:orientation val="minMax"/>
        </c:scaling>
        <c:delete val="0"/>
        <c:axPos val="b"/>
        <c:numFmt formatCode="m/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0028549"/>
        <c:crosses val="autoZero"/>
        <c:auto val="1"/>
        <c:lblOffset val="100"/>
        <c:baseTimeUnit val="days"/>
      </c:dateAx>
      <c:valAx>
        <c:axId val="400285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累計人工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;\-0;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840293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日別 人工（自社／業者）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日別集計!O4</c:f>
              <c:strCache>
                <c:ptCount val="1"/>
                <c:pt idx="0">
                  <c:v>自社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日別集計!$O$5:$O$140</c:f>
              <c:numCache>
                <c:formatCode>0;\-0;;</c:formatCode>
                <c:ptCount val="13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</c:v>
                </c:pt>
                <c:pt idx="66">
                  <c:v>3</c:v>
                </c:pt>
                <c:pt idx="67">
                  <c:v>2</c:v>
                </c:pt>
                <c:pt idx="68">
                  <c:v>0</c:v>
                </c:pt>
                <c:pt idx="69">
                  <c:v>0</c:v>
                </c:pt>
                <c:pt idx="70">
                  <c:v>4</c:v>
                </c:pt>
                <c:pt idx="71">
                  <c:v>3</c:v>
                </c:pt>
                <c:pt idx="72">
                  <c:v>2</c:v>
                </c:pt>
                <c:pt idx="73">
                  <c:v>2</c:v>
                </c:pt>
                <c:pt idx="74">
                  <c:v>3</c:v>
                </c:pt>
                <c:pt idx="75">
                  <c:v>5</c:v>
                </c:pt>
                <c:pt idx="76">
                  <c:v>0</c:v>
                </c:pt>
                <c:pt idx="77">
                  <c:v>4</c:v>
                </c:pt>
                <c:pt idx="78">
                  <c:v>5</c:v>
                </c:pt>
                <c:pt idx="79">
                  <c:v>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4</c:v>
                </c:pt>
                <c:pt idx="85">
                  <c:v>2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1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0</c:v>
                </c:pt>
                <c:pt idx="98">
                  <c:v>2</c:v>
                </c:pt>
                <c:pt idx="99">
                  <c:v>0</c:v>
                </c:pt>
                <c:pt idx="100">
                  <c:v>2</c:v>
                </c:pt>
                <c:pt idx="101">
                  <c:v>2</c:v>
                </c:pt>
                <c:pt idx="102">
                  <c:v>4</c:v>
                </c:pt>
                <c:pt idx="103">
                  <c:v>4</c:v>
                </c:pt>
                <c:pt idx="104">
                  <c:v>1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3</c:v>
                </c:pt>
                <c:pt idx="109">
                  <c:v>0</c:v>
                </c:pt>
                <c:pt idx="110">
                  <c:v>1</c:v>
                </c:pt>
                <c:pt idx="111">
                  <c:v>4</c:v>
                </c:pt>
                <c:pt idx="112">
                  <c:v>3</c:v>
                </c:pt>
                <c:pt idx="113">
                  <c:v>4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2</c:v>
                </c:pt>
                <c:pt idx="118">
                  <c:v>0</c:v>
                </c:pt>
                <c:pt idx="119">
                  <c:v>0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0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0</c:v>
                </c:pt>
                <c:pt idx="130">
                  <c:v>2</c:v>
                </c:pt>
                <c:pt idx="131">
                  <c:v>1</c:v>
                </c:pt>
                <c:pt idx="132">
                  <c:v>4</c:v>
                </c:pt>
                <c:pt idx="133">
                  <c:v>2</c:v>
                </c:pt>
                <c:pt idx="134">
                  <c:v>2</c:v>
                </c:pt>
                <c:pt idx="13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5-8746-B5B7-73F2A4EE277F}"/>
            </c:ext>
          </c:extLst>
        </c:ser>
        <c:ser>
          <c:idx val="1"/>
          <c:order val="1"/>
          <c:tx>
            <c:strRef>
              <c:f>日別集計!P4</c:f>
              <c:strCache>
                <c:ptCount val="1"/>
                <c:pt idx="0">
                  <c:v>業者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日別集計!$P$5:$P$140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</c:v>
                </c:pt>
                <c:pt idx="54">
                  <c:v>4</c:v>
                </c:pt>
                <c:pt idx="55">
                  <c:v>0</c:v>
                </c:pt>
                <c:pt idx="56">
                  <c:v>4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0</c:v>
                </c:pt>
                <c:pt idx="62">
                  <c:v>0</c:v>
                </c:pt>
                <c:pt idx="63">
                  <c:v>3</c:v>
                </c:pt>
                <c:pt idx="64">
                  <c:v>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</c:v>
                </c:pt>
                <c:pt idx="73">
                  <c:v>0</c:v>
                </c:pt>
                <c:pt idx="74">
                  <c:v>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</c:v>
                </c:pt>
                <c:pt idx="99">
                  <c:v>0</c:v>
                </c:pt>
                <c:pt idx="100">
                  <c:v>6</c:v>
                </c:pt>
                <c:pt idx="101">
                  <c:v>6</c:v>
                </c:pt>
                <c:pt idx="102">
                  <c:v>5</c:v>
                </c:pt>
                <c:pt idx="103">
                  <c:v>3</c:v>
                </c:pt>
                <c:pt idx="104">
                  <c:v>0</c:v>
                </c:pt>
                <c:pt idx="105">
                  <c:v>4</c:v>
                </c:pt>
                <c:pt idx="106">
                  <c:v>3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</c:v>
                </c:pt>
                <c:pt idx="115">
                  <c:v>2</c:v>
                </c:pt>
                <c:pt idx="116">
                  <c:v>0</c:v>
                </c:pt>
                <c:pt idx="117">
                  <c:v>2</c:v>
                </c:pt>
                <c:pt idx="118">
                  <c:v>0</c:v>
                </c:pt>
                <c:pt idx="119">
                  <c:v>2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0</c:v>
                </c:pt>
                <c:pt idx="124">
                  <c:v>5</c:v>
                </c:pt>
                <c:pt idx="125">
                  <c:v>0</c:v>
                </c:pt>
                <c:pt idx="126">
                  <c:v>0</c:v>
                </c:pt>
                <c:pt idx="127">
                  <c:v>3</c:v>
                </c:pt>
                <c:pt idx="128">
                  <c:v>0</c:v>
                </c:pt>
                <c:pt idx="129">
                  <c:v>3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1</c:v>
                </c:pt>
                <c:pt idx="134">
                  <c:v>1</c:v>
                </c:pt>
                <c:pt idx="1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5-8746-B5B7-73F2A4EE2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02021"/>
        <c:axId val="45876421"/>
      </c:barChart>
      <c:dateAx>
        <c:axId val="10102021"/>
        <c:scaling>
          <c:orientation val="minMax"/>
        </c:scaling>
        <c:delete val="0"/>
        <c:axPos val="b"/>
        <c:numFmt formatCode="m/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5876421"/>
        <c:crosses val="autoZero"/>
        <c:auto val="1"/>
        <c:lblOffset val="100"/>
        <c:baseTimeUnit val="days"/>
      </c:dateAx>
      <c:valAx>
        <c:axId val="458764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;\-0;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101020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工程別 実績人工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印刷04_集計!B4</c:f>
              <c:strCache>
                <c:ptCount val="1"/>
                <c:pt idx="0">
                  <c:v>実績人工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印刷04_集計!$A$5:$A$16</c:f>
              <c:strCache>
                <c:ptCount val="12"/>
                <c:pt idx="0">
                  <c:v>準備・仮設工事</c:v>
                </c:pt>
                <c:pt idx="1">
                  <c:v>土工事</c:v>
                </c:pt>
                <c:pt idx="2">
                  <c:v>擁壁工事</c:v>
                </c:pt>
                <c:pt idx="3">
                  <c:v>地盤改良工事</c:v>
                </c:pt>
                <c:pt idx="4">
                  <c:v>基礎工事</c:v>
                </c:pt>
                <c:pt idx="5">
                  <c:v>木工事</c:v>
                </c:pt>
                <c:pt idx="6">
                  <c:v>屋根・外壁工事</c:v>
                </c:pt>
                <c:pt idx="7">
                  <c:v>内装仕上げ工事</c:v>
                </c:pt>
                <c:pt idx="8">
                  <c:v>電気設備工事</c:v>
                </c:pt>
                <c:pt idx="9">
                  <c:v>給排水設備工事</c:v>
                </c:pt>
                <c:pt idx="10">
                  <c:v>外構工事</c:v>
                </c:pt>
                <c:pt idx="11">
                  <c:v>その他</c:v>
                </c:pt>
              </c:strCache>
            </c:strRef>
          </c:cat>
          <c:val>
            <c:numRef>
              <c:f>印刷04_集計!$B$5:$B$16</c:f>
              <c:numCache>
                <c:formatCode>General</c:formatCode>
                <c:ptCount val="12"/>
                <c:pt idx="0">
                  <c:v>0</c:v>
                </c:pt>
                <c:pt idx="1">
                  <c:v>7</c:v>
                </c:pt>
                <c:pt idx="2">
                  <c:v>6</c:v>
                </c:pt>
                <c:pt idx="3">
                  <c:v>30</c:v>
                </c:pt>
                <c:pt idx="4">
                  <c:v>51</c:v>
                </c:pt>
                <c:pt idx="5">
                  <c:v>87</c:v>
                </c:pt>
                <c:pt idx="6">
                  <c:v>22</c:v>
                </c:pt>
                <c:pt idx="7">
                  <c:v>28</c:v>
                </c:pt>
                <c:pt idx="8">
                  <c:v>19</c:v>
                </c:pt>
                <c:pt idx="9">
                  <c:v>8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0-4442-9EAF-452398E33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823604"/>
        <c:axId val="69096902"/>
      </c:barChart>
      <c:catAx>
        <c:axId val="938236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69096902"/>
        <c:crosses val="autoZero"/>
        <c:auto val="1"/>
        <c:lblAlgn val="ctr"/>
        <c:lblOffset val="100"/>
        <c:noMultiLvlLbl val="0"/>
      </c:catAx>
      <c:valAx>
        <c:axId val="690969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938236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160920</xdr:rowOff>
    </xdr:from>
    <xdr:to>
      <xdr:col>15</xdr:col>
      <xdr:colOff>7200</xdr:colOff>
      <xdr:row>18</xdr:row>
      <xdr:rowOff>64440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15</xdr:col>
      <xdr:colOff>7200</xdr:colOff>
      <xdr:row>34</xdr:row>
      <xdr:rowOff>2520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160560</xdr:rowOff>
    </xdr:from>
    <xdr:to>
      <xdr:col>7</xdr:col>
      <xdr:colOff>857160</xdr:colOff>
      <xdr:row>32</xdr:row>
      <xdr:rowOff>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E34"/>
  <sheetViews>
    <sheetView tabSelected="1" zoomScaleNormal="100" workbookViewId="0">
      <pane ySplit="5" topLeftCell="A6" activePane="bottomLeft" state="frozen"/>
      <selection pane="bottomLeft"/>
    </sheetView>
  </sheetViews>
  <sheetFormatPr defaultColWidth="8.7421875" defaultRowHeight="15" x14ac:dyDescent="0.2"/>
  <cols>
    <col min="1" max="1" width="36.05078125" customWidth="1"/>
    <col min="2" max="2" width="13.98828125" customWidth="1"/>
    <col min="3" max="3" width="7.93359375" customWidth="1"/>
    <col min="4" max="4" width="9.01171875" customWidth="1"/>
    <col min="5" max="5" width="59.99609375" customWidth="1"/>
  </cols>
  <sheetData>
    <row r="1" spans="1:5" ht="18.75" x14ac:dyDescent="0.25">
      <c r="A1" s="3" t="s">
        <v>0</v>
      </c>
    </row>
    <row r="2" spans="1:5" ht="16.5" x14ac:dyDescent="0.3">
      <c r="A2" s="4" t="s">
        <v>1</v>
      </c>
    </row>
    <row r="5" spans="1:5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</row>
    <row r="6" spans="1:5" ht="21" x14ac:dyDescent="0.35">
      <c r="A6" s="6" t="s">
        <v>7</v>
      </c>
      <c r="B6" s="7" t="s">
        <v>8</v>
      </c>
      <c r="C6" s="8" t="s">
        <v>9</v>
      </c>
      <c r="D6" s="9">
        <v>3</v>
      </c>
      <c r="E6" s="6" t="s">
        <v>10</v>
      </c>
    </row>
    <row r="7" spans="1:5" ht="21" x14ac:dyDescent="0.35">
      <c r="A7" s="6" t="s">
        <v>11</v>
      </c>
      <c r="B7" s="7" t="s">
        <v>8</v>
      </c>
      <c r="C7" s="8" t="s">
        <v>12</v>
      </c>
      <c r="D7" s="9">
        <v>4</v>
      </c>
      <c r="E7" s="6" t="s">
        <v>13</v>
      </c>
    </row>
    <row r="8" spans="1:5" ht="21" x14ac:dyDescent="0.35">
      <c r="A8" s="6" t="s">
        <v>14</v>
      </c>
      <c r="B8" s="7" t="s">
        <v>8</v>
      </c>
      <c r="C8" s="8" t="s">
        <v>12</v>
      </c>
      <c r="D8" s="9">
        <v>1</v>
      </c>
      <c r="E8" s="6" t="s">
        <v>15</v>
      </c>
    </row>
    <row r="9" spans="1:5" ht="21" x14ac:dyDescent="0.35">
      <c r="A9" s="6" t="s">
        <v>16</v>
      </c>
      <c r="B9" s="7" t="s">
        <v>8</v>
      </c>
      <c r="C9" s="8" t="s">
        <v>12</v>
      </c>
      <c r="D9" s="9">
        <v>1</v>
      </c>
      <c r="E9" s="6" t="s">
        <v>17</v>
      </c>
    </row>
    <row r="10" spans="1:5" ht="21" x14ac:dyDescent="0.35">
      <c r="A10" s="6" t="s">
        <v>18</v>
      </c>
      <c r="B10" s="7" t="s">
        <v>8</v>
      </c>
      <c r="C10" s="8" t="s">
        <v>9</v>
      </c>
      <c r="D10" s="9">
        <v>1</v>
      </c>
      <c r="E10" s="6" t="s">
        <v>19</v>
      </c>
    </row>
    <row r="11" spans="1:5" ht="21" x14ac:dyDescent="0.35">
      <c r="A11" s="6" t="s">
        <v>20</v>
      </c>
      <c r="B11" s="7" t="s">
        <v>8</v>
      </c>
      <c r="C11" s="8" t="s">
        <v>12</v>
      </c>
      <c r="D11" s="9">
        <v>1</v>
      </c>
      <c r="E11" s="6" t="s">
        <v>21</v>
      </c>
    </row>
    <row r="12" spans="1:5" ht="18.75" x14ac:dyDescent="0.2">
      <c r="A12" s="6" t="s">
        <v>22</v>
      </c>
      <c r="B12" s="7"/>
      <c r="C12" s="8" t="s">
        <v>12</v>
      </c>
      <c r="D12" s="9">
        <v>3</v>
      </c>
      <c r="E12" s="6" t="s">
        <v>23</v>
      </c>
    </row>
    <row r="13" spans="1:5" ht="18.75" x14ac:dyDescent="0.2">
      <c r="A13" s="6" t="s">
        <v>24</v>
      </c>
      <c r="B13" s="7"/>
      <c r="C13" s="8" t="s">
        <v>12</v>
      </c>
      <c r="D13" s="9">
        <v>6</v>
      </c>
      <c r="E13" s="6" t="s">
        <v>25</v>
      </c>
    </row>
    <row r="14" spans="1:5" ht="18.75" x14ac:dyDescent="0.2">
      <c r="A14" s="6" t="s">
        <v>26</v>
      </c>
      <c r="B14" s="7"/>
      <c r="C14" s="8" t="s">
        <v>12</v>
      </c>
      <c r="D14" s="9">
        <v>1</v>
      </c>
      <c r="E14" s="6" t="s">
        <v>27</v>
      </c>
    </row>
    <row r="15" spans="1:5" ht="18.75" x14ac:dyDescent="0.2">
      <c r="A15" s="6" t="s">
        <v>28</v>
      </c>
      <c r="B15" s="7"/>
      <c r="C15" s="8" t="s">
        <v>12</v>
      </c>
      <c r="D15" s="9">
        <v>2</v>
      </c>
      <c r="E15" s="6" t="s">
        <v>29</v>
      </c>
    </row>
    <row r="16" spans="1:5" ht="18.75" x14ac:dyDescent="0.2">
      <c r="A16" s="6" t="s">
        <v>30</v>
      </c>
      <c r="B16" s="7"/>
      <c r="C16" s="8" t="s">
        <v>9</v>
      </c>
      <c r="D16" s="9">
        <v>1</v>
      </c>
      <c r="E16" s="6" t="s">
        <v>31</v>
      </c>
    </row>
    <row r="17" spans="1:5" ht="18.75" x14ac:dyDescent="0.2">
      <c r="A17" s="6" t="s">
        <v>32</v>
      </c>
      <c r="B17" s="7"/>
      <c r="C17" s="8" t="s">
        <v>9</v>
      </c>
      <c r="D17" s="9">
        <v>1</v>
      </c>
      <c r="E17" s="6" t="s">
        <v>33</v>
      </c>
    </row>
    <row r="18" spans="1:5" ht="17.25" x14ac:dyDescent="0.35">
      <c r="A18" s="10" t="s">
        <v>34</v>
      </c>
      <c r="D18" s="11">
        <f>SUMIFS(D6:D17,B6:B17,"○")</f>
        <v>11</v>
      </c>
    </row>
    <row r="20" spans="1:5" ht="17.25" x14ac:dyDescent="0.35">
      <c r="A20" s="10" t="s">
        <v>35</v>
      </c>
      <c r="B20" s="2"/>
      <c r="C20" s="2"/>
      <c r="D20" s="2"/>
      <c r="E20" s="2"/>
    </row>
    <row r="21" spans="1:5" ht="15" customHeight="1" x14ac:dyDescent="0.35">
      <c r="A21" s="10" t="s">
        <v>36</v>
      </c>
      <c r="B21" s="1" t="s">
        <v>37</v>
      </c>
      <c r="C21" s="1"/>
      <c r="D21" s="1"/>
      <c r="E21" s="1"/>
    </row>
    <row r="22" spans="1:5" ht="15" customHeight="1" x14ac:dyDescent="0.35">
      <c r="A22" s="10" t="s">
        <v>38</v>
      </c>
      <c r="B22" s="1" t="s">
        <v>39</v>
      </c>
      <c r="C22" s="1"/>
      <c r="D22" s="1"/>
      <c r="E22" s="1"/>
    </row>
    <row r="23" spans="1:5" ht="15" customHeight="1" x14ac:dyDescent="0.35">
      <c r="A23" s="10" t="s">
        <v>40</v>
      </c>
      <c r="B23" s="1" t="s">
        <v>41</v>
      </c>
      <c r="C23" s="1"/>
      <c r="D23" s="1"/>
      <c r="E23" s="1"/>
    </row>
    <row r="24" spans="1:5" ht="15" customHeight="1" x14ac:dyDescent="0.35">
      <c r="A24" s="10" t="s">
        <v>42</v>
      </c>
      <c r="B24" s="1" t="s">
        <v>43</v>
      </c>
      <c r="C24" s="1"/>
      <c r="D24" s="1"/>
      <c r="E24" s="1"/>
    </row>
    <row r="25" spans="1:5" ht="15" customHeight="1" x14ac:dyDescent="0.35">
      <c r="A25" s="10" t="s">
        <v>44</v>
      </c>
      <c r="B25" s="2" t="s">
        <v>45</v>
      </c>
      <c r="C25" s="2"/>
      <c r="D25" s="2"/>
      <c r="E25" s="2"/>
    </row>
    <row r="26" spans="1:5" ht="17.25" x14ac:dyDescent="0.35">
      <c r="A26" s="12"/>
      <c r="B26" s="1"/>
      <c r="C26" s="1"/>
      <c r="D26" s="1"/>
      <c r="E26" s="1"/>
    </row>
    <row r="27" spans="1:5" ht="17.25" x14ac:dyDescent="0.35">
      <c r="A27" s="10" t="s">
        <v>46</v>
      </c>
      <c r="B27" s="1"/>
      <c r="C27" s="1"/>
      <c r="D27" s="1"/>
      <c r="E27" s="1"/>
    </row>
    <row r="28" spans="1:5" ht="15" customHeight="1" x14ac:dyDescent="0.35">
      <c r="A28" s="12" t="s">
        <v>47</v>
      </c>
      <c r="B28" s="1" t="s">
        <v>48</v>
      </c>
      <c r="C28" s="1"/>
      <c r="D28" s="1"/>
      <c r="E28" s="1"/>
    </row>
    <row r="29" spans="1:5" ht="29.85" customHeight="1" x14ac:dyDescent="0.35">
      <c r="A29" s="12" t="s">
        <v>49</v>
      </c>
      <c r="B29" s="2" t="s">
        <v>50</v>
      </c>
      <c r="C29" s="2"/>
      <c r="D29" s="2"/>
      <c r="E29" s="2"/>
    </row>
    <row r="30" spans="1:5" ht="15" customHeight="1" x14ac:dyDescent="0.35">
      <c r="A30" s="12" t="s">
        <v>51</v>
      </c>
      <c r="B30" s="2" t="s">
        <v>52</v>
      </c>
      <c r="C30" s="2"/>
      <c r="D30" s="2"/>
      <c r="E30" s="2"/>
    </row>
    <row r="31" spans="1:5" ht="15" customHeight="1" x14ac:dyDescent="0.35">
      <c r="A31" s="12" t="s">
        <v>53</v>
      </c>
      <c r="B31" s="1" t="s">
        <v>54</v>
      </c>
      <c r="C31" s="1"/>
      <c r="D31" s="1"/>
      <c r="E31" s="1"/>
    </row>
    <row r="32" spans="1:5" ht="17.25" x14ac:dyDescent="0.35">
      <c r="A32" s="12"/>
      <c r="B32" s="1"/>
      <c r="C32" s="1"/>
      <c r="D32" s="1"/>
      <c r="E32" s="1"/>
    </row>
    <row r="33" spans="1:5" ht="17.25" x14ac:dyDescent="0.35">
      <c r="A33" s="13" t="s">
        <v>55</v>
      </c>
      <c r="B33" s="1"/>
      <c r="C33" s="1"/>
      <c r="D33" s="1"/>
      <c r="E33" s="1"/>
    </row>
    <row r="34" spans="1:5" ht="29.85" customHeight="1" x14ac:dyDescent="0.2">
      <c r="A34" s="14" t="s">
        <v>56</v>
      </c>
      <c r="B34" s="2" t="s">
        <v>57</v>
      </c>
      <c r="C34" s="2"/>
      <c r="D34" s="2"/>
      <c r="E34" s="2"/>
    </row>
  </sheetData>
  <mergeCells count="15">
    <mergeCell ref="B30:E30"/>
    <mergeCell ref="B31:E31"/>
    <mergeCell ref="B32:E32"/>
    <mergeCell ref="B33:E33"/>
    <mergeCell ref="B34:E34"/>
    <mergeCell ref="B25:E25"/>
    <mergeCell ref="B26:E26"/>
    <mergeCell ref="B27:E27"/>
    <mergeCell ref="B28:E28"/>
    <mergeCell ref="B29:E29"/>
    <mergeCell ref="B20:E20"/>
    <mergeCell ref="B21:E21"/>
    <mergeCell ref="B22:E22"/>
    <mergeCell ref="B23:E23"/>
    <mergeCell ref="B24:E24"/>
  </mergeCells>
  <dataValidations count="1">
    <dataValidation type="list" allowBlank="1" sqref="B6:B17" xr:uid="{00000000-0002-0000-0000-000000000000}">
      <formula1>"○"</formula1>
      <formula2>0</formula2>
    </dataValidation>
  </dataValidations>
  <printOptions horizontalCentered="1"/>
  <pageMargins left="0.4" right="0.4" top="0.5" bottom="0.5" header="0.25" footer="0.25"/>
  <pageSetup paperSize="9" orientation="portrait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  <pageSetUpPr fitToPage="1"/>
  </sheetPr>
  <dimension ref="A1:B34"/>
  <sheetViews>
    <sheetView zoomScale="90" zoomScaleNormal="90" workbookViewId="0"/>
  </sheetViews>
  <sheetFormatPr defaultColWidth="8.7421875" defaultRowHeight="15" x14ac:dyDescent="0.2"/>
  <cols>
    <col min="1" max="1" width="18.0234375" customWidth="1"/>
    <col min="2" max="2" width="110.0390625" customWidth="1"/>
  </cols>
  <sheetData>
    <row r="1" spans="1:2" ht="22.5" x14ac:dyDescent="0.45">
      <c r="A1" s="3" t="s">
        <v>58</v>
      </c>
    </row>
    <row r="2" spans="1:2" ht="16.5" x14ac:dyDescent="0.3">
      <c r="A2" s="15" t="s">
        <v>59</v>
      </c>
    </row>
    <row r="4" spans="1:2" ht="16.5" x14ac:dyDescent="0.2">
      <c r="A4" s="10" t="s">
        <v>60</v>
      </c>
      <c r="B4" s="16"/>
    </row>
    <row r="5" spans="1:2" ht="18.75" x14ac:dyDescent="0.2">
      <c r="A5" s="10" t="s">
        <v>24</v>
      </c>
      <c r="B5" s="17" t="s">
        <v>61</v>
      </c>
    </row>
    <row r="6" spans="1:2" x14ac:dyDescent="0.2">
      <c r="A6" s="10" t="s">
        <v>26</v>
      </c>
      <c r="B6" s="17" t="s">
        <v>62</v>
      </c>
    </row>
    <row r="7" spans="1:2" x14ac:dyDescent="0.2">
      <c r="A7" s="10" t="s">
        <v>0</v>
      </c>
      <c r="B7" s="17" t="s">
        <v>63</v>
      </c>
    </row>
    <row r="8" spans="1:2" ht="33.75" x14ac:dyDescent="0.2">
      <c r="A8" s="10" t="s">
        <v>22</v>
      </c>
      <c r="B8" s="17" t="s">
        <v>64</v>
      </c>
    </row>
    <row r="9" spans="1:2" ht="18.75" x14ac:dyDescent="0.2">
      <c r="A9" s="10" t="s">
        <v>28</v>
      </c>
      <c r="B9" s="17" t="s">
        <v>65</v>
      </c>
    </row>
    <row r="10" spans="1:2" x14ac:dyDescent="0.2">
      <c r="A10" s="10" t="s">
        <v>30</v>
      </c>
      <c r="B10" s="17" t="s">
        <v>66</v>
      </c>
    </row>
    <row r="11" spans="1:2" x14ac:dyDescent="0.2">
      <c r="A11" s="14"/>
      <c r="B11" s="17"/>
    </row>
    <row r="12" spans="1:2" x14ac:dyDescent="0.2">
      <c r="A12" s="10" t="s">
        <v>67</v>
      </c>
      <c r="B12" s="17"/>
    </row>
    <row r="13" spans="1:2" ht="21" x14ac:dyDescent="0.35">
      <c r="A13" s="10" t="s">
        <v>68</v>
      </c>
      <c r="B13" s="16" t="s">
        <v>69</v>
      </c>
    </row>
    <row r="14" spans="1:2" ht="21" x14ac:dyDescent="0.35">
      <c r="A14" s="10" t="s">
        <v>70</v>
      </c>
      <c r="B14" s="16" t="s">
        <v>71</v>
      </c>
    </row>
    <row r="15" spans="1:2" ht="21" x14ac:dyDescent="0.35">
      <c r="A15" s="10" t="s">
        <v>72</v>
      </c>
      <c r="B15" s="16" t="s">
        <v>73</v>
      </c>
    </row>
    <row r="16" spans="1:2" ht="21" x14ac:dyDescent="0.35">
      <c r="A16" s="10" t="s">
        <v>74</v>
      </c>
      <c r="B16" s="16" t="s">
        <v>75</v>
      </c>
    </row>
    <row r="17" spans="1:2" ht="21" x14ac:dyDescent="0.35">
      <c r="A17" s="10" t="s">
        <v>76</v>
      </c>
      <c r="B17" s="16" t="s">
        <v>77</v>
      </c>
    </row>
    <row r="18" spans="1:2" ht="21" x14ac:dyDescent="0.35">
      <c r="A18" s="10" t="s">
        <v>78</v>
      </c>
      <c r="B18" s="16" t="s">
        <v>79</v>
      </c>
    </row>
    <row r="19" spans="1:2" ht="48" x14ac:dyDescent="0.35">
      <c r="A19" s="10" t="s">
        <v>80</v>
      </c>
      <c r="B19" s="17" t="s">
        <v>81</v>
      </c>
    </row>
    <row r="20" spans="1:2" ht="36" x14ac:dyDescent="0.35">
      <c r="A20" s="10" t="s">
        <v>82</v>
      </c>
      <c r="B20" s="16" t="s">
        <v>83</v>
      </c>
    </row>
    <row r="21" spans="1:2" ht="18.75" x14ac:dyDescent="0.2">
      <c r="A21" s="10" t="s">
        <v>84</v>
      </c>
      <c r="B21" s="17" t="s">
        <v>85</v>
      </c>
    </row>
    <row r="22" spans="1:2" x14ac:dyDescent="0.2">
      <c r="A22" s="14"/>
      <c r="B22" s="17"/>
    </row>
    <row r="23" spans="1:2" x14ac:dyDescent="0.2">
      <c r="A23" s="10" t="s">
        <v>86</v>
      </c>
      <c r="B23" s="17"/>
    </row>
    <row r="24" spans="1:2" x14ac:dyDescent="0.2">
      <c r="A24" s="10" t="s">
        <v>87</v>
      </c>
      <c r="B24" s="17" t="s">
        <v>88</v>
      </c>
    </row>
    <row r="25" spans="1:2" ht="18.75" x14ac:dyDescent="0.2">
      <c r="A25" s="10" t="s">
        <v>89</v>
      </c>
      <c r="B25" s="17" t="s">
        <v>90</v>
      </c>
    </row>
    <row r="26" spans="1:2" x14ac:dyDescent="0.2">
      <c r="A26" s="10" t="s">
        <v>91</v>
      </c>
      <c r="B26" s="17" t="s">
        <v>92</v>
      </c>
    </row>
    <row r="27" spans="1:2" ht="28.5" x14ac:dyDescent="0.2">
      <c r="A27" s="10" t="s">
        <v>27</v>
      </c>
      <c r="B27" s="17" t="s">
        <v>93</v>
      </c>
    </row>
    <row r="28" spans="1:2" ht="18.75" x14ac:dyDescent="0.2">
      <c r="A28" s="10" t="s">
        <v>94</v>
      </c>
      <c r="B28" s="17" t="s">
        <v>95</v>
      </c>
    </row>
    <row r="29" spans="1:2" ht="18.75" x14ac:dyDescent="0.2">
      <c r="A29" s="10" t="s">
        <v>96</v>
      </c>
      <c r="B29" s="17" t="s">
        <v>97</v>
      </c>
    </row>
    <row r="30" spans="1:2" ht="18.75" x14ac:dyDescent="0.2">
      <c r="A30" s="10" t="s">
        <v>98</v>
      </c>
      <c r="B30" s="17" t="s">
        <v>99</v>
      </c>
    </row>
    <row r="31" spans="1:2" x14ac:dyDescent="0.2">
      <c r="A31" s="14"/>
      <c r="B31" s="17"/>
    </row>
    <row r="32" spans="1:2" x14ac:dyDescent="0.2">
      <c r="A32" s="10" t="s">
        <v>100</v>
      </c>
      <c r="B32" s="17"/>
    </row>
    <row r="33" spans="1:2" x14ac:dyDescent="0.2">
      <c r="A33" s="10" t="s">
        <v>101</v>
      </c>
      <c r="B33" s="17" t="s">
        <v>102</v>
      </c>
    </row>
    <row r="34" spans="1:2" x14ac:dyDescent="0.2">
      <c r="A34" s="10" t="s">
        <v>103</v>
      </c>
      <c r="B34" s="17" t="s">
        <v>104</v>
      </c>
    </row>
  </sheetData>
  <printOptions horizontalCentered="1"/>
  <pageMargins left="0.4" right="0.4" top="0.5" bottom="0.5" header="0.25" footer="0.25"/>
  <pageSetup paperSize="9" orientation="portrait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  <pageSetUpPr fitToPage="1"/>
  </sheetPr>
  <dimension ref="A1:Q2000"/>
  <sheetViews>
    <sheetView zoomScale="90" zoomScaleNormal="90" workbookViewId="0">
      <pane xSplit="2" ySplit="1" topLeftCell="C2" activePane="bottomRight" state="frozen"/>
      <selection pane="bottomLeft" activeCell="A2" sqref="A2"/>
      <selection pane="topRight" activeCell="C1" sqref="C1"/>
      <selection pane="bottomRight"/>
    </sheetView>
  </sheetViews>
  <sheetFormatPr defaultColWidth="8.7421875" defaultRowHeight="15" x14ac:dyDescent="0.2"/>
  <cols>
    <col min="1" max="1" width="6.9921875" customWidth="1"/>
    <col min="2" max="2" width="4.03515625" customWidth="1"/>
    <col min="3" max="3" width="11.02734375" customWidth="1"/>
    <col min="4" max="4" width="4.9765625" customWidth="1"/>
    <col min="5" max="5" width="11.97265625" customWidth="1"/>
    <col min="6" max="6" width="16.94921875" customWidth="1"/>
    <col min="7" max="7" width="11.02734375" customWidth="1"/>
    <col min="8" max="8" width="46.00390625" customWidth="1"/>
    <col min="9" max="9" width="4.9765625" customWidth="1"/>
    <col min="10" max="10" width="29.99609375" customWidth="1"/>
    <col min="11" max="11" width="39.953125" customWidth="1"/>
    <col min="12" max="12" width="20.04296875" customWidth="1"/>
  </cols>
  <sheetData>
    <row r="1" spans="1:17" ht="28.5" x14ac:dyDescent="0.2">
      <c r="A1" s="5" t="s">
        <v>105</v>
      </c>
      <c r="B1" s="5" t="s">
        <v>106</v>
      </c>
      <c r="C1" s="5" t="s">
        <v>107</v>
      </c>
      <c r="D1" s="5" t="s">
        <v>108</v>
      </c>
      <c r="E1" s="5" t="s">
        <v>109</v>
      </c>
      <c r="F1" s="5" t="s">
        <v>91</v>
      </c>
      <c r="G1" s="5" t="s">
        <v>110</v>
      </c>
      <c r="H1" s="5" t="s">
        <v>111</v>
      </c>
      <c r="I1" s="5" t="s">
        <v>89</v>
      </c>
      <c r="J1" s="5" t="s">
        <v>112</v>
      </c>
      <c r="K1" s="5" t="s">
        <v>113</v>
      </c>
      <c r="L1" s="5" t="s">
        <v>114</v>
      </c>
      <c r="M1" s="5" t="inlineStr">
        <is>
          <t>開始時刻</t>
        </is>
      </c>
      <c r="N1" s="5" t="inlineStr">
        <is>
          <t>終了時刻</t>
        </is>
      </c>
      <c r="O1" s="5" t="inlineStr">
        <is>
          <t>入力者</t>
        </is>
      </c>
      <c r="P1" s="5" t="inlineStr">
        <is>
          <t>送信日時</t>
        </is>
      </c>
      <c r="Q1" s="5" t="inlineStr">
        <is>
          <t>写真</t>
        </is>
      </c>
    </row>
    <row r="2" spans="1:12" ht="17.25" x14ac:dyDescent="0.2">
      <c r="A2" s="18">
        <v>46132</v>
      </c>
      <c r="B2" s="19" t="str">
        <f>IF(A2="","",CHOOSE(WEEKDAY(A2),"日","月","火","水","木","金","土"))</f>
        <v>月</v>
      </c>
      <c r="C2" s="20" t="s">
        <v>115</v>
      </c>
      <c r="D2" s="21" t="s">
        <v>94</v>
      </c>
      <c r="E2" s="19" t="str">
        <f>IF(F2="","",IFERROR(INDEX(マスター!$F$5:$F$200,MATCH(F2,マスター!$E$5:$E$200,0)),"※マスター未登録"))</f>
        <v>土工事</v>
      </c>
      <c r="F2" s="20" t="s">
        <v>116</v>
      </c>
      <c r="G2" s="20" t="s">
        <v>117</v>
      </c>
      <c r="H2" s="22" t="s">
        <v>116</v>
      </c>
      <c r="I2" s="23">
        <v>1</v>
      </c>
      <c r="J2" s="20" t="s">
        <v>118</v>
      </c>
      <c r="K2" s="22" t="s">
        <v>119</v>
      </c>
      <c r="L2" s="20" t="s">
        <v>120</v>
      </c>
    </row>
    <row r="3" spans="1:12" ht="17.25" x14ac:dyDescent="0.2">
      <c r="A3" s="18">
        <v>46132</v>
      </c>
      <c r="B3" s="19" t="str">
        <f>IF(A3="","",CHOOSE(WEEKDAY(A3),"日","月","火","水","木","金","土"))</f>
        <v>月</v>
      </c>
      <c r="C3" s="20" t="s">
        <v>115</v>
      </c>
      <c r="D3" s="21" t="s">
        <v>94</v>
      </c>
      <c r="E3" s="19" t="str">
        <f>IF(F3="","",IFERROR(INDEX(マスター!$F$5:$F$200,MATCH(F3,マスター!$E$5:$E$200,0)),"※マスター未登録"))</f>
        <v>土工事</v>
      </c>
      <c r="F3" s="20" t="s">
        <v>116</v>
      </c>
      <c r="G3" s="20" t="s">
        <v>121</v>
      </c>
      <c r="H3" s="22" t="s">
        <v>116</v>
      </c>
      <c r="I3" s="23">
        <v>1</v>
      </c>
      <c r="J3" s="20" t="s">
        <v>118</v>
      </c>
      <c r="K3" s="22" t="s">
        <v>119</v>
      </c>
      <c r="L3" s="20" t="s">
        <v>120</v>
      </c>
    </row>
    <row r="4" spans="1:12" ht="17.25" x14ac:dyDescent="0.2">
      <c r="A4" s="18">
        <v>46132</v>
      </c>
      <c r="B4" s="19" t="str">
        <f>IF(A4="","",CHOOSE(WEEKDAY(A4),"日","月","火","水","木","金","土"))</f>
        <v>月</v>
      </c>
      <c r="C4" s="20" t="s">
        <v>115</v>
      </c>
      <c r="D4" s="24" t="s">
        <v>96</v>
      </c>
      <c r="E4" s="19" t="str">
        <f>IF(F4="","",IFERROR(INDEX(マスター!$F$5:$F$200,MATCH(F4,マスター!$E$5:$E$200,0)),"※マスター未登録"))</f>
        <v>土工事</v>
      </c>
      <c r="F4" s="20" t="s">
        <v>122</v>
      </c>
      <c r="G4" s="20" t="s">
        <v>123</v>
      </c>
      <c r="H4" s="22" t="s">
        <v>124</v>
      </c>
      <c r="I4" s="23"/>
      <c r="J4" s="23" t="s">
        <v>125</v>
      </c>
      <c r="K4" s="22" t="s">
        <v>126</v>
      </c>
      <c r="L4" s="23"/>
    </row>
    <row r="5" spans="1:12" x14ac:dyDescent="0.2">
      <c r="A5" s="18">
        <v>46133</v>
      </c>
      <c r="B5" s="19" t="str">
        <f>IF(A5="","",CHOOSE(WEEKDAY(A5),"日","月","火","水","木","金","土"))</f>
        <v>火</v>
      </c>
      <c r="C5" s="20" t="s">
        <v>115</v>
      </c>
      <c r="D5" s="21" t="s">
        <v>94</v>
      </c>
      <c r="E5" s="19" t="str">
        <f>IF(F5="","",IFERROR(INDEX(マスター!$F$5:$F$200,MATCH(F5,マスター!$E$5:$E$200,0)),"※マスター未登録"))</f>
        <v>土工事</v>
      </c>
      <c r="F5" s="20" t="s">
        <v>116</v>
      </c>
      <c r="G5" s="20" t="s">
        <v>117</v>
      </c>
      <c r="H5" s="22" t="s">
        <v>116</v>
      </c>
      <c r="I5" s="23">
        <v>1</v>
      </c>
      <c r="J5" s="20" t="s">
        <v>118</v>
      </c>
      <c r="K5" s="22"/>
      <c r="L5" s="20" t="s">
        <v>127</v>
      </c>
    </row>
    <row r="6" spans="1:12" x14ac:dyDescent="0.2">
      <c r="A6" s="18">
        <v>46133</v>
      </c>
      <c r="B6" s="19" t="str">
        <f>IF(A6="","",CHOOSE(WEEKDAY(A6),"日","月","火","水","木","金","土"))</f>
        <v>火</v>
      </c>
      <c r="C6" s="20" t="s">
        <v>115</v>
      </c>
      <c r="D6" s="21" t="s">
        <v>94</v>
      </c>
      <c r="E6" s="19" t="str">
        <f>IF(F6="","",IFERROR(INDEX(マスター!$F$5:$F$200,MATCH(F6,マスター!$E$5:$E$200,0)),"※マスター未登録"))</f>
        <v>土工事</v>
      </c>
      <c r="F6" s="20" t="s">
        <v>116</v>
      </c>
      <c r="G6" s="20" t="s">
        <v>128</v>
      </c>
      <c r="H6" s="22" t="s">
        <v>116</v>
      </c>
      <c r="I6" s="23">
        <v>1</v>
      </c>
      <c r="J6" s="20" t="s">
        <v>118</v>
      </c>
      <c r="K6" s="22"/>
      <c r="L6" s="20" t="s">
        <v>127</v>
      </c>
    </row>
    <row r="7" spans="1:12" ht="17.25" x14ac:dyDescent="0.2">
      <c r="A7" s="18">
        <v>46133</v>
      </c>
      <c r="B7" s="19" t="str">
        <f>IF(A7="","",CHOOSE(WEEKDAY(A7),"日","月","火","水","木","金","土"))</f>
        <v>火</v>
      </c>
      <c r="C7" s="20" t="s">
        <v>115</v>
      </c>
      <c r="D7" s="24" t="s">
        <v>96</v>
      </c>
      <c r="E7" s="19" t="str">
        <f>IF(F7="","",IFERROR(INDEX(マスター!$F$5:$F$200,MATCH(F7,マスター!$E$5:$E$200,0)),"※マスター未登録"))</f>
        <v>土工事</v>
      </c>
      <c r="F7" s="20" t="s">
        <v>122</v>
      </c>
      <c r="G7" s="20" t="s">
        <v>129</v>
      </c>
      <c r="H7" s="22" t="s">
        <v>130</v>
      </c>
      <c r="I7" s="23"/>
      <c r="J7" s="23" t="s">
        <v>125</v>
      </c>
      <c r="K7" s="22" t="s">
        <v>131</v>
      </c>
      <c r="L7" s="23"/>
    </row>
    <row r="8" spans="1:12" x14ac:dyDescent="0.2">
      <c r="A8" s="18">
        <v>46134</v>
      </c>
      <c r="B8" s="19" t="str">
        <f>IF(A8="","",CHOOSE(WEEKDAY(A8),"日","月","火","水","木","金","土"))</f>
        <v>水</v>
      </c>
      <c r="C8" s="20" t="s">
        <v>115</v>
      </c>
      <c r="D8" s="21" t="s">
        <v>94</v>
      </c>
      <c r="E8" s="19" t="str">
        <f>IF(F8="","",IFERROR(INDEX(マスター!$F$5:$F$200,MATCH(F8,マスター!$E$5:$E$200,0)),"※マスター未登録"))</f>
        <v>土工事</v>
      </c>
      <c r="F8" s="20" t="s">
        <v>116</v>
      </c>
      <c r="G8" s="20" t="s">
        <v>117</v>
      </c>
      <c r="H8" s="22" t="s">
        <v>116</v>
      </c>
      <c r="I8" s="23">
        <v>1</v>
      </c>
      <c r="J8" s="20" t="s">
        <v>118</v>
      </c>
      <c r="K8" s="22"/>
      <c r="L8" s="20" t="s">
        <v>132</v>
      </c>
    </row>
    <row r="9" spans="1:12" x14ac:dyDescent="0.2">
      <c r="A9" s="18">
        <v>46134</v>
      </c>
      <c r="B9" s="19" t="str">
        <f>IF(A9="","",CHOOSE(WEEKDAY(A9),"日","月","火","水","木","金","土"))</f>
        <v>水</v>
      </c>
      <c r="C9" s="20" t="s">
        <v>115</v>
      </c>
      <c r="D9" s="21" t="s">
        <v>94</v>
      </c>
      <c r="E9" s="19" t="str">
        <f>IF(F9="","",IFERROR(INDEX(マスター!$F$5:$F$200,MATCH(F9,マスター!$E$5:$E$200,0)),"※マスター未登録"))</f>
        <v>土工事</v>
      </c>
      <c r="F9" s="20" t="s">
        <v>116</v>
      </c>
      <c r="G9" s="20" t="s">
        <v>128</v>
      </c>
      <c r="H9" s="22" t="s">
        <v>116</v>
      </c>
      <c r="I9" s="23">
        <v>1</v>
      </c>
      <c r="J9" s="20" t="s">
        <v>118</v>
      </c>
      <c r="K9" s="22"/>
      <c r="L9" s="20" t="s">
        <v>132</v>
      </c>
    </row>
    <row r="10" spans="1:12" ht="17.25" x14ac:dyDescent="0.2">
      <c r="A10" s="18">
        <v>46134</v>
      </c>
      <c r="B10" s="19" t="str">
        <f>IF(A10="","",CHOOSE(WEEKDAY(A10),"日","月","火","水","木","金","土"))</f>
        <v>水</v>
      </c>
      <c r="C10" s="20" t="s">
        <v>115</v>
      </c>
      <c r="D10" s="21" t="s">
        <v>94</v>
      </c>
      <c r="E10" s="19" t="str">
        <f>IF(F10="","",IFERROR(INDEX(マスター!$F$5:$F$200,MATCH(F10,マスター!$E$5:$E$200,0)),"※マスター未登録"))</f>
        <v>土工事</v>
      </c>
      <c r="F10" s="20" t="s">
        <v>116</v>
      </c>
      <c r="G10" s="20" t="s">
        <v>121</v>
      </c>
      <c r="H10" s="22" t="s">
        <v>133</v>
      </c>
      <c r="I10" s="23">
        <v>1</v>
      </c>
      <c r="J10" s="23"/>
      <c r="K10" s="22" t="s">
        <v>134</v>
      </c>
      <c r="L10" s="23"/>
    </row>
    <row r="11" spans="1:12" ht="17.25" x14ac:dyDescent="0.2">
      <c r="A11" s="18">
        <v>46161</v>
      </c>
      <c r="B11" s="19" t="str">
        <f>IF(A11="","",CHOOSE(WEEKDAY(A11),"日","月","火","水","木","金","土"))</f>
        <v>火</v>
      </c>
      <c r="C11" s="20" t="s">
        <v>115</v>
      </c>
      <c r="D11" s="21" t="s">
        <v>94</v>
      </c>
      <c r="E11" s="19" t="str">
        <f>IF(F11="","",IFERROR(INDEX(マスター!$F$5:$F$200,MATCH(F11,マスター!$E$5:$E$200,0)),"※マスター未登録"))</f>
        <v>擁壁工事</v>
      </c>
      <c r="F11" s="20" t="s">
        <v>135</v>
      </c>
      <c r="G11" s="20" t="s">
        <v>117</v>
      </c>
      <c r="H11" s="22" t="s">
        <v>136</v>
      </c>
      <c r="I11" s="23">
        <v>1</v>
      </c>
      <c r="J11" s="20" t="s">
        <v>137</v>
      </c>
      <c r="K11" s="22"/>
      <c r="L11" s="23"/>
    </row>
    <row r="12" spans="1:12" ht="17.25" x14ac:dyDescent="0.2">
      <c r="A12" s="18">
        <v>46161</v>
      </c>
      <c r="B12" s="19" t="str">
        <f>IF(A12="","",CHOOSE(WEEKDAY(A12),"日","月","火","水","木","金","土"))</f>
        <v>火</v>
      </c>
      <c r="C12" s="20" t="s">
        <v>115</v>
      </c>
      <c r="D12" s="21" t="s">
        <v>94</v>
      </c>
      <c r="E12" s="19" t="str">
        <f>IF(F12="","",IFERROR(INDEX(マスター!$F$5:$F$200,MATCH(F12,マスター!$E$5:$E$200,0)),"※マスター未登録"))</f>
        <v>擁壁工事</v>
      </c>
      <c r="F12" s="20" t="s">
        <v>135</v>
      </c>
      <c r="G12" s="20" t="s">
        <v>128</v>
      </c>
      <c r="H12" s="22" t="s">
        <v>136</v>
      </c>
      <c r="I12" s="23">
        <v>1</v>
      </c>
      <c r="J12" s="20" t="s">
        <v>137</v>
      </c>
      <c r="K12" s="22"/>
      <c r="L12" s="23"/>
    </row>
    <row r="13" spans="1:12" ht="17.25" x14ac:dyDescent="0.2">
      <c r="A13" s="18">
        <v>46162</v>
      </c>
      <c r="B13" s="19" t="str">
        <f>IF(A13="","",CHOOSE(WEEKDAY(A13),"日","月","火","水","木","金","土"))</f>
        <v>水</v>
      </c>
      <c r="C13" s="20" t="s">
        <v>115</v>
      </c>
      <c r="D13" s="21" t="s">
        <v>94</v>
      </c>
      <c r="E13" s="19" t="str">
        <f>IF(F13="","",IFERROR(INDEX(マスター!$F$5:$F$200,MATCH(F13,マスター!$E$5:$E$200,0)),"※マスター未登録"))</f>
        <v>擁壁工事</v>
      </c>
      <c r="F13" s="20" t="s">
        <v>135</v>
      </c>
      <c r="G13" s="20" t="s">
        <v>117</v>
      </c>
      <c r="H13" s="22" t="s">
        <v>135</v>
      </c>
      <c r="I13" s="23">
        <v>1</v>
      </c>
      <c r="J13" s="20" t="s">
        <v>137</v>
      </c>
      <c r="K13" s="22" t="s">
        <v>138</v>
      </c>
      <c r="L13" s="23"/>
    </row>
    <row r="14" spans="1:12" ht="17.25" x14ac:dyDescent="0.2">
      <c r="A14" s="18">
        <v>46162</v>
      </c>
      <c r="B14" s="19" t="str">
        <f>IF(A14="","",CHOOSE(WEEKDAY(A14),"日","月","火","水","木","金","土"))</f>
        <v>水</v>
      </c>
      <c r="C14" s="20" t="s">
        <v>115</v>
      </c>
      <c r="D14" s="21" t="s">
        <v>94</v>
      </c>
      <c r="E14" s="19" t="str">
        <f>IF(F14="","",IFERROR(INDEX(マスター!$F$5:$F$200,MATCH(F14,マスター!$E$5:$E$200,0)),"※マスター未登録"))</f>
        <v>擁壁工事</v>
      </c>
      <c r="F14" s="20" t="s">
        <v>135</v>
      </c>
      <c r="G14" s="20" t="s">
        <v>128</v>
      </c>
      <c r="H14" s="22" t="s">
        <v>135</v>
      </c>
      <c r="I14" s="23">
        <v>1</v>
      </c>
      <c r="J14" s="20" t="s">
        <v>137</v>
      </c>
      <c r="K14" s="22" t="s">
        <v>138</v>
      </c>
      <c r="L14" s="23"/>
    </row>
    <row r="15" spans="1:12" x14ac:dyDescent="0.2">
      <c r="A15" s="18">
        <v>46163</v>
      </c>
      <c r="B15" s="19" t="str">
        <f>IF(A15="","",CHOOSE(WEEKDAY(A15),"日","月","火","水","木","金","土"))</f>
        <v>木</v>
      </c>
      <c r="C15" s="20" t="s">
        <v>115</v>
      </c>
      <c r="D15" s="21" t="s">
        <v>94</v>
      </c>
      <c r="E15" s="19" t="str">
        <f>IF(F15="","",IFERROR(INDEX(マスター!$F$5:$F$200,MATCH(F15,マスター!$E$5:$E$200,0)),"※マスター未登録"))</f>
        <v>擁壁工事</v>
      </c>
      <c r="F15" s="20" t="s">
        <v>135</v>
      </c>
      <c r="G15" s="20" t="s">
        <v>117</v>
      </c>
      <c r="H15" s="22" t="s">
        <v>135</v>
      </c>
      <c r="I15" s="23">
        <v>1</v>
      </c>
      <c r="J15" s="20" t="s">
        <v>137</v>
      </c>
      <c r="K15" s="22"/>
      <c r="L15" s="23"/>
    </row>
    <row r="16" spans="1:12" x14ac:dyDescent="0.2">
      <c r="A16" s="18">
        <v>46163</v>
      </c>
      <c r="B16" s="19" t="str">
        <f>IF(A16="","",CHOOSE(WEEKDAY(A16),"日","月","火","水","木","金","土"))</f>
        <v>木</v>
      </c>
      <c r="C16" s="20" t="s">
        <v>115</v>
      </c>
      <c r="D16" s="21" t="s">
        <v>94</v>
      </c>
      <c r="E16" s="19" t="str">
        <f>IF(F16="","",IFERROR(INDEX(マスター!$F$5:$F$200,MATCH(F16,マスター!$E$5:$E$200,0)),"※マスター未登録"))</f>
        <v>擁壁工事</v>
      </c>
      <c r="F16" s="20" t="s">
        <v>135</v>
      </c>
      <c r="G16" s="20" t="s">
        <v>128</v>
      </c>
      <c r="H16" s="22" t="s">
        <v>135</v>
      </c>
      <c r="I16" s="23">
        <v>1</v>
      </c>
      <c r="J16" s="20" t="s">
        <v>137</v>
      </c>
      <c r="K16" s="22"/>
      <c r="L16" s="23"/>
    </row>
    <row r="17" spans="1:12" x14ac:dyDescent="0.2">
      <c r="A17" s="18">
        <v>46185</v>
      </c>
      <c r="B17" s="19" t="str">
        <f>IF(A17="","",CHOOSE(WEEKDAY(A17),"日","月","火","水","木","金","土"))</f>
        <v>金</v>
      </c>
      <c r="C17" s="20" t="s">
        <v>115</v>
      </c>
      <c r="D17" s="24" t="s">
        <v>96</v>
      </c>
      <c r="E17" s="19" t="str">
        <f>IF(F17="","",IFERROR(INDEX(マスター!$F$5:$F$200,MATCH(F17,マスター!$E$5:$E$200,0)),"※マスター未登録"))</f>
        <v>地盤改良工事</v>
      </c>
      <c r="F17" s="20" t="s">
        <v>139</v>
      </c>
      <c r="G17" s="20" t="s">
        <v>140</v>
      </c>
      <c r="H17" s="22" t="s">
        <v>141</v>
      </c>
      <c r="I17" s="23">
        <v>4</v>
      </c>
      <c r="J17" s="23"/>
      <c r="K17" s="22"/>
      <c r="L17" s="23"/>
    </row>
    <row r="18" spans="1:12" x14ac:dyDescent="0.2">
      <c r="A18" s="18">
        <v>46186</v>
      </c>
      <c r="B18" s="19" t="str">
        <f>IF(A18="","",CHOOSE(WEEKDAY(A18),"日","月","火","水","木","金","土"))</f>
        <v>土</v>
      </c>
      <c r="C18" s="20" t="s">
        <v>115</v>
      </c>
      <c r="D18" s="24" t="s">
        <v>96</v>
      </c>
      <c r="E18" s="19" t="str">
        <f>IF(F18="","",IFERROR(INDEX(マスター!$F$5:$F$200,MATCH(F18,マスター!$E$5:$E$200,0)),"※マスター未登録"))</f>
        <v>地盤改良工事</v>
      </c>
      <c r="F18" s="20" t="s">
        <v>139</v>
      </c>
      <c r="G18" s="20" t="s">
        <v>140</v>
      </c>
      <c r="H18" s="22" t="s">
        <v>141</v>
      </c>
      <c r="I18" s="23">
        <v>4</v>
      </c>
      <c r="J18" s="23"/>
      <c r="K18" s="22"/>
      <c r="L18" s="23"/>
    </row>
    <row r="19" spans="1:12" x14ac:dyDescent="0.2">
      <c r="A19" s="18">
        <v>46188</v>
      </c>
      <c r="B19" s="19" t="str">
        <f>IF(A19="","",CHOOSE(WEEKDAY(A19),"日","月","火","水","木","金","土"))</f>
        <v>月</v>
      </c>
      <c r="C19" s="20" t="s">
        <v>115</v>
      </c>
      <c r="D19" s="24" t="s">
        <v>96</v>
      </c>
      <c r="E19" s="19" t="str">
        <f>IF(F19="","",IFERROR(INDEX(マスター!$F$5:$F$200,MATCH(F19,マスター!$E$5:$E$200,0)),"※マスター未登録"))</f>
        <v>地盤改良工事</v>
      </c>
      <c r="F19" s="20" t="s">
        <v>139</v>
      </c>
      <c r="G19" s="20" t="s">
        <v>140</v>
      </c>
      <c r="H19" s="22" t="s">
        <v>142</v>
      </c>
      <c r="I19" s="23">
        <v>4</v>
      </c>
      <c r="J19" s="23"/>
      <c r="K19" s="22"/>
      <c r="L19" s="23"/>
    </row>
    <row r="20" spans="1:12" ht="17.25" x14ac:dyDescent="0.2">
      <c r="A20" s="18">
        <v>46189</v>
      </c>
      <c r="B20" s="19" t="str">
        <f>IF(A20="","",CHOOSE(WEEKDAY(A20),"日","月","火","水","木","金","土"))</f>
        <v>火</v>
      </c>
      <c r="C20" s="20" t="s">
        <v>115</v>
      </c>
      <c r="D20" s="24" t="s">
        <v>96</v>
      </c>
      <c r="E20" s="19" t="str">
        <f>IF(F20="","",IFERROR(INDEX(マスター!$F$5:$F$200,MATCH(F20,マスター!$E$5:$E$200,0)),"※マスター未登録"))</f>
        <v>地盤改良工事</v>
      </c>
      <c r="F20" s="20" t="s">
        <v>139</v>
      </c>
      <c r="G20" s="20" t="s">
        <v>140</v>
      </c>
      <c r="H20" s="22" t="s">
        <v>143</v>
      </c>
      <c r="I20" s="23">
        <v>3</v>
      </c>
      <c r="J20" s="23"/>
      <c r="K20" s="22" t="s">
        <v>144</v>
      </c>
      <c r="L20" s="23"/>
    </row>
    <row r="21" spans="1:12" x14ac:dyDescent="0.2">
      <c r="A21" s="18">
        <v>46190</v>
      </c>
      <c r="B21" s="19" t="str">
        <f>IF(A21="","",CHOOSE(WEEKDAY(A21),"日","月","火","水","木","金","土"))</f>
        <v>水</v>
      </c>
      <c r="C21" s="20" t="s">
        <v>115</v>
      </c>
      <c r="D21" s="24" t="s">
        <v>96</v>
      </c>
      <c r="E21" s="19" t="str">
        <f>IF(F21="","",IFERROR(INDEX(マスター!$F$5:$F$200,MATCH(F21,マスター!$E$5:$E$200,0)),"※マスター未登録"))</f>
        <v>地盤改良工事</v>
      </c>
      <c r="F21" s="20" t="s">
        <v>139</v>
      </c>
      <c r="G21" s="20" t="s">
        <v>140</v>
      </c>
      <c r="H21" s="22" t="s">
        <v>145</v>
      </c>
      <c r="I21" s="23">
        <v>3</v>
      </c>
      <c r="J21" s="23"/>
      <c r="K21" s="22"/>
      <c r="L21" s="23"/>
    </row>
    <row r="22" spans="1:12" x14ac:dyDescent="0.2">
      <c r="A22" s="18">
        <v>46191</v>
      </c>
      <c r="B22" s="19" t="str">
        <f>IF(A22="","",CHOOSE(WEEKDAY(A22),"日","月","火","水","木","金","土"))</f>
        <v>木</v>
      </c>
      <c r="C22" s="20" t="s">
        <v>115</v>
      </c>
      <c r="D22" s="24" t="s">
        <v>96</v>
      </c>
      <c r="E22" s="19" t="str">
        <f>IF(F22="","",IFERROR(INDEX(マスター!$F$5:$F$200,MATCH(F22,マスター!$E$5:$E$200,0)),"※マスター未登録"))</f>
        <v>地盤改良工事</v>
      </c>
      <c r="F22" s="20" t="s">
        <v>139</v>
      </c>
      <c r="G22" s="20" t="s">
        <v>140</v>
      </c>
      <c r="H22" s="22" t="s">
        <v>145</v>
      </c>
      <c r="I22" s="23">
        <v>3</v>
      </c>
      <c r="J22" s="23"/>
      <c r="K22" s="22"/>
      <c r="L22" s="23"/>
    </row>
    <row r="23" spans="1:12" x14ac:dyDescent="0.2">
      <c r="A23" s="18">
        <v>46192</v>
      </c>
      <c r="B23" s="19" t="str">
        <f>IF(A23="","",CHOOSE(WEEKDAY(A23),"日","月","火","水","木","金","土"))</f>
        <v>金</v>
      </c>
      <c r="C23" s="20" t="s">
        <v>115</v>
      </c>
      <c r="D23" s="24" t="s">
        <v>96</v>
      </c>
      <c r="E23" s="19" t="str">
        <f>IF(F23="","",IFERROR(INDEX(マスター!$F$5:$F$200,MATCH(F23,マスター!$E$5:$E$200,0)),"※マスター未登録"))</f>
        <v>地盤改良工事</v>
      </c>
      <c r="F23" s="20" t="s">
        <v>139</v>
      </c>
      <c r="G23" s="20" t="s">
        <v>140</v>
      </c>
      <c r="H23" s="22" t="s">
        <v>146</v>
      </c>
      <c r="I23" s="23">
        <v>3</v>
      </c>
      <c r="J23" s="23"/>
      <c r="K23" s="22"/>
      <c r="L23" s="23"/>
    </row>
    <row r="24" spans="1:12" x14ac:dyDescent="0.2">
      <c r="A24" s="18">
        <v>46195</v>
      </c>
      <c r="B24" s="19" t="str">
        <f>IF(A24="","",CHOOSE(WEEKDAY(A24),"日","月","火","水","木","金","土"))</f>
        <v>月</v>
      </c>
      <c r="C24" s="20" t="s">
        <v>115</v>
      </c>
      <c r="D24" s="24" t="s">
        <v>96</v>
      </c>
      <c r="E24" s="19" t="str">
        <f>IF(F24="","",IFERROR(INDEX(マスター!$F$5:$F$200,MATCH(F24,マスター!$E$5:$E$200,0)),"※マスター未登録"))</f>
        <v>地盤改良工事</v>
      </c>
      <c r="F24" s="20" t="s">
        <v>139</v>
      </c>
      <c r="G24" s="20" t="s">
        <v>140</v>
      </c>
      <c r="H24" s="22" t="s">
        <v>147</v>
      </c>
      <c r="I24" s="23">
        <v>3</v>
      </c>
      <c r="J24" s="23"/>
      <c r="K24" s="22"/>
      <c r="L24" s="23"/>
    </row>
    <row r="25" spans="1:12" x14ac:dyDescent="0.2">
      <c r="A25" s="18">
        <v>46196</v>
      </c>
      <c r="B25" s="19" t="str">
        <f>IF(A25="","",CHOOSE(WEEKDAY(A25),"日","月","火","水","木","金","土"))</f>
        <v>火</v>
      </c>
      <c r="C25" s="20" t="s">
        <v>115</v>
      </c>
      <c r="D25" s="24" t="s">
        <v>96</v>
      </c>
      <c r="E25" s="19" t="str">
        <f>IF(F25="","",IFERROR(INDEX(マスター!$F$5:$F$200,MATCH(F25,マスター!$E$5:$E$200,0)),"※マスター未登録"))</f>
        <v>地盤改良工事</v>
      </c>
      <c r="F25" s="20" t="s">
        <v>139</v>
      </c>
      <c r="G25" s="20" t="s">
        <v>140</v>
      </c>
      <c r="H25" s="22" t="s">
        <v>148</v>
      </c>
      <c r="I25" s="23">
        <v>3</v>
      </c>
      <c r="J25" s="23"/>
      <c r="K25" s="22"/>
      <c r="L25" s="23"/>
    </row>
    <row r="26" spans="1:12" x14ac:dyDescent="0.2">
      <c r="A26" s="18">
        <v>46197</v>
      </c>
      <c r="B26" s="19" t="str">
        <f>IF(A26="","",CHOOSE(WEEKDAY(A26),"日","月","火","水","木","金","土"))</f>
        <v>水</v>
      </c>
      <c r="C26" s="20" t="s">
        <v>115</v>
      </c>
      <c r="D26" s="21" t="s">
        <v>94</v>
      </c>
      <c r="E26" s="19" t="str">
        <f>IF(F26="","",IFERROR(INDEX(マスター!$F$5:$F$200,MATCH(F26,マスター!$E$5:$E$200,0)),"※マスター未登録"))</f>
        <v>基礎工事</v>
      </c>
      <c r="F26" s="20" t="s">
        <v>149</v>
      </c>
      <c r="G26" s="20" t="s">
        <v>117</v>
      </c>
      <c r="H26" s="22" t="s">
        <v>150</v>
      </c>
      <c r="I26" s="23">
        <v>1</v>
      </c>
      <c r="J26" s="20" t="s">
        <v>151</v>
      </c>
      <c r="K26" s="22"/>
      <c r="L26" s="20" t="s">
        <v>152</v>
      </c>
    </row>
    <row r="27" spans="1:12" x14ac:dyDescent="0.2">
      <c r="A27" s="18">
        <v>46197</v>
      </c>
      <c r="B27" s="19" t="str">
        <f>IF(A27="","",CHOOSE(WEEKDAY(A27),"日","月","火","水","木","金","土"))</f>
        <v>水</v>
      </c>
      <c r="C27" s="20" t="s">
        <v>115</v>
      </c>
      <c r="D27" s="21" t="s">
        <v>94</v>
      </c>
      <c r="E27" s="19" t="str">
        <f>IF(F27="","",IFERROR(INDEX(マスター!$F$5:$F$200,MATCH(F27,マスター!$E$5:$E$200,0)),"※マスター未登録"))</f>
        <v>基礎工事</v>
      </c>
      <c r="F27" s="20" t="s">
        <v>149</v>
      </c>
      <c r="G27" s="20" t="s">
        <v>128</v>
      </c>
      <c r="H27" s="22" t="s">
        <v>150</v>
      </c>
      <c r="I27" s="23">
        <v>1</v>
      </c>
      <c r="J27" s="20" t="s">
        <v>151</v>
      </c>
      <c r="K27" s="22"/>
      <c r="L27" s="20" t="s">
        <v>152</v>
      </c>
    </row>
    <row r="28" spans="1:12" x14ac:dyDescent="0.2">
      <c r="A28" s="18">
        <v>46197</v>
      </c>
      <c r="B28" s="19" t="str">
        <f>IF(A28="","",CHOOSE(WEEKDAY(A28),"日","月","火","水","木","金","土"))</f>
        <v>水</v>
      </c>
      <c r="C28" s="20" t="s">
        <v>115</v>
      </c>
      <c r="D28" s="21" t="s">
        <v>94</v>
      </c>
      <c r="E28" s="19" t="str">
        <f>IF(F28="","",IFERROR(INDEX(マスター!$F$5:$F$200,MATCH(F28,マスター!$E$5:$E$200,0)),"※マスター未登録"))</f>
        <v>基礎工事</v>
      </c>
      <c r="F28" s="20" t="s">
        <v>149</v>
      </c>
      <c r="G28" s="20" t="s">
        <v>121</v>
      </c>
      <c r="H28" s="22" t="s">
        <v>150</v>
      </c>
      <c r="I28" s="23">
        <v>1</v>
      </c>
      <c r="J28" s="20" t="s">
        <v>151</v>
      </c>
      <c r="K28" s="22"/>
      <c r="L28" s="20" t="s">
        <v>152</v>
      </c>
    </row>
    <row r="29" spans="1:12" x14ac:dyDescent="0.2">
      <c r="A29" s="18">
        <v>46197</v>
      </c>
      <c r="B29" s="19" t="str">
        <f>IF(A29="","",CHOOSE(WEEKDAY(A29),"日","月","火","水","木","金","土"))</f>
        <v>水</v>
      </c>
      <c r="C29" s="20" t="s">
        <v>115</v>
      </c>
      <c r="D29" s="21" t="s">
        <v>94</v>
      </c>
      <c r="E29" s="19" t="str">
        <f>IF(F29="","",IFERROR(INDEX(マスター!$F$5:$F$200,MATCH(F29,マスター!$E$5:$E$200,0)),"※マスター未登録"))</f>
        <v>準備・仮設工事</v>
      </c>
      <c r="F29" s="20" t="s">
        <v>153</v>
      </c>
      <c r="G29" s="20" t="s">
        <v>117</v>
      </c>
      <c r="H29" s="22" t="s">
        <v>154</v>
      </c>
      <c r="I29" s="23"/>
      <c r="J29" s="23"/>
      <c r="K29" s="22" t="s">
        <v>155</v>
      </c>
      <c r="L29" s="23"/>
    </row>
    <row r="30" spans="1:12" ht="17.25" x14ac:dyDescent="0.2">
      <c r="A30" s="18">
        <v>46198</v>
      </c>
      <c r="B30" s="19" t="str">
        <f>IF(A30="","",CHOOSE(WEEKDAY(A30),"日","月","火","水","木","金","土"))</f>
        <v>木</v>
      </c>
      <c r="C30" s="20" t="s">
        <v>115</v>
      </c>
      <c r="D30" s="21" t="s">
        <v>94</v>
      </c>
      <c r="E30" s="19" t="str">
        <f>IF(F30="","",IFERROR(INDEX(マスター!$F$5:$F$200,MATCH(F30,マスター!$E$5:$E$200,0)),"※マスター未登録"))</f>
        <v>基礎工事</v>
      </c>
      <c r="F30" s="20" t="s">
        <v>149</v>
      </c>
      <c r="G30" s="20" t="s">
        <v>117</v>
      </c>
      <c r="H30" s="22" t="s">
        <v>156</v>
      </c>
      <c r="I30" s="23">
        <v>1</v>
      </c>
      <c r="J30" s="20" t="s">
        <v>137</v>
      </c>
      <c r="K30" s="22" t="s">
        <v>157</v>
      </c>
      <c r="L30" s="20" t="s">
        <v>158</v>
      </c>
    </row>
    <row r="31" spans="1:12" ht="17.25" x14ac:dyDescent="0.2">
      <c r="A31" s="18">
        <v>46198</v>
      </c>
      <c r="B31" s="19" t="str">
        <f>IF(A31="","",CHOOSE(WEEKDAY(A31),"日","月","火","水","木","金","土"))</f>
        <v>木</v>
      </c>
      <c r="C31" s="20" t="s">
        <v>115</v>
      </c>
      <c r="D31" s="21" t="s">
        <v>94</v>
      </c>
      <c r="E31" s="19" t="str">
        <f>IF(F31="","",IFERROR(INDEX(マスター!$F$5:$F$200,MATCH(F31,マスター!$E$5:$E$200,0)),"※マスター未登録"))</f>
        <v>基礎工事</v>
      </c>
      <c r="F31" s="20" t="s">
        <v>149</v>
      </c>
      <c r="G31" s="20" t="s">
        <v>128</v>
      </c>
      <c r="H31" s="22" t="s">
        <v>156</v>
      </c>
      <c r="I31" s="23">
        <v>1</v>
      </c>
      <c r="J31" s="20" t="s">
        <v>137</v>
      </c>
      <c r="K31" s="22" t="s">
        <v>157</v>
      </c>
      <c r="L31" s="20" t="s">
        <v>158</v>
      </c>
    </row>
    <row r="32" spans="1:12" ht="17.25" x14ac:dyDescent="0.2">
      <c r="A32" s="18">
        <v>46198</v>
      </c>
      <c r="B32" s="19" t="str">
        <f>IF(A32="","",CHOOSE(WEEKDAY(A32),"日","月","火","水","木","金","土"))</f>
        <v>木</v>
      </c>
      <c r="C32" s="20" t="s">
        <v>115</v>
      </c>
      <c r="D32" s="21" t="s">
        <v>94</v>
      </c>
      <c r="E32" s="19" t="str">
        <f>IF(F32="","",IFERROR(INDEX(マスター!$F$5:$F$200,MATCH(F32,マスター!$E$5:$E$200,0)),"※マスター未登録"))</f>
        <v>基礎工事</v>
      </c>
      <c r="F32" s="20" t="s">
        <v>149</v>
      </c>
      <c r="G32" s="20" t="s">
        <v>121</v>
      </c>
      <c r="H32" s="22" t="s">
        <v>156</v>
      </c>
      <c r="I32" s="23">
        <v>1</v>
      </c>
      <c r="J32" s="20" t="s">
        <v>137</v>
      </c>
      <c r="K32" s="22" t="s">
        <v>157</v>
      </c>
      <c r="L32" s="20" t="s">
        <v>158</v>
      </c>
    </row>
    <row r="33" spans="1:12" ht="17.25" x14ac:dyDescent="0.2">
      <c r="A33" s="18">
        <v>46199</v>
      </c>
      <c r="B33" s="19" t="str">
        <f>IF(A33="","",CHOOSE(WEEKDAY(A33),"日","月","火","水","木","金","土"))</f>
        <v>金</v>
      </c>
      <c r="C33" s="20" t="s">
        <v>115</v>
      </c>
      <c r="D33" s="21" t="s">
        <v>94</v>
      </c>
      <c r="E33" s="19" t="str">
        <f>IF(F33="","",IFERROR(INDEX(マスター!$F$5:$F$200,MATCH(F33,マスター!$E$5:$E$200,0)),"※マスター未登録"))</f>
        <v>基礎工事</v>
      </c>
      <c r="F33" s="20" t="s">
        <v>149</v>
      </c>
      <c r="G33" s="20" t="s">
        <v>117</v>
      </c>
      <c r="H33" s="22" t="s">
        <v>156</v>
      </c>
      <c r="I33" s="23">
        <v>1</v>
      </c>
      <c r="J33" s="20" t="s">
        <v>137</v>
      </c>
      <c r="K33" s="22" t="s">
        <v>159</v>
      </c>
      <c r="L33" s="20" t="s">
        <v>160</v>
      </c>
    </row>
    <row r="34" spans="1:12" ht="17.25" x14ac:dyDescent="0.2">
      <c r="A34" s="18">
        <v>46199</v>
      </c>
      <c r="B34" s="19" t="str">
        <f>IF(A34="","",CHOOSE(WEEKDAY(A34),"日","月","火","水","木","金","土"))</f>
        <v>金</v>
      </c>
      <c r="C34" s="20" t="s">
        <v>115</v>
      </c>
      <c r="D34" s="21" t="s">
        <v>94</v>
      </c>
      <c r="E34" s="19" t="str">
        <f>IF(F34="","",IFERROR(INDEX(マスター!$F$5:$F$200,MATCH(F34,マスター!$E$5:$E$200,0)),"※マスター未登録"))</f>
        <v>基礎工事</v>
      </c>
      <c r="F34" s="20" t="s">
        <v>149</v>
      </c>
      <c r="G34" s="20" t="s">
        <v>128</v>
      </c>
      <c r="H34" s="22" t="s">
        <v>156</v>
      </c>
      <c r="I34" s="23">
        <v>1</v>
      </c>
      <c r="J34" s="20" t="s">
        <v>137</v>
      </c>
      <c r="K34" s="22" t="s">
        <v>159</v>
      </c>
      <c r="L34" s="20" t="s">
        <v>160</v>
      </c>
    </row>
    <row r="35" spans="1:12" ht="30.75" x14ac:dyDescent="0.2">
      <c r="A35" s="18">
        <v>46200</v>
      </c>
      <c r="B35" s="19" t="str">
        <f>IF(A35="","",CHOOSE(WEEKDAY(A35),"日","月","火","水","木","金","土"))</f>
        <v>土</v>
      </c>
      <c r="C35" s="20" t="s">
        <v>115</v>
      </c>
      <c r="D35" s="21" t="s">
        <v>94</v>
      </c>
      <c r="E35" s="19" t="str">
        <f>IF(F35="","",IFERROR(INDEX(マスター!$F$5:$F$200,MATCH(F35,マスター!$E$5:$E$200,0)),"※マスター未登録"))</f>
        <v>その他</v>
      </c>
      <c r="F35" s="20" t="s">
        <v>98</v>
      </c>
      <c r="G35" s="20"/>
      <c r="H35" s="22" t="s">
        <v>161</v>
      </c>
      <c r="I35" s="23"/>
      <c r="J35" s="23"/>
      <c r="K35" s="22" t="s">
        <v>162</v>
      </c>
      <c r="L35" s="23"/>
    </row>
    <row r="36" spans="1:12" x14ac:dyDescent="0.2">
      <c r="A36" s="18">
        <v>46201</v>
      </c>
      <c r="B36" s="19" t="str">
        <f>IF(A36="","",CHOOSE(WEEKDAY(A36),"日","月","火","水","木","金","土"))</f>
        <v>日</v>
      </c>
      <c r="C36" s="20" t="s">
        <v>115</v>
      </c>
      <c r="D36" s="21" t="s">
        <v>94</v>
      </c>
      <c r="E36" s="19" t="str">
        <f>IF(F36="","",IFERROR(INDEX(マスター!$F$5:$F$200,MATCH(F36,マスター!$E$5:$E$200,0)),"※マスター未登録"))</f>
        <v>その他</v>
      </c>
      <c r="F36" s="20" t="s">
        <v>98</v>
      </c>
      <c r="G36" s="20"/>
      <c r="H36" s="22" t="s">
        <v>163</v>
      </c>
      <c r="I36" s="23"/>
      <c r="J36" s="23"/>
      <c r="K36" s="22"/>
      <c r="L36" s="23"/>
    </row>
    <row r="37" spans="1:12" ht="26.25" x14ac:dyDescent="0.2">
      <c r="A37" s="18">
        <v>46202</v>
      </c>
      <c r="B37" s="19" t="str">
        <f>IF(A37="","",CHOOSE(WEEKDAY(A37),"日","月","火","水","木","金","土"))</f>
        <v>月</v>
      </c>
      <c r="C37" s="20" t="s">
        <v>115</v>
      </c>
      <c r="D37" s="21" t="s">
        <v>94</v>
      </c>
      <c r="E37" s="19" t="str">
        <f>IF(F37="","",IFERROR(INDEX(マスター!$F$5:$F$200,MATCH(F37,マスター!$E$5:$E$200,0)),"※マスター未登録"))</f>
        <v>基礎工事</v>
      </c>
      <c r="F37" s="20" t="s">
        <v>149</v>
      </c>
      <c r="G37" s="20" t="s">
        <v>117</v>
      </c>
      <c r="H37" s="22" t="s">
        <v>164</v>
      </c>
      <c r="I37" s="23">
        <v>1</v>
      </c>
      <c r="J37" s="20" t="s">
        <v>137</v>
      </c>
      <c r="K37" s="22"/>
      <c r="L37" s="20" t="s">
        <v>165</v>
      </c>
    </row>
    <row r="38" spans="1:12" ht="26.25" x14ac:dyDescent="0.2">
      <c r="A38" s="18">
        <v>46202</v>
      </c>
      <c r="B38" s="19" t="str">
        <f>IF(A38="","",CHOOSE(WEEKDAY(A38),"日","月","火","水","木","金","土"))</f>
        <v>月</v>
      </c>
      <c r="C38" s="20" t="s">
        <v>115</v>
      </c>
      <c r="D38" s="21" t="s">
        <v>94</v>
      </c>
      <c r="E38" s="19" t="str">
        <f>IF(F38="","",IFERROR(INDEX(マスター!$F$5:$F$200,MATCH(F38,マスター!$E$5:$E$200,0)),"※マスター未登録"))</f>
        <v>基礎工事</v>
      </c>
      <c r="F38" s="20" t="s">
        <v>149</v>
      </c>
      <c r="G38" s="20" t="s">
        <v>128</v>
      </c>
      <c r="H38" s="22" t="s">
        <v>164</v>
      </c>
      <c r="I38" s="23">
        <v>1</v>
      </c>
      <c r="J38" s="20" t="s">
        <v>137</v>
      </c>
      <c r="K38" s="22"/>
      <c r="L38" s="20" t="s">
        <v>165</v>
      </c>
    </row>
    <row r="39" spans="1:12" ht="26.25" x14ac:dyDescent="0.2">
      <c r="A39" s="18">
        <v>46202</v>
      </c>
      <c r="B39" s="19" t="str">
        <f>IF(A39="","",CHOOSE(WEEKDAY(A39),"日","月","火","水","木","金","土"))</f>
        <v>月</v>
      </c>
      <c r="C39" s="20" t="s">
        <v>115</v>
      </c>
      <c r="D39" s="21" t="s">
        <v>94</v>
      </c>
      <c r="E39" s="19" t="str">
        <f>IF(F39="","",IFERROR(INDEX(マスター!$F$5:$F$200,MATCH(F39,マスター!$E$5:$E$200,0)),"※マスター未登録"))</f>
        <v>基礎工事</v>
      </c>
      <c r="F39" s="20" t="s">
        <v>149</v>
      </c>
      <c r="G39" s="20" t="s">
        <v>166</v>
      </c>
      <c r="H39" s="22" t="s">
        <v>164</v>
      </c>
      <c r="I39" s="23">
        <v>1</v>
      </c>
      <c r="J39" s="20" t="s">
        <v>137</v>
      </c>
      <c r="K39" s="22"/>
      <c r="L39" s="20" t="s">
        <v>165</v>
      </c>
    </row>
    <row r="40" spans="1:12" ht="26.25" x14ac:dyDescent="0.2">
      <c r="A40" s="18">
        <v>46202</v>
      </c>
      <c r="B40" s="19" t="str">
        <f>IF(A40="","",CHOOSE(WEEKDAY(A40),"日","月","火","水","木","金","土"))</f>
        <v>月</v>
      </c>
      <c r="C40" s="20" t="s">
        <v>115</v>
      </c>
      <c r="D40" s="21" t="s">
        <v>94</v>
      </c>
      <c r="E40" s="19" t="str">
        <f>IF(F40="","",IFERROR(INDEX(マスター!$F$5:$F$200,MATCH(F40,マスター!$E$5:$E$200,0)),"※マスター未登録"))</f>
        <v>基礎工事</v>
      </c>
      <c r="F40" s="20" t="s">
        <v>149</v>
      </c>
      <c r="G40" s="20" t="s">
        <v>121</v>
      </c>
      <c r="H40" s="22" t="s">
        <v>164</v>
      </c>
      <c r="I40" s="23">
        <v>1</v>
      </c>
      <c r="J40" s="20" t="s">
        <v>137</v>
      </c>
      <c r="K40" s="22"/>
      <c r="L40" s="20" t="s">
        <v>165</v>
      </c>
    </row>
    <row r="41" spans="1:12" x14ac:dyDescent="0.2">
      <c r="A41" s="18">
        <v>46203</v>
      </c>
      <c r="B41" s="19" t="str">
        <f>IF(A41="","",CHOOSE(WEEKDAY(A41),"日","月","火","水","木","金","土"))</f>
        <v>火</v>
      </c>
      <c r="C41" s="20" t="s">
        <v>115</v>
      </c>
      <c r="D41" s="21" t="s">
        <v>94</v>
      </c>
      <c r="E41" s="19" t="str">
        <f>IF(F41="","",IFERROR(INDEX(マスター!$F$5:$F$200,MATCH(F41,マスター!$E$5:$E$200,0)),"※マスター未登録"))</f>
        <v>基礎工事</v>
      </c>
      <c r="F41" s="20" t="s">
        <v>167</v>
      </c>
      <c r="G41" s="20" t="s">
        <v>117</v>
      </c>
      <c r="H41" s="22" t="s">
        <v>168</v>
      </c>
      <c r="I41" s="23">
        <v>1</v>
      </c>
      <c r="J41" s="23"/>
      <c r="K41" s="22"/>
      <c r="L41" s="20" t="s">
        <v>169</v>
      </c>
    </row>
    <row r="42" spans="1:12" x14ac:dyDescent="0.2">
      <c r="A42" s="18">
        <v>46203</v>
      </c>
      <c r="B42" s="19" t="str">
        <f>IF(A42="","",CHOOSE(WEEKDAY(A42),"日","月","火","水","木","金","土"))</f>
        <v>火</v>
      </c>
      <c r="C42" s="20" t="s">
        <v>115</v>
      </c>
      <c r="D42" s="21" t="s">
        <v>94</v>
      </c>
      <c r="E42" s="19" t="str">
        <f>IF(F42="","",IFERROR(INDEX(マスター!$F$5:$F$200,MATCH(F42,マスター!$E$5:$E$200,0)),"※マスター未登録"))</f>
        <v>基礎工事</v>
      </c>
      <c r="F42" s="20" t="s">
        <v>167</v>
      </c>
      <c r="G42" s="20" t="s">
        <v>128</v>
      </c>
      <c r="H42" s="22" t="s">
        <v>168</v>
      </c>
      <c r="I42" s="23">
        <v>1</v>
      </c>
      <c r="J42" s="23"/>
      <c r="K42" s="22"/>
      <c r="L42" s="20" t="s">
        <v>169</v>
      </c>
    </row>
    <row r="43" spans="1:12" x14ac:dyDescent="0.2">
      <c r="A43" s="18">
        <v>46203</v>
      </c>
      <c r="B43" s="19" t="str">
        <f>IF(A43="","",CHOOSE(WEEKDAY(A43),"日","月","火","水","木","金","土"))</f>
        <v>火</v>
      </c>
      <c r="C43" s="20" t="s">
        <v>115</v>
      </c>
      <c r="D43" s="21" t="s">
        <v>94</v>
      </c>
      <c r="E43" s="19" t="str">
        <f>IF(F43="","",IFERROR(INDEX(マスター!$F$5:$F$200,MATCH(F43,マスター!$E$5:$E$200,0)),"※マスター未登録"))</f>
        <v>基礎工事</v>
      </c>
      <c r="F43" s="20" t="s">
        <v>167</v>
      </c>
      <c r="G43" s="20" t="s">
        <v>166</v>
      </c>
      <c r="H43" s="22" t="s">
        <v>168</v>
      </c>
      <c r="I43" s="23">
        <v>1</v>
      </c>
      <c r="J43" s="23"/>
      <c r="K43" s="22"/>
      <c r="L43" s="20" t="s">
        <v>169</v>
      </c>
    </row>
    <row r="44" spans="1:12" x14ac:dyDescent="0.2">
      <c r="A44" s="18">
        <v>46204</v>
      </c>
      <c r="B44" s="19" t="str">
        <f>IF(A44="","",CHOOSE(WEEKDAY(A44),"日","月","火","水","木","金","土"))</f>
        <v>水</v>
      </c>
      <c r="C44" s="20" t="s">
        <v>115</v>
      </c>
      <c r="D44" s="21" t="s">
        <v>94</v>
      </c>
      <c r="E44" s="19" t="str">
        <f>IF(F44="","",IFERROR(INDEX(マスター!$F$5:$F$200,MATCH(F44,マスター!$E$5:$E$200,0)),"※マスター未登録"))</f>
        <v>基礎工事</v>
      </c>
      <c r="F44" s="20" t="s">
        <v>167</v>
      </c>
      <c r="G44" s="20" t="s">
        <v>117</v>
      </c>
      <c r="H44" s="22" t="s">
        <v>170</v>
      </c>
      <c r="I44" s="23">
        <v>1</v>
      </c>
      <c r="J44" s="23"/>
      <c r="K44" s="22"/>
      <c r="L44" s="20" t="s">
        <v>171</v>
      </c>
    </row>
    <row r="45" spans="1:12" x14ac:dyDescent="0.2">
      <c r="A45" s="18">
        <v>46204</v>
      </c>
      <c r="B45" s="19" t="str">
        <f>IF(A45="","",CHOOSE(WEEKDAY(A45),"日","月","火","水","木","金","土"))</f>
        <v>水</v>
      </c>
      <c r="C45" s="20" t="s">
        <v>115</v>
      </c>
      <c r="D45" s="21" t="s">
        <v>94</v>
      </c>
      <c r="E45" s="19" t="str">
        <f>IF(F45="","",IFERROR(INDEX(マスター!$F$5:$F$200,MATCH(F45,マスター!$E$5:$E$200,0)),"※マスター未登録"))</f>
        <v>基礎工事</v>
      </c>
      <c r="F45" s="20" t="s">
        <v>167</v>
      </c>
      <c r="G45" s="20" t="s">
        <v>166</v>
      </c>
      <c r="H45" s="22" t="s">
        <v>170</v>
      </c>
      <c r="I45" s="23">
        <v>1</v>
      </c>
      <c r="J45" s="23"/>
      <c r="K45" s="22"/>
      <c r="L45" s="20" t="s">
        <v>171</v>
      </c>
    </row>
    <row r="46" spans="1:12" x14ac:dyDescent="0.2">
      <c r="A46" s="18">
        <v>46204</v>
      </c>
      <c r="B46" s="19" t="str">
        <f>IF(A46="","",CHOOSE(WEEKDAY(A46),"日","月","火","水","木","金","土"))</f>
        <v>水</v>
      </c>
      <c r="C46" s="20" t="s">
        <v>115</v>
      </c>
      <c r="D46" s="24" t="s">
        <v>96</v>
      </c>
      <c r="E46" s="19" t="str">
        <f>IF(F46="","",IFERROR(INDEX(マスター!$F$5:$F$200,MATCH(F46,マスター!$E$5:$E$200,0)),"※マスター未登録"))</f>
        <v>基礎工事</v>
      </c>
      <c r="F46" s="20" t="s">
        <v>172</v>
      </c>
      <c r="G46" s="20" t="s">
        <v>173</v>
      </c>
      <c r="H46" s="22" t="s">
        <v>174</v>
      </c>
      <c r="I46" s="23">
        <v>2</v>
      </c>
      <c r="J46" s="23"/>
      <c r="K46" s="22" t="s">
        <v>175</v>
      </c>
      <c r="L46" s="23"/>
    </row>
    <row r="47" spans="1:12" x14ac:dyDescent="0.2">
      <c r="A47" s="18">
        <v>46205</v>
      </c>
      <c r="B47" s="19" t="str">
        <f>IF(A47="","",CHOOSE(WEEKDAY(A47),"日","月","火","水","木","金","土"))</f>
        <v>木</v>
      </c>
      <c r="C47" s="20" t="s">
        <v>115</v>
      </c>
      <c r="D47" s="21" t="s">
        <v>94</v>
      </c>
      <c r="E47" s="19" t="str">
        <f>IF(F47="","",IFERROR(INDEX(マスター!$F$5:$F$200,MATCH(F47,マスター!$E$5:$E$200,0)),"※マスター未登録"))</f>
        <v>基礎工事</v>
      </c>
      <c r="F47" s="20" t="s">
        <v>167</v>
      </c>
      <c r="G47" s="20" t="s">
        <v>117</v>
      </c>
      <c r="H47" s="22" t="s">
        <v>176</v>
      </c>
      <c r="I47" s="23">
        <v>1</v>
      </c>
      <c r="J47" s="23"/>
      <c r="K47" s="22"/>
      <c r="L47" s="20" t="s">
        <v>177</v>
      </c>
    </row>
    <row r="48" spans="1:12" x14ac:dyDescent="0.2">
      <c r="A48" s="18">
        <v>46205</v>
      </c>
      <c r="B48" s="19" t="str">
        <f>IF(A48="","",CHOOSE(WEEKDAY(A48),"日","月","火","水","木","金","土"))</f>
        <v>木</v>
      </c>
      <c r="C48" s="20" t="s">
        <v>115</v>
      </c>
      <c r="D48" s="21" t="s">
        <v>94</v>
      </c>
      <c r="E48" s="19" t="str">
        <f>IF(F48="","",IFERROR(INDEX(マスター!$F$5:$F$200,MATCH(F48,マスター!$E$5:$E$200,0)),"※マスター未登録"))</f>
        <v>基礎工事</v>
      </c>
      <c r="F48" s="20" t="s">
        <v>167</v>
      </c>
      <c r="G48" s="20" t="s">
        <v>166</v>
      </c>
      <c r="H48" s="22" t="s">
        <v>176</v>
      </c>
      <c r="I48" s="23">
        <v>1</v>
      </c>
      <c r="J48" s="23"/>
      <c r="K48" s="22"/>
      <c r="L48" s="20" t="s">
        <v>177</v>
      </c>
    </row>
    <row r="49" spans="1:12" ht="17.25" x14ac:dyDescent="0.2">
      <c r="A49" s="18">
        <v>46206</v>
      </c>
      <c r="B49" s="19" t="str">
        <f>IF(A49="","",CHOOSE(WEEKDAY(A49),"日","月","火","水","木","金","土"))</f>
        <v>金</v>
      </c>
      <c r="C49" s="20" t="s">
        <v>115</v>
      </c>
      <c r="D49" s="21" t="s">
        <v>94</v>
      </c>
      <c r="E49" s="19" t="str">
        <f>IF(F49="","",IFERROR(INDEX(マスター!$F$5:$F$200,MATCH(F49,マスター!$E$5:$E$200,0)),"※マスター未登録"))</f>
        <v>基礎工事</v>
      </c>
      <c r="F49" s="20" t="s">
        <v>178</v>
      </c>
      <c r="G49" s="20" t="s">
        <v>117</v>
      </c>
      <c r="H49" s="22" t="s">
        <v>179</v>
      </c>
      <c r="I49" s="23">
        <v>1</v>
      </c>
      <c r="J49" s="20" t="s">
        <v>180</v>
      </c>
      <c r="K49" s="22" t="s">
        <v>181</v>
      </c>
      <c r="L49" s="23"/>
    </row>
    <row r="50" spans="1:12" ht="17.25" x14ac:dyDescent="0.2">
      <c r="A50" s="18">
        <v>46206</v>
      </c>
      <c r="B50" s="19" t="str">
        <f>IF(A50="","",CHOOSE(WEEKDAY(A50),"日","月","火","水","木","金","土"))</f>
        <v>金</v>
      </c>
      <c r="C50" s="20" t="s">
        <v>115</v>
      </c>
      <c r="D50" s="21" t="s">
        <v>94</v>
      </c>
      <c r="E50" s="19" t="str">
        <f>IF(F50="","",IFERROR(INDEX(マスター!$F$5:$F$200,MATCH(F50,マスター!$E$5:$E$200,0)),"※マスター未登録"))</f>
        <v>基礎工事</v>
      </c>
      <c r="F50" s="20" t="s">
        <v>178</v>
      </c>
      <c r="G50" s="20" t="s">
        <v>166</v>
      </c>
      <c r="H50" s="22" t="s">
        <v>179</v>
      </c>
      <c r="I50" s="23">
        <v>1</v>
      </c>
      <c r="J50" s="20" t="s">
        <v>180</v>
      </c>
      <c r="K50" s="22" t="s">
        <v>181</v>
      </c>
      <c r="L50" s="23"/>
    </row>
    <row r="51" spans="1:12" x14ac:dyDescent="0.2">
      <c r="A51" s="18">
        <v>46206</v>
      </c>
      <c r="B51" s="19" t="str">
        <f>IF(A51="","",CHOOSE(WEEKDAY(A51),"日","月","火","水","木","金","土"))</f>
        <v>金</v>
      </c>
      <c r="C51" s="20" t="s">
        <v>115</v>
      </c>
      <c r="D51" s="21" t="s">
        <v>94</v>
      </c>
      <c r="E51" s="19" t="str">
        <f>IF(F51="","",IFERROR(INDEX(マスター!$F$5:$F$200,MATCH(F51,マスター!$E$5:$E$200,0)),"※マスター未登録"))</f>
        <v>基礎工事</v>
      </c>
      <c r="F51" s="20" t="s">
        <v>182</v>
      </c>
      <c r="G51" s="20" t="s">
        <v>128</v>
      </c>
      <c r="H51" s="22" t="s">
        <v>183</v>
      </c>
      <c r="I51" s="23">
        <v>1</v>
      </c>
      <c r="J51" s="23"/>
      <c r="K51" s="22"/>
      <c r="L51" s="20" t="s">
        <v>184</v>
      </c>
    </row>
    <row r="52" spans="1:12" ht="17.25" x14ac:dyDescent="0.2">
      <c r="A52" s="18">
        <v>46206</v>
      </c>
      <c r="B52" s="19" t="str">
        <f>IF(A52="","",CHOOSE(WEEKDAY(A52),"日","月","火","水","木","金","土"))</f>
        <v>金</v>
      </c>
      <c r="C52" s="20" t="s">
        <v>115</v>
      </c>
      <c r="D52" s="24" t="s">
        <v>96</v>
      </c>
      <c r="E52" s="19" t="str">
        <f>IF(F52="","",IFERROR(INDEX(マスター!$F$5:$F$200,MATCH(F52,マスター!$E$5:$E$200,0)),"※マスター未登録"))</f>
        <v>基礎工事</v>
      </c>
      <c r="F52" s="20" t="s">
        <v>182</v>
      </c>
      <c r="G52" s="20" t="s">
        <v>185</v>
      </c>
      <c r="H52" s="22" t="s">
        <v>186</v>
      </c>
      <c r="I52" s="23">
        <v>1</v>
      </c>
      <c r="J52" s="23"/>
      <c r="K52" s="22" t="s">
        <v>175</v>
      </c>
      <c r="L52" s="23"/>
    </row>
    <row r="53" spans="1:12" x14ac:dyDescent="0.2">
      <c r="A53" s="18">
        <v>46206</v>
      </c>
      <c r="B53" s="19" t="str">
        <f>IF(A53="","",CHOOSE(WEEKDAY(A53),"日","月","火","水","木","金","土"))</f>
        <v>金</v>
      </c>
      <c r="C53" s="20" t="s">
        <v>115</v>
      </c>
      <c r="D53" s="24" t="s">
        <v>96</v>
      </c>
      <c r="E53" s="19" t="str">
        <f>IF(F53="","",IFERROR(INDEX(マスター!$F$5:$F$200,MATCH(F53,マスター!$E$5:$E$200,0)),"※マスター未登録"))</f>
        <v>基礎工事</v>
      </c>
      <c r="F53" s="20" t="s">
        <v>187</v>
      </c>
      <c r="G53" s="20" t="s">
        <v>188</v>
      </c>
      <c r="H53" s="22" t="s">
        <v>189</v>
      </c>
      <c r="I53" s="23">
        <v>2</v>
      </c>
      <c r="J53" s="20" t="s">
        <v>190</v>
      </c>
      <c r="K53" s="22"/>
      <c r="L53" s="23"/>
    </row>
    <row r="54" spans="1:12" ht="17.25" x14ac:dyDescent="0.2">
      <c r="A54" s="18">
        <v>46206</v>
      </c>
      <c r="B54" s="19" t="str">
        <f>IF(A54="","",CHOOSE(WEEKDAY(A54),"日","月","火","水","木","金","土"))</f>
        <v>金</v>
      </c>
      <c r="C54" s="20" t="s">
        <v>115</v>
      </c>
      <c r="D54" s="24" t="s">
        <v>96</v>
      </c>
      <c r="E54" s="19" t="str">
        <f>IF(F54="","",IFERROR(INDEX(マスター!$F$5:$F$200,MATCH(F54,マスター!$E$5:$E$200,0)),"※マスター未登録"))</f>
        <v>基礎工事</v>
      </c>
      <c r="F54" s="20" t="s">
        <v>178</v>
      </c>
      <c r="G54" s="20" t="s">
        <v>191</v>
      </c>
      <c r="H54" s="22" t="s">
        <v>192</v>
      </c>
      <c r="I54" s="23"/>
      <c r="J54" s="20" t="s">
        <v>180</v>
      </c>
      <c r="K54" s="22" t="s">
        <v>193</v>
      </c>
      <c r="L54" s="23"/>
    </row>
    <row r="55" spans="1:12" x14ac:dyDescent="0.2">
      <c r="A55" s="18">
        <v>46207</v>
      </c>
      <c r="B55" s="19" t="str">
        <f>IF(A55="","",CHOOSE(WEEKDAY(A55),"日","月","火","水","木","金","土"))</f>
        <v>土</v>
      </c>
      <c r="C55" s="20" t="s">
        <v>115</v>
      </c>
      <c r="D55" s="21" t="s">
        <v>94</v>
      </c>
      <c r="E55" s="19" t="str">
        <f>IF(F55="","",IFERROR(INDEX(マスター!$F$5:$F$200,MATCH(F55,マスター!$E$5:$E$200,0)),"※マスター未登録"))</f>
        <v>基礎工事</v>
      </c>
      <c r="F55" s="20" t="s">
        <v>167</v>
      </c>
      <c r="G55" s="20" t="s">
        <v>117</v>
      </c>
      <c r="H55" s="22" t="s">
        <v>194</v>
      </c>
      <c r="I55" s="23">
        <v>1</v>
      </c>
      <c r="J55" s="23"/>
      <c r="K55" s="22"/>
      <c r="L55" s="20" t="s">
        <v>195</v>
      </c>
    </row>
    <row r="56" spans="1:12" x14ac:dyDescent="0.2">
      <c r="A56" s="18">
        <v>46207</v>
      </c>
      <c r="B56" s="19" t="str">
        <f>IF(A56="","",CHOOSE(WEEKDAY(A56),"日","月","火","水","木","金","土"))</f>
        <v>土</v>
      </c>
      <c r="C56" s="20" t="s">
        <v>115</v>
      </c>
      <c r="D56" s="21" t="s">
        <v>94</v>
      </c>
      <c r="E56" s="19" t="str">
        <f>IF(F56="","",IFERROR(INDEX(マスター!$F$5:$F$200,MATCH(F56,マスター!$E$5:$E$200,0)),"※マスター未登録"))</f>
        <v>基礎工事</v>
      </c>
      <c r="F56" s="20" t="s">
        <v>167</v>
      </c>
      <c r="G56" s="20" t="s">
        <v>166</v>
      </c>
      <c r="H56" s="22" t="s">
        <v>194</v>
      </c>
      <c r="I56" s="23">
        <v>1</v>
      </c>
      <c r="J56" s="23"/>
      <c r="K56" s="22"/>
      <c r="L56" s="20" t="s">
        <v>195</v>
      </c>
    </row>
    <row r="57" spans="1:12" x14ac:dyDescent="0.2">
      <c r="A57" s="18">
        <v>46207</v>
      </c>
      <c r="B57" s="19" t="str">
        <f>IF(A57="","",CHOOSE(WEEKDAY(A57),"日","月","火","水","木","金","土"))</f>
        <v>土</v>
      </c>
      <c r="C57" s="20" t="s">
        <v>115</v>
      </c>
      <c r="D57" s="21" t="s">
        <v>94</v>
      </c>
      <c r="E57" s="19" t="str">
        <f>IF(F57="","",IFERROR(INDEX(マスター!$F$5:$F$200,MATCH(F57,マスター!$E$5:$E$200,0)),"※マスター未登録"))</f>
        <v>基礎工事</v>
      </c>
      <c r="F57" s="20" t="s">
        <v>167</v>
      </c>
      <c r="G57" s="20" t="s">
        <v>128</v>
      </c>
      <c r="H57" s="22" t="s">
        <v>194</v>
      </c>
      <c r="I57" s="23">
        <v>1</v>
      </c>
      <c r="J57" s="23"/>
      <c r="K57" s="22"/>
      <c r="L57" s="20" t="s">
        <v>195</v>
      </c>
    </row>
    <row r="58" spans="1:12" x14ac:dyDescent="0.2">
      <c r="A58" s="18">
        <v>46207</v>
      </c>
      <c r="B58" s="19" t="str">
        <f>IF(A58="","",CHOOSE(WEEKDAY(A58),"日","月","火","水","木","金","土"))</f>
        <v>土</v>
      </c>
      <c r="C58" s="20" t="s">
        <v>115</v>
      </c>
      <c r="D58" s="21" t="s">
        <v>94</v>
      </c>
      <c r="E58" s="19" t="str">
        <f>IF(F58="","",IFERROR(INDEX(マスター!$F$5:$F$200,MATCH(F58,マスター!$E$5:$E$200,0)),"※マスター未登録"))</f>
        <v>基礎工事</v>
      </c>
      <c r="F58" s="20" t="s">
        <v>167</v>
      </c>
      <c r="G58" s="20" t="s">
        <v>196</v>
      </c>
      <c r="H58" s="22" t="s">
        <v>194</v>
      </c>
      <c r="I58" s="23">
        <v>1</v>
      </c>
      <c r="J58" s="23"/>
      <c r="K58" s="22"/>
      <c r="L58" s="20" t="s">
        <v>195</v>
      </c>
    </row>
    <row r="59" spans="1:12" x14ac:dyDescent="0.2">
      <c r="A59" s="18">
        <v>46207</v>
      </c>
      <c r="B59" s="19" t="str">
        <f>IF(A59="","",CHOOSE(WEEKDAY(A59),"日","月","火","水","木","金","土"))</f>
        <v>土</v>
      </c>
      <c r="C59" s="20" t="s">
        <v>115</v>
      </c>
      <c r="D59" s="21" t="s">
        <v>94</v>
      </c>
      <c r="E59" s="19" t="str">
        <f>IF(F59="","",IFERROR(INDEX(マスター!$F$5:$F$200,MATCH(F59,マスター!$E$5:$E$200,0)),"※マスター未登録"))</f>
        <v>基礎工事</v>
      </c>
      <c r="F59" s="20" t="s">
        <v>167</v>
      </c>
      <c r="G59" s="20" t="s">
        <v>121</v>
      </c>
      <c r="H59" s="22" t="s">
        <v>194</v>
      </c>
      <c r="I59" s="23">
        <v>1</v>
      </c>
      <c r="J59" s="23"/>
      <c r="K59" s="22"/>
      <c r="L59" s="20" t="s">
        <v>195</v>
      </c>
    </row>
    <row r="60" spans="1:12" x14ac:dyDescent="0.2">
      <c r="A60" s="18">
        <v>46209</v>
      </c>
      <c r="B60" s="19" t="str">
        <f>IF(A60="","",CHOOSE(WEEKDAY(A60),"日","月","火","水","木","金","土"))</f>
        <v>月</v>
      </c>
      <c r="C60" s="20" t="s">
        <v>115</v>
      </c>
      <c r="D60" s="21" t="s">
        <v>94</v>
      </c>
      <c r="E60" s="19" t="str">
        <f>IF(F60="","",IFERROR(INDEX(マスター!$F$5:$F$200,MATCH(F60,マスター!$E$5:$E$200,0)),"※マスター未登録"))</f>
        <v>基礎工事</v>
      </c>
      <c r="F60" s="20" t="s">
        <v>167</v>
      </c>
      <c r="G60" s="20" t="s">
        <v>117</v>
      </c>
      <c r="H60" s="22" t="s">
        <v>197</v>
      </c>
      <c r="I60" s="23">
        <v>1</v>
      </c>
      <c r="J60" s="23"/>
      <c r="K60" s="22"/>
      <c r="L60" s="23"/>
    </row>
    <row r="61" spans="1:12" x14ac:dyDescent="0.2">
      <c r="A61" s="18">
        <v>46209</v>
      </c>
      <c r="B61" s="19" t="str">
        <f>IF(A61="","",CHOOSE(WEEKDAY(A61),"日","月","火","水","木","金","土"))</f>
        <v>月</v>
      </c>
      <c r="C61" s="20" t="s">
        <v>115</v>
      </c>
      <c r="D61" s="21" t="s">
        <v>94</v>
      </c>
      <c r="E61" s="19" t="str">
        <f>IF(F61="","",IFERROR(INDEX(マスター!$F$5:$F$200,MATCH(F61,マスター!$E$5:$E$200,0)),"※マスター未登録"))</f>
        <v>基礎工事</v>
      </c>
      <c r="F61" s="20" t="s">
        <v>167</v>
      </c>
      <c r="G61" s="20" t="s">
        <v>166</v>
      </c>
      <c r="H61" s="22" t="s">
        <v>197</v>
      </c>
      <c r="I61" s="23">
        <v>1</v>
      </c>
      <c r="J61" s="23"/>
      <c r="K61" s="22"/>
      <c r="L61" s="23"/>
    </row>
    <row r="62" spans="1:12" x14ac:dyDescent="0.2">
      <c r="A62" s="18">
        <v>46209</v>
      </c>
      <c r="B62" s="19" t="str">
        <f>IF(A62="","",CHOOSE(WEEKDAY(A62),"日","月","火","水","木","金","土"))</f>
        <v>月</v>
      </c>
      <c r="C62" s="20" t="s">
        <v>115</v>
      </c>
      <c r="D62" s="21" t="s">
        <v>94</v>
      </c>
      <c r="E62" s="19" t="str">
        <f>IF(F62="","",IFERROR(INDEX(マスター!$F$5:$F$200,MATCH(F62,マスター!$E$5:$E$200,0)),"※マスター未登録"))</f>
        <v>基礎工事</v>
      </c>
      <c r="F62" s="20" t="s">
        <v>167</v>
      </c>
      <c r="G62" s="20" t="s">
        <v>128</v>
      </c>
      <c r="H62" s="22" t="s">
        <v>197</v>
      </c>
      <c r="I62" s="23">
        <v>1</v>
      </c>
      <c r="J62" s="23"/>
      <c r="K62" s="22"/>
      <c r="L62" s="23"/>
    </row>
    <row r="63" spans="1:12" x14ac:dyDescent="0.2">
      <c r="A63" s="18">
        <v>46209</v>
      </c>
      <c r="B63" s="19" t="str">
        <f>IF(A63="","",CHOOSE(WEEKDAY(A63),"日","月","火","水","木","金","土"))</f>
        <v>月</v>
      </c>
      <c r="C63" s="20" t="s">
        <v>115</v>
      </c>
      <c r="D63" s="21" t="s">
        <v>94</v>
      </c>
      <c r="E63" s="19" t="str">
        <f>IF(F63="","",IFERROR(INDEX(マスター!$F$5:$F$200,MATCH(F63,マスター!$E$5:$E$200,0)),"※マスター未登録"))</f>
        <v>基礎工事</v>
      </c>
      <c r="F63" s="20" t="s">
        <v>167</v>
      </c>
      <c r="G63" s="20" t="s">
        <v>196</v>
      </c>
      <c r="H63" s="22" t="s">
        <v>197</v>
      </c>
      <c r="I63" s="23">
        <v>1</v>
      </c>
      <c r="J63" s="23"/>
      <c r="K63" s="22"/>
      <c r="L63" s="23"/>
    </row>
    <row r="64" spans="1:12" ht="17.25" x14ac:dyDescent="0.2">
      <c r="A64" s="18">
        <v>46210</v>
      </c>
      <c r="B64" s="19" t="str">
        <f>IF(A64="","",CHOOSE(WEEKDAY(A64),"日","月","火","水","木","金","土"))</f>
        <v>火</v>
      </c>
      <c r="C64" s="20" t="s">
        <v>115</v>
      </c>
      <c r="D64" s="21" t="s">
        <v>94</v>
      </c>
      <c r="E64" s="19" t="str">
        <f>IF(F64="","",IFERROR(INDEX(マスター!$F$5:$F$200,MATCH(F64,マスター!$E$5:$E$200,0)),"※マスター未登録"))</f>
        <v>基礎工事</v>
      </c>
      <c r="F64" s="20" t="s">
        <v>167</v>
      </c>
      <c r="G64" s="20" t="s">
        <v>117</v>
      </c>
      <c r="H64" s="22" t="s">
        <v>198</v>
      </c>
      <c r="I64" s="23">
        <v>1</v>
      </c>
      <c r="J64" s="23"/>
      <c r="K64" s="22" t="s">
        <v>199</v>
      </c>
      <c r="L64" s="23"/>
    </row>
    <row r="65" spans="1:12" ht="17.25" x14ac:dyDescent="0.2">
      <c r="A65" s="18">
        <v>46210</v>
      </c>
      <c r="B65" s="19" t="str">
        <f>IF(A65="","",CHOOSE(WEEKDAY(A65),"日","月","火","水","木","金","土"))</f>
        <v>火</v>
      </c>
      <c r="C65" s="20" t="s">
        <v>115</v>
      </c>
      <c r="D65" s="21" t="s">
        <v>94</v>
      </c>
      <c r="E65" s="19" t="str">
        <f>IF(F65="","",IFERROR(INDEX(マスター!$F$5:$F$200,MATCH(F65,マスター!$E$5:$E$200,0)),"※マスター未登録"))</f>
        <v>基礎工事</v>
      </c>
      <c r="F65" s="20" t="s">
        <v>167</v>
      </c>
      <c r="G65" s="20" t="s">
        <v>166</v>
      </c>
      <c r="H65" s="22" t="s">
        <v>198</v>
      </c>
      <c r="I65" s="23">
        <v>1</v>
      </c>
      <c r="J65" s="23"/>
      <c r="K65" s="22" t="s">
        <v>199</v>
      </c>
      <c r="L65" s="23"/>
    </row>
    <row r="66" spans="1:12" ht="17.25" x14ac:dyDescent="0.2">
      <c r="A66" s="18">
        <v>46210</v>
      </c>
      <c r="B66" s="19" t="str">
        <f>IF(A66="","",CHOOSE(WEEKDAY(A66),"日","月","火","水","木","金","土"))</f>
        <v>火</v>
      </c>
      <c r="C66" s="20" t="s">
        <v>115</v>
      </c>
      <c r="D66" s="21" t="s">
        <v>94</v>
      </c>
      <c r="E66" s="19" t="str">
        <f>IF(F66="","",IFERROR(INDEX(マスター!$F$5:$F$200,MATCH(F66,マスター!$E$5:$E$200,0)),"※マスター未登録"))</f>
        <v>基礎工事</v>
      </c>
      <c r="F66" s="20" t="s">
        <v>167</v>
      </c>
      <c r="G66" s="20" t="s">
        <v>128</v>
      </c>
      <c r="H66" s="22" t="s">
        <v>198</v>
      </c>
      <c r="I66" s="23">
        <v>1</v>
      </c>
      <c r="J66" s="23"/>
      <c r="K66" s="22" t="s">
        <v>199</v>
      </c>
      <c r="L66" s="23"/>
    </row>
    <row r="67" spans="1:12" ht="17.25" x14ac:dyDescent="0.2">
      <c r="A67" s="18">
        <v>46210</v>
      </c>
      <c r="B67" s="19" t="str">
        <f>IF(A67="","",CHOOSE(WEEKDAY(A67),"日","月","火","水","木","金","土"))</f>
        <v>火</v>
      </c>
      <c r="C67" s="20" t="s">
        <v>115</v>
      </c>
      <c r="D67" s="21" t="s">
        <v>94</v>
      </c>
      <c r="E67" s="19" t="str">
        <f>IF(F67="","",IFERROR(INDEX(マスター!$F$5:$F$200,MATCH(F67,マスター!$E$5:$E$200,0)),"※マスター未登録"))</f>
        <v>基礎工事</v>
      </c>
      <c r="F67" s="20" t="s">
        <v>167</v>
      </c>
      <c r="G67" s="20" t="s">
        <v>196</v>
      </c>
      <c r="H67" s="22" t="s">
        <v>198</v>
      </c>
      <c r="I67" s="23">
        <v>1</v>
      </c>
      <c r="J67" s="23"/>
      <c r="K67" s="22" t="s">
        <v>199</v>
      </c>
      <c r="L67" s="23"/>
    </row>
    <row r="68" spans="1:12" ht="17.25" x14ac:dyDescent="0.2">
      <c r="A68" s="18">
        <v>46210</v>
      </c>
      <c r="B68" s="19" t="str">
        <f>IF(A68="","",CHOOSE(WEEKDAY(A68),"日","月","火","水","木","金","土"))</f>
        <v>火</v>
      </c>
      <c r="C68" s="20" t="s">
        <v>115</v>
      </c>
      <c r="D68" s="21" t="s">
        <v>94</v>
      </c>
      <c r="E68" s="19" t="str">
        <f>IF(F68="","",IFERROR(INDEX(マスター!$F$5:$F$200,MATCH(F68,マスター!$E$5:$E$200,0)),"※マスター未登録"))</f>
        <v>基礎工事</v>
      </c>
      <c r="F68" s="20" t="s">
        <v>167</v>
      </c>
      <c r="G68" s="20" t="s">
        <v>121</v>
      </c>
      <c r="H68" s="22" t="s">
        <v>198</v>
      </c>
      <c r="I68" s="23">
        <v>1</v>
      </c>
      <c r="J68" s="23"/>
      <c r="K68" s="22" t="s">
        <v>199</v>
      </c>
      <c r="L68" s="23"/>
    </row>
    <row r="69" spans="1:12" ht="17.25" x14ac:dyDescent="0.2">
      <c r="A69" s="18">
        <v>46211</v>
      </c>
      <c r="B69" s="19" t="str">
        <f>IF(A69="","",CHOOSE(WEEKDAY(A69),"日","月","火","水","木","金","土"))</f>
        <v>水</v>
      </c>
      <c r="C69" s="20" t="s">
        <v>115</v>
      </c>
      <c r="D69" s="21" t="s">
        <v>94</v>
      </c>
      <c r="E69" s="19" t="str">
        <f>IF(F69="","",IFERROR(INDEX(マスター!$F$5:$F$200,MATCH(F69,マスター!$E$5:$E$200,0)),"※マスター未登録"))</f>
        <v>基礎工事</v>
      </c>
      <c r="F69" s="20" t="s">
        <v>178</v>
      </c>
      <c r="G69" s="20" t="s">
        <v>117</v>
      </c>
      <c r="H69" s="22" t="s">
        <v>200</v>
      </c>
      <c r="I69" s="23">
        <v>1</v>
      </c>
      <c r="J69" s="20" t="s">
        <v>180</v>
      </c>
      <c r="K69" s="22"/>
      <c r="L69" s="23"/>
    </row>
    <row r="70" spans="1:12" ht="17.25" x14ac:dyDescent="0.2">
      <c r="A70" s="18">
        <v>46211</v>
      </c>
      <c r="B70" s="19" t="str">
        <f>IF(A70="","",CHOOSE(WEEKDAY(A70),"日","月","火","水","木","金","土"))</f>
        <v>水</v>
      </c>
      <c r="C70" s="20" t="s">
        <v>115</v>
      </c>
      <c r="D70" s="21" t="s">
        <v>94</v>
      </c>
      <c r="E70" s="19" t="str">
        <f>IF(F70="","",IFERROR(INDEX(マスター!$F$5:$F$200,MATCH(F70,マスター!$E$5:$E$200,0)),"※マスター未登録"))</f>
        <v>基礎工事</v>
      </c>
      <c r="F70" s="20" t="s">
        <v>178</v>
      </c>
      <c r="G70" s="20" t="s">
        <v>166</v>
      </c>
      <c r="H70" s="22" t="s">
        <v>200</v>
      </c>
      <c r="I70" s="23">
        <v>1</v>
      </c>
      <c r="J70" s="20" t="s">
        <v>180</v>
      </c>
      <c r="K70" s="22"/>
      <c r="L70" s="23"/>
    </row>
    <row r="71" spans="1:12" ht="17.25" x14ac:dyDescent="0.2">
      <c r="A71" s="18">
        <v>46211</v>
      </c>
      <c r="B71" s="19" t="str">
        <f>IF(A71="","",CHOOSE(WEEKDAY(A71),"日","月","火","水","木","金","土"))</f>
        <v>水</v>
      </c>
      <c r="C71" s="20" t="s">
        <v>115</v>
      </c>
      <c r="D71" s="21" t="s">
        <v>94</v>
      </c>
      <c r="E71" s="19" t="str">
        <f>IF(F71="","",IFERROR(INDEX(マスター!$F$5:$F$200,MATCH(F71,マスター!$E$5:$E$200,0)),"※マスター未登録"))</f>
        <v>基礎工事</v>
      </c>
      <c r="F71" s="20" t="s">
        <v>178</v>
      </c>
      <c r="G71" s="20" t="s">
        <v>121</v>
      </c>
      <c r="H71" s="22" t="s">
        <v>200</v>
      </c>
      <c r="I71" s="23">
        <v>1</v>
      </c>
      <c r="J71" s="20" t="s">
        <v>180</v>
      </c>
      <c r="K71" s="22"/>
      <c r="L71" s="23"/>
    </row>
    <row r="72" spans="1:12" x14ac:dyDescent="0.2">
      <c r="A72" s="18">
        <v>46211</v>
      </c>
      <c r="B72" s="19" t="str">
        <f>IF(A72="","",CHOOSE(WEEKDAY(A72),"日","月","火","水","木","金","土"))</f>
        <v>水</v>
      </c>
      <c r="C72" s="20" t="s">
        <v>115</v>
      </c>
      <c r="D72" s="21" t="s">
        <v>94</v>
      </c>
      <c r="E72" s="19" t="str">
        <f>IF(F72="","",IFERROR(INDEX(マスター!$F$5:$F$200,MATCH(F72,マスター!$E$5:$E$200,0)),"※マスター未登録"))</f>
        <v>基礎工事</v>
      </c>
      <c r="F72" s="20" t="s">
        <v>182</v>
      </c>
      <c r="G72" s="20" t="s">
        <v>128</v>
      </c>
      <c r="H72" s="22" t="s">
        <v>182</v>
      </c>
      <c r="I72" s="23">
        <v>1</v>
      </c>
      <c r="J72" s="23"/>
      <c r="K72" s="22"/>
      <c r="L72" s="20" t="s">
        <v>201</v>
      </c>
    </row>
    <row r="73" spans="1:12" x14ac:dyDescent="0.2">
      <c r="A73" s="18">
        <v>46211</v>
      </c>
      <c r="B73" s="19" t="str">
        <f>IF(A73="","",CHOOSE(WEEKDAY(A73),"日","月","火","水","木","金","土"))</f>
        <v>水</v>
      </c>
      <c r="C73" s="20" t="s">
        <v>115</v>
      </c>
      <c r="D73" s="24" t="s">
        <v>96</v>
      </c>
      <c r="E73" s="19" t="str">
        <f>IF(F73="","",IFERROR(INDEX(マスター!$F$5:$F$200,MATCH(F73,マスター!$E$5:$E$200,0)),"※マスター未登録"))</f>
        <v>基礎工事</v>
      </c>
      <c r="F73" s="20" t="s">
        <v>187</v>
      </c>
      <c r="G73" s="20" t="s">
        <v>188</v>
      </c>
      <c r="H73" s="22" t="s">
        <v>190</v>
      </c>
      <c r="I73" s="23">
        <v>1</v>
      </c>
      <c r="J73" s="20" t="s">
        <v>190</v>
      </c>
      <c r="K73" s="22"/>
      <c r="L73" s="23"/>
    </row>
    <row r="74" spans="1:12" ht="30.75" x14ac:dyDescent="0.2">
      <c r="A74" s="18">
        <v>46212</v>
      </c>
      <c r="B74" s="19" t="str">
        <f>IF(A74="","",CHOOSE(WEEKDAY(A74),"日","月","火","水","木","金","土"))</f>
        <v>木</v>
      </c>
      <c r="C74" s="20" t="s">
        <v>115</v>
      </c>
      <c r="D74" s="21" t="s">
        <v>94</v>
      </c>
      <c r="E74" s="19" t="str">
        <f>IF(F74="","",IFERROR(INDEX(マスター!$F$5:$F$200,MATCH(F74,マスター!$E$5:$E$200,0)),"※マスター未登録"))</f>
        <v>その他</v>
      </c>
      <c r="F74" s="20" t="s">
        <v>98</v>
      </c>
      <c r="G74" s="20"/>
      <c r="H74" s="22" t="s">
        <v>202</v>
      </c>
      <c r="I74" s="23"/>
      <c r="J74" s="23"/>
      <c r="K74" s="22" t="s">
        <v>203</v>
      </c>
      <c r="L74" s="23"/>
    </row>
    <row r="75" spans="1:12" ht="30.75" x14ac:dyDescent="0.2">
      <c r="A75" s="18">
        <v>46213</v>
      </c>
      <c r="B75" s="19" t="str">
        <f>IF(A75="","",CHOOSE(WEEKDAY(A75),"日","月","火","水","木","金","土"))</f>
        <v>金</v>
      </c>
      <c r="C75" s="20" t="s">
        <v>115</v>
      </c>
      <c r="D75" s="21" t="s">
        <v>94</v>
      </c>
      <c r="E75" s="19" t="str">
        <f>IF(F75="","",IFERROR(INDEX(マスター!$F$5:$F$200,MATCH(F75,マスター!$E$5:$E$200,0)),"※マスター未登録"))</f>
        <v>その他</v>
      </c>
      <c r="F75" s="20" t="s">
        <v>98</v>
      </c>
      <c r="G75" s="20"/>
      <c r="H75" s="22" t="s">
        <v>202</v>
      </c>
      <c r="I75" s="23"/>
      <c r="J75" s="23"/>
      <c r="K75" s="22" t="s">
        <v>203</v>
      </c>
      <c r="L75" s="23"/>
    </row>
    <row r="76" spans="1:12" ht="30.75" x14ac:dyDescent="0.2">
      <c r="A76" s="18">
        <v>46214</v>
      </c>
      <c r="B76" s="19" t="str">
        <f>IF(A76="","",CHOOSE(WEEKDAY(A76),"日","月","火","水","木","金","土"))</f>
        <v>土</v>
      </c>
      <c r="C76" s="20" t="s">
        <v>115</v>
      </c>
      <c r="D76" s="21" t="s">
        <v>94</v>
      </c>
      <c r="E76" s="19" t="str">
        <f>IF(F76="","",IFERROR(INDEX(マスター!$F$5:$F$200,MATCH(F76,マスター!$E$5:$E$200,0)),"※マスター未登録"))</f>
        <v>その他</v>
      </c>
      <c r="F76" s="20" t="s">
        <v>98</v>
      </c>
      <c r="G76" s="20"/>
      <c r="H76" s="22" t="s">
        <v>202</v>
      </c>
      <c r="I76" s="23"/>
      <c r="J76" s="23"/>
      <c r="K76" s="22" t="s">
        <v>203</v>
      </c>
      <c r="L76" s="23"/>
    </row>
    <row r="77" spans="1:12" x14ac:dyDescent="0.2">
      <c r="A77" s="18">
        <v>46215</v>
      </c>
      <c r="B77" s="19" t="str">
        <f>IF(A77="","",CHOOSE(WEEKDAY(A77),"日","月","火","水","木","金","土"))</f>
        <v>日</v>
      </c>
      <c r="C77" s="20" t="s">
        <v>115</v>
      </c>
      <c r="D77" s="21" t="s">
        <v>94</v>
      </c>
      <c r="E77" s="19" t="str">
        <f>IF(F77="","",IFERROR(INDEX(マスター!$F$5:$F$200,MATCH(F77,マスター!$E$5:$E$200,0)),"※マスター未登録"))</f>
        <v>基礎工事</v>
      </c>
      <c r="F77" s="20" t="s">
        <v>204</v>
      </c>
      <c r="G77" s="20" t="s">
        <v>166</v>
      </c>
      <c r="H77" s="22" t="s">
        <v>205</v>
      </c>
      <c r="I77" s="23">
        <v>1</v>
      </c>
      <c r="J77" s="23"/>
      <c r="K77" s="22"/>
      <c r="L77" s="23"/>
    </row>
    <row r="78" spans="1:12" ht="26.25" x14ac:dyDescent="0.2">
      <c r="A78" s="18">
        <v>46216</v>
      </c>
      <c r="B78" s="19" t="str">
        <f>IF(A78="","",CHOOSE(WEEKDAY(A78),"日","月","火","水","木","金","土"))</f>
        <v>月</v>
      </c>
      <c r="C78" s="20" t="s">
        <v>115</v>
      </c>
      <c r="D78" s="21" t="s">
        <v>94</v>
      </c>
      <c r="E78" s="19" t="str">
        <f>IF(F78="","",IFERROR(INDEX(マスター!$F$5:$F$200,MATCH(F78,マスター!$E$5:$E$200,0)),"※マスター未登録"))</f>
        <v>基礎工事</v>
      </c>
      <c r="F78" s="20" t="s">
        <v>204</v>
      </c>
      <c r="G78" s="20" t="s">
        <v>117</v>
      </c>
      <c r="H78" s="22" t="s">
        <v>206</v>
      </c>
      <c r="I78" s="23">
        <v>1</v>
      </c>
      <c r="J78" s="20" t="s">
        <v>207</v>
      </c>
      <c r="K78" s="22" t="s">
        <v>208</v>
      </c>
      <c r="L78" s="23"/>
    </row>
    <row r="79" spans="1:12" ht="26.25" x14ac:dyDescent="0.2">
      <c r="A79" s="18">
        <v>46216</v>
      </c>
      <c r="B79" s="19" t="str">
        <f>IF(A79="","",CHOOSE(WEEKDAY(A79),"日","月","火","水","木","金","土"))</f>
        <v>月</v>
      </c>
      <c r="C79" s="20" t="s">
        <v>115</v>
      </c>
      <c r="D79" s="21" t="s">
        <v>94</v>
      </c>
      <c r="E79" s="19" t="str">
        <f>IF(F79="","",IFERROR(INDEX(マスター!$F$5:$F$200,MATCH(F79,マスター!$E$5:$E$200,0)),"※マスター未登録"))</f>
        <v>基礎工事</v>
      </c>
      <c r="F79" s="20" t="s">
        <v>204</v>
      </c>
      <c r="G79" s="20" t="s">
        <v>166</v>
      </c>
      <c r="H79" s="22" t="s">
        <v>206</v>
      </c>
      <c r="I79" s="23">
        <v>1</v>
      </c>
      <c r="J79" s="20" t="s">
        <v>207</v>
      </c>
      <c r="K79" s="22" t="s">
        <v>208</v>
      </c>
      <c r="L79" s="23"/>
    </row>
    <row r="80" spans="1:12" ht="26.25" x14ac:dyDescent="0.2">
      <c r="A80" s="18">
        <v>46216</v>
      </c>
      <c r="B80" s="19" t="str">
        <f>IF(A80="","",CHOOSE(WEEKDAY(A80),"日","月","火","水","木","金","土"))</f>
        <v>月</v>
      </c>
      <c r="C80" s="20" t="s">
        <v>115</v>
      </c>
      <c r="D80" s="21" t="s">
        <v>94</v>
      </c>
      <c r="E80" s="19" t="str">
        <f>IF(F80="","",IFERROR(INDEX(マスター!$F$5:$F$200,MATCH(F80,マスター!$E$5:$E$200,0)),"※マスター未登録"))</f>
        <v>基礎工事</v>
      </c>
      <c r="F80" s="20" t="s">
        <v>204</v>
      </c>
      <c r="G80" s="20" t="s">
        <v>128</v>
      </c>
      <c r="H80" s="22" t="s">
        <v>206</v>
      </c>
      <c r="I80" s="23">
        <v>1</v>
      </c>
      <c r="J80" s="20" t="s">
        <v>207</v>
      </c>
      <c r="K80" s="22" t="s">
        <v>208</v>
      </c>
      <c r="L80" s="23"/>
    </row>
    <row r="81" spans="1:12" ht="26.25" x14ac:dyDescent="0.2">
      <c r="A81" s="18">
        <v>46216</v>
      </c>
      <c r="B81" s="19" t="str">
        <f>IF(A81="","",CHOOSE(WEEKDAY(A81),"日","月","火","水","木","金","土"))</f>
        <v>月</v>
      </c>
      <c r="C81" s="20" t="s">
        <v>115</v>
      </c>
      <c r="D81" s="21" t="s">
        <v>94</v>
      </c>
      <c r="E81" s="19" t="str">
        <f>IF(F81="","",IFERROR(INDEX(マスター!$F$5:$F$200,MATCH(F81,マスター!$E$5:$E$200,0)),"※マスター未登録"))</f>
        <v>基礎工事</v>
      </c>
      <c r="F81" s="20" t="s">
        <v>204</v>
      </c>
      <c r="G81" s="20" t="s">
        <v>121</v>
      </c>
      <c r="H81" s="22" t="s">
        <v>206</v>
      </c>
      <c r="I81" s="23">
        <v>1</v>
      </c>
      <c r="J81" s="20" t="s">
        <v>207</v>
      </c>
      <c r="K81" s="22" t="s">
        <v>208</v>
      </c>
      <c r="L81" s="23"/>
    </row>
    <row r="82" spans="1:12" x14ac:dyDescent="0.2">
      <c r="A82" s="18">
        <v>46217</v>
      </c>
      <c r="B82" s="19" t="str">
        <f>IF(A82="","",CHOOSE(WEEKDAY(A82),"日","月","火","水","木","金","土"))</f>
        <v>火</v>
      </c>
      <c r="C82" s="20" t="s">
        <v>115</v>
      </c>
      <c r="D82" s="21" t="s">
        <v>94</v>
      </c>
      <c r="E82" s="19" t="str">
        <f>IF(F82="","",IFERROR(INDEX(マスター!$F$5:$F$200,MATCH(F82,マスター!$E$5:$E$200,0)),"※マスター未登録"))</f>
        <v>木工事</v>
      </c>
      <c r="F82" s="20" t="s">
        <v>209</v>
      </c>
      <c r="G82" s="20" t="s">
        <v>117</v>
      </c>
      <c r="H82" s="22" t="s">
        <v>210</v>
      </c>
      <c r="I82" s="23">
        <v>1</v>
      </c>
      <c r="J82" s="23"/>
      <c r="K82" s="22"/>
      <c r="L82" s="20" t="s">
        <v>211</v>
      </c>
    </row>
    <row r="83" spans="1:12" x14ac:dyDescent="0.2">
      <c r="A83" s="18">
        <v>46217</v>
      </c>
      <c r="B83" s="19" t="str">
        <f>IF(A83="","",CHOOSE(WEEKDAY(A83),"日","月","火","水","木","金","土"))</f>
        <v>火</v>
      </c>
      <c r="C83" s="20" t="s">
        <v>115</v>
      </c>
      <c r="D83" s="21" t="s">
        <v>94</v>
      </c>
      <c r="E83" s="19" t="str">
        <f>IF(F83="","",IFERROR(INDEX(マスター!$F$5:$F$200,MATCH(F83,マスター!$E$5:$E$200,0)),"※マスター未登録"))</f>
        <v>木工事</v>
      </c>
      <c r="F83" s="20" t="s">
        <v>209</v>
      </c>
      <c r="G83" s="20" t="s">
        <v>128</v>
      </c>
      <c r="H83" s="22" t="s">
        <v>210</v>
      </c>
      <c r="I83" s="23">
        <v>1</v>
      </c>
      <c r="J83" s="23"/>
      <c r="K83" s="22"/>
      <c r="L83" s="20" t="s">
        <v>211</v>
      </c>
    </row>
    <row r="84" spans="1:12" x14ac:dyDescent="0.2">
      <c r="A84" s="18">
        <v>46217</v>
      </c>
      <c r="B84" s="19" t="str">
        <f>IF(A84="","",CHOOSE(WEEKDAY(A84),"日","月","火","水","木","金","土"))</f>
        <v>火</v>
      </c>
      <c r="C84" s="20" t="s">
        <v>115</v>
      </c>
      <c r="D84" s="24" t="s">
        <v>96</v>
      </c>
      <c r="E84" s="19" t="str">
        <f>IF(F84="","",IFERROR(INDEX(マスター!$F$5:$F$200,MATCH(F84,マスター!$E$5:$E$200,0)),"※マスター未登録"))</f>
        <v>給排水設備工事</v>
      </c>
      <c r="F84" s="20" t="s">
        <v>212</v>
      </c>
      <c r="G84" s="20" t="s">
        <v>213</v>
      </c>
      <c r="H84" s="22" t="s">
        <v>214</v>
      </c>
      <c r="I84" s="23"/>
      <c r="J84" s="23"/>
      <c r="K84" s="22" t="s">
        <v>215</v>
      </c>
      <c r="L84" s="23"/>
    </row>
    <row r="85" spans="1:12" x14ac:dyDescent="0.2">
      <c r="A85" s="18">
        <v>46218</v>
      </c>
      <c r="B85" s="19" t="str">
        <f>IF(A85="","",CHOOSE(WEEKDAY(A85),"日","月","火","水","木","金","土"))</f>
        <v>水</v>
      </c>
      <c r="C85" s="20" t="s">
        <v>115</v>
      </c>
      <c r="D85" s="21" t="s">
        <v>94</v>
      </c>
      <c r="E85" s="19" t="str">
        <f>IF(F85="","",IFERROR(INDEX(マスター!$F$5:$F$200,MATCH(F85,マスター!$E$5:$E$200,0)),"※マスター未登録"))</f>
        <v>木工事</v>
      </c>
      <c r="F85" s="20" t="s">
        <v>209</v>
      </c>
      <c r="G85" s="20" t="s">
        <v>117</v>
      </c>
      <c r="H85" s="22" t="s">
        <v>216</v>
      </c>
      <c r="I85" s="23">
        <v>1</v>
      </c>
      <c r="J85" s="23"/>
      <c r="K85" s="22"/>
      <c r="L85" s="23"/>
    </row>
    <row r="86" spans="1:12" x14ac:dyDescent="0.2">
      <c r="A86" s="18">
        <v>46218</v>
      </c>
      <c r="B86" s="19" t="str">
        <f>IF(A86="","",CHOOSE(WEEKDAY(A86),"日","月","火","水","木","金","土"))</f>
        <v>水</v>
      </c>
      <c r="C86" s="20" t="s">
        <v>115</v>
      </c>
      <c r="D86" s="21" t="s">
        <v>94</v>
      </c>
      <c r="E86" s="19" t="str">
        <f>IF(F86="","",IFERROR(INDEX(マスター!$F$5:$F$200,MATCH(F86,マスター!$E$5:$E$200,0)),"※マスター未登録"))</f>
        <v>木工事</v>
      </c>
      <c r="F86" s="20" t="s">
        <v>209</v>
      </c>
      <c r="G86" s="20" t="s">
        <v>128</v>
      </c>
      <c r="H86" s="22" t="s">
        <v>216</v>
      </c>
      <c r="I86" s="23">
        <v>1</v>
      </c>
      <c r="J86" s="23"/>
      <c r="K86" s="22"/>
      <c r="L86" s="23"/>
    </row>
    <row r="87" spans="1:12" x14ac:dyDescent="0.2">
      <c r="A87" s="18">
        <v>46218</v>
      </c>
      <c r="B87" s="19" t="str">
        <f>IF(A87="","",CHOOSE(WEEKDAY(A87),"日","月","火","水","木","金","土"))</f>
        <v>水</v>
      </c>
      <c r="C87" s="20" t="s">
        <v>115</v>
      </c>
      <c r="D87" s="21" t="s">
        <v>94</v>
      </c>
      <c r="E87" s="19" t="str">
        <f>IF(F87="","",IFERROR(INDEX(マスター!$F$5:$F$200,MATCH(F87,マスター!$E$5:$E$200,0)),"※マスター未登録"))</f>
        <v>木工事</v>
      </c>
      <c r="F87" s="20" t="s">
        <v>209</v>
      </c>
      <c r="G87" s="20" t="s">
        <v>121</v>
      </c>
      <c r="H87" s="22" t="s">
        <v>216</v>
      </c>
      <c r="I87" s="23">
        <v>1</v>
      </c>
      <c r="J87" s="23"/>
      <c r="K87" s="22"/>
      <c r="L87" s="23"/>
    </row>
    <row r="88" spans="1:12" x14ac:dyDescent="0.2">
      <c r="A88" s="18">
        <v>46218</v>
      </c>
      <c r="B88" s="19" t="str">
        <f>IF(A88="","",CHOOSE(WEEKDAY(A88),"日","月","火","水","木","金","土"))</f>
        <v>水</v>
      </c>
      <c r="C88" s="20" t="s">
        <v>115</v>
      </c>
      <c r="D88" s="21" t="s">
        <v>94</v>
      </c>
      <c r="E88" s="19" t="str">
        <f>IF(F88="","",IFERROR(INDEX(マスター!$F$5:$F$200,MATCH(F88,マスター!$E$5:$E$200,0)),"※マスター未登録"))</f>
        <v>木工事</v>
      </c>
      <c r="F88" s="20" t="s">
        <v>209</v>
      </c>
      <c r="G88" s="20" t="s">
        <v>166</v>
      </c>
      <c r="H88" s="22" t="s">
        <v>216</v>
      </c>
      <c r="I88" s="23">
        <v>1</v>
      </c>
      <c r="J88" s="23"/>
      <c r="K88" s="22"/>
      <c r="L88" s="23"/>
    </row>
    <row r="89" spans="1:12" ht="21.75" x14ac:dyDescent="0.2">
      <c r="A89" s="18">
        <v>46219</v>
      </c>
      <c r="B89" s="19" t="str">
        <f>IF(A89="","",CHOOSE(WEEKDAY(A89),"日","月","火","水","木","金","土"))</f>
        <v>木</v>
      </c>
      <c r="C89" s="20" t="s">
        <v>115</v>
      </c>
      <c r="D89" s="21" t="s">
        <v>94</v>
      </c>
      <c r="E89" s="19" t="str">
        <f>IF(F89="","",IFERROR(INDEX(マスター!$F$5:$F$200,MATCH(F89,マスター!$E$5:$E$200,0)),"※マスター未登録"))</f>
        <v>木工事</v>
      </c>
      <c r="F89" s="20" t="s">
        <v>209</v>
      </c>
      <c r="G89" s="20" t="s">
        <v>117</v>
      </c>
      <c r="H89" s="22" t="s">
        <v>217</v>
      </c>
      <c r="I89" s="23">
        <v>1</v>
      </c>
      <c r="J89" s="23"/>
      <c r="K89" s="22" t="s">
        <v>218</v>
      </c>
      <c r="L89" s="20" t="s">
        <v>219</v>
      </c>
    </row>
    <row r="90" spans="1:12" ht="21.75" x14ac:dyDescent="0.2">
      <c r="A90" s="18">
        <v>46219</v>
      </c>
      <c r="B90" s="19" t="str">
        <f>IF(A90="","",CHOOSE(WEEKDAY(A90),"日","月","火","水","木","金","土"))</f>
        <v>木</v>
      </c>
      <c r="C90" s="20" t="s">
        <v>115</v>
      </c>
      <c r="D90" s="21" t="s">
        <v>94</v>
      </c>
      <c r="E90" s="19" t="str">
        <f>IF(F90="","",IFERROR(INDEX(マスター!$F$5:$F$200,MATCH(F90,マスター!$E$5:$E$200,0)),"※マスター未登録"))</f>
        <v>木工事</v>
      </c>
      <c r="F90" s="20" t="s">
        <v>209</v>
      </c>
      <c r="G90" s="20" t="s">
        <v>128</v>
      </c>
      <c r="H90" s="22" t="s">
        <v>217</v>
      </c>
      <c r="I90" s="23">
        <v>1</v>
      </c>
      <c r="J90" s="23"/>
      <c r="K90" s="22" t="s">
        <v>218</v>
      </c>
      <c r="L90" s="20" t="s">
        <v>219</v>
      </c>
    </row>
    <row r="91" spans="1:12" ht="21.75" x14ac:dyDescent="0.2">
      <c r="A91" s="18">
        <v>46219</v>
      </c>
      <c r="B91" s="19" t="str">
        <f>IF(A91="","",CHOOSE(WEEKDAY(A91),"日","月","火","水","木","金","土"))</f>
        <v>木</v>
      </c>
      <c r="C91" s="20" t="s">
        <v>115</v>
      </c>
      <c r="D91" s="21" t="s">
        <v>94</v>
      </c>
      <c r="E91" s="19" t="str">
        <f>IF(F91="","",IFERROR(INDEX(マスター!$F$5:$F$200,MATCH(F91,マスター!$E$5:$E$200,0)),"※マスター未登録"))</f>
        <v>木工事</v>
      </c>
      <c r="F91" s="20" t="s">
        <v>209</v>
      </c>
      <c r="G91" s="20" t="s">
        <v>166</v>
      </c>
      <c r="H91" s="22" t="s">
        <v>217</v>
      </c>
      <c r="I91" s="23">
        <v>1</v>
      </c>
      <c r="J91" s="23"/>
      <c r="K91" s="22" t="s">
        <v>218</v>
      </c>
      <c r="L91" s="20" t="s">
        <v>219</v>
      </c>
    </row>
    <row r="92" spans="1:12" ht="21.75" x14ac:dyDescent="0.2">
      <c r="A92" s="18">
        <v>46219</v>
      </c>
      <c r="B92" s="19" t="str">
        <f>IF(A92="","",CHOOSE(WEEKDAY(A92),"日","月","火","水","木","金","土"))</f>
        <v>木</v>
      </c>
      <c r="C92" s="20" t="s">
        <v>115</v>
      </c>
      <c r="D92" s="21" t="s">
        <v>94</v>
      </c>
      <c r="E92" s="19" t="str">
        <f>IF(F92="","",IFERROR(INDEX(マスター!$F$5:$F$200,MATCH(F92,マスター!$E$5:$E$200,0)),"※マスター未登録"))</f>
        <v>木工事</v>
      </c>
      <c r="F92" s="20" t="s">
        <v>209</v>
      </c>
      <c r="G92" s="20" t="s">
        <v>121</v>
      </c>
      <c r="H92" s="22" t="s">
        <v>217</v>
      </c>
      <c r="I92" s="23">
        <v>1</v>
      </c>
      <c r="J92" s="23"/>
      <c r="K92" s="22" t="s">
        <v>218</v>
      </c>
      <c r="L92" s="20" t="s">
        <v>219</v>
      </c>
    </row>
    <row r="93" spans="1:12" x14ac:dyDescent="0.2">
      <c r="A93" s="18">
        <v>46220</v>
      </c>
      <c r="B93" s="19" t="str">
        <f>IF(A93="","",CHOOSE(WEEKDAY(A93),"日","月","火","水","木","金","土"))</f>
        <v>金</v>
      </c>
      <c r="C93" s="20" t="s">
        <v>115</v>
      </c>
      <c r="D93" s="21" t="s">
        <v>94</v>
      </c>
      <c r="E93" s="19" t="str">
        <f>IF(F93="","",IFERROR(INDEX(マスター!$F$5:$F$200,MATCH(F93,マスター!$E$5:$E$200,0)),"※マスター未登録"))</f>
        <v>木工事</v>
      </c>
      <c r="F93" s="20" t="s">
        <v>209</v>
      </c>
      <c r="G93" s="20" t="s">
        <v>117</v>
      </c>
      <c r="H93" s="22" t="s">
        <v>220</v>
      </c>
      <c r="I93" s="23">
        <v>1</v>
      </c>
      <c r="J93" s="23"/>
      <c r="K93" s="22" t="s">
        <v>221</v>
      </c>
      <c r="L93" s="23"/>
    </row>
    <row r="94" spans="1:12" x14ac:dyDescent="0.2">
      <c r="A94" s="18">
        <v>46220</v>
      </c>
      <c r="B94" s="19" t="str">
        <f>IF(A94="","",CHOOSE(WEEKDAY(A94),"日","月","火","水","木","金","土"))</f>
        <v>金</v>
      </c>
      <c r="C94" s="20" t="s">
        <v>115</v>
      </c>
      <c r="D94" s="21" t="s">
        <v>94</v>
      </c>
      <c r="E94" s="19" t="str">
        <f>IF(F94="","",IFERROR(INDEX(マスター!$F$5:$F$200,MATCH(F94,マスター!$E$5:$E$200,0)),"※マスター未登録"))</f>
        <v>木工事</v>
      </c>
      <c r="F94" s="20" t="s">
        <v>209</v>
      </c>
      <c r="G94" s="20" t="s">
        <v>128</v>
      </c>
      <c r="H94" s="22" t="s">
        <v>220</v>
      </c>
      <c r="I94" s="23">
        <v>1</v>
      </c>
      <c r="J94" s="23"/>
      <c r="K94" s="22" t="s">
        <v>221</v>
      </c>
      <c r="L94" s="23"/>
    </row>
    <row r="95" spans="1:12" x14ac:dyDescent="0.2">
      <c r="A95" s="18">
        <v>46220</v>
      </c>
      <c r="B95" s="19" t="str">
        <f>IF(A95="","",CHOOSE(WEEKDAY(A95),"日","月","火","水","木","金","土"))</f>
        <v>金</v>
      </c>
      <c r="C95" s="20" t="s">
        <v>115</v>
      </c>
      <c r="D95" s="21" t="s">
        <v>94</v>
      </c>
      <c r="E95" s="19" t="str">
        <f>IF(F95="","",IFERROR(INDEX(マスター!$F$5:$F$200,MATCH(F95,マスター!$E$5:$E$200,0)),"※マスター未登録"))</f>
        <v>木工事</v>
      </c>
      <c r="F95" s="20" t="s">
        <v>209</v>
      </c>
      <c r="G95" s="20" t="s">
        <v>166</v>
      </c>
      <c r="H95" s="22" t="s">
        <v>220</v>
      </c>
      <c r="I95" s="23">
        <v>1</v>
      </c>
      <c r="J95" s="23"/>
      <c r="K95" s="22" t="s">
        <v>221</v>
      </c>
      <c r="L95" s="23"/>
    </row>
    <row r="96" spans="1:12" x14ac:dyDescent="0.2">
      <c r="A96" s="18">
        <v>46220</v>
      </c>
      <c r="B96" s="19" t="str">
        <f>IF(A96="","",CHOOSE(WEEKDAY(A96),"日","月","火","水","木","金","土"))</f>
        <v>金</v>
      </c>
      <c r="C96" s="20" t="s">
        <v>115</v>
      </c>
      <c r="D96" s="21" t="s">
        <v>94</v>
      </c>
      <c r="E96" s="19" t="str">
        <f>IF(F96="","",IFERROR(INDEX(マスター!$F$5:$F$200,MATCH(F96,マスター!$E$5:$E$200,0)),"※マスター未登録"))</f>
        <v>木工事</v>
      </c>
      <c r="F96" s="20" t="s">
        <v>209</v>
      </c>
      <c r="G96" s="20" t="s">
        <v>121</v>
      </c>
      <c r="H96" s="22" t="s">
        <v>220</v>
      </c>
      <c r="I96" s="23">
        <v>1</v>
      </c>
      <c r="J96" s="23"/>
      <c r="K96" s="22" t="s">
        <v>221</v>
      </c>
      <c r="L96" s="23"/>
    </row>
    <row r="97" spans="1:12" x14ac:dyDescent="0.2">
      <c r="A97" s="18">
        <v>46221</v>
      </c>
      <c r="B97" s="19" t="str">
        <f>IF(A97="","",CHOOSE(WEEKDAY(A97),"日","月","火","水","木","金","土"))</f>
        <v>土</v>
      </c>
      <c r="C97" s="20" t="s">
        <v>115</v>
      </c>
      <c r="D97" s="21" t="s">
        <v>94</v>
      </c>
      <c r="E97" s="19" t="str">
        <f>IF(F97="","",IFERROR(INDEX(マスター!$F$5:$F$200,MATCH(F97,マスター!$E$5:$E$200,0)),"※マスター未登録"))</f>
        <v>木工事</v>
      </c>
      <c r="F97" s="20" t="s">
        <v>222</v>
      </c>
      <c r="G97" s="20" t="s">
        <v>117</v>
      </c>
      <c r="H97" s="22" t="s">
        <v>223</v>
      </c>
      <c r="I97" s="23">
        <v>1</v>
      </c>
      <c r="J97" s="20" t="s">
        <v>224</v>
      </c>
      <c r="K97" s="22" t="s">
        <v>225</v>
      </c>
      <c r="L97" s="23"/>
    </row>
    <row r="98" spans="1:12" x14ac:dyDescent="0.2">
      <c r="A98" s="18">
        <v>46221</v>
      </c>
      <c r="B98" s="19" t="str">
        <f>IF(A98="","",CHOOSE(WEEKDAY(A98),"日","月","火","水","木","金","土"))</f>
        <v>土</v>
      </c>
      <c r="C98" s="20" t="s">
        <v>115</v>
      </c>
      <c r="D98" s="21" t="s">
        <v>94</v>
      </c>
      <c r="E98" s="19" t="str">
        <f>IF(F98="","",IFERROR(INDEX(マスター!$F$5:$F$200,MATCH(F98,マスター!$E$5:$E$200,0)),"※マスター未登録"))</f>
        <v>木工事</v>
      </c>
      <c r="F98" s="20" t="s">
        <v>222</v>
      </c>
      <c r="G98" s="20" t="s">
        <v>128</v>
      </c>
      <c r="H98" s="22" t="s">
        <v>223</v>
      </c>
      <c r="I98" s="23">
        <v>1</v>
      </c>
      <c r="J98" s="20" t="s">
        <v>224</v>
      </c>
      <c r="K98" s="22" t="s">
        <v>225</v>
      </c>
      <c r="L98" s="23"/>
    </row>
    <row r="99" spans="1:12" x14ac:dyDescent="0.2">
      <c r="A99" s="18">
        <v>46221</v>
      </c>
      <c r="B99" s="19" t="str">
        <f>IF(A99="","",CHOOSE(WEEKDAY(A99),"日","月","火","水","木","金","土"))</f>
        <v>土</v>
      </c>
      <c r="C99" s="20" t="s">
        <v>115</v>
      </c>
      <c r="D99" s="21" t="s">
        <v>94</v>
      </c>
      <c r="E99" s="19" t="str">
        <f>IF(F99="","",IFERROR(INDEX(マスター!$F$5:$F$200,MATCH(F99,マスター!$E$5:$E$200,0)),"※マスター未登録"))</f>
        <v>木工事</v>
      </c>
      <c r="F99" s="20" t="s">
        <v>222</v>
      </c>
      <c r="G99" s="20" t="s">
        <v>166</v>
      </c>
      <c r="H99" s="22" t="s">
        <v>223</v>
      </c>
      <c r="I99" s="23">
        <v>1</v>
      </c>
      <c r="J99" s="20" t="s">
        <v>224</v>
      </c>
      <c r="K99" s="22" t="s">
        <v>225</v>
      </c>
      <c r="L99" s="23"/>
    </row>
    <row r="100" spans="1:12" x14ac:dyDescent="0.2">
      <c r="A100" s="18">
        <v>46221</v>
      </c>
      <c r="B100" s="19" t="str">
        <f>IF(A100="","",CHOOSE(WEEKDAY(A100),"日","月","火","水","木","金","土"))</f>
        <v>土</v>
      </c>
      <c r="C100" s="20" t="s">
        <v>115</v>
      </c>
      <c r="D100" s="21" t="s">
        <v>94</v>
      </c>
      <c r="E100" s="19" t="str">
        <f>IF(F100="","",IFERROR(INDEX(マスター!$F$5:$F$200,MATCH(F100,マスター!$E$5:$E$200,0)),"※マスター未登録"))</f>
        <v>木工事</v>
      </c>
      <c r="F100" s="20" t="s">
        <v>222</v>
      </c>
      <c r="G100" s="20" t="s">
        <v>121</v>
      </c>
      <c r="H100" s="22" t="s">
        <v>223</v>
      </c>
      <c r="I100" s="23">
        <v>1</v>
      </c>
      <c r="J100" s="20" t="s">
        <v>224</v>
      </c>
      <c r="K100" s="22" t="s">
        <v>225</v>
      </c>
      <c r="L100" s="23"/>
    </row>
    <row r="101" spans="1:12" ht="17.25" x14ac:dyDescent="0.2">
      <c r="A101" s="18">
        <v>46221</v>
      </c>
      <c r="B101" s="19" t="str">
        <f>IF(A101="","",CHOOSE(WEEKDAY(A101),"日","月","火","水","木","金","土"))</f>
        <v>土</v>
      </c>
      <c r="C101" s="20" t="s">
        <v>115</v>
      </c>
      <c r="D101" s="24" t="s">
        <v>96</v>
      </c>
      <c r="E101" s="19" t="str">
        <f>IF(F101="","",IFERROR(INDEX(マスター!$F$5:$F$200,MATCH(F101,マスター!$E$5:$E$200,0)),"※マスター未登録"))</f>
        <v>木工事</v>
      </c>
      <c r="F101" s="20" t="s">
        <v>222</v>
      </c>
      <c r="G101" s="20" t="s">
        <v>226</v>
      </c>
      <c r="H101" s="22" t="s">
        <v>227</v>
      </c>
      <c r="I101" s="23"/>
      <c r="J101" s="20" t="s">
        <v>228</v>
      </c>
      <c r="K101" s="22" t="s">
        <v>229</v>
      </c>
      <c r="L101" s="23"/>
    </row>
    <row r="102" spans="1:12" x14ac:dyDescent="0.2">
      <c r="A102" s="18">
        <v>46222</v>
      </c>
      <c r="B102" s="19" t="str">
        <f>IF(A102="","",CHOOSE(WEEKDAY(A102),"日","月","火","水","木","金","土"))</f>
        <v>日</v>
      </c>
      <c r="C102" s="20" t="s">
        <v>115</v>
      </c>
      <c r="D102" s="21" t="s">
        <v>94</v>
      </c>
      <c r="E102" s="19" t="str">
        <f>IF(F102="","",IFERROR(INDEX(マスター!$F$5:$F$200,MATCH(F102,マスター!$E$5:$E$200,0)),"※マスター未登録"))</f>
        <v>木工事</v>
      </c>
      <c r="F102" s="20" t="s">
        <v>230</v>
      </c>
      <c r="G102" s="20" t="s">
        <v>166</v>
      </c>
      <c r="H102" s="22" t="s">
        <v>231</v>
      </c>
      <c r="I102" s="23">
        <v>1</v>
      </c>
      <c r="J102" s="23"/>
      <c r="K102" s="22"/>
      <c r="L102" s="23"/>
    </row>
    <row r="103" spans="1:12" x14ac:dyDescent="0.2">
      <c r="A103" s="18">
        <v>46223</v>
      </c>
      <c r="B103" s="19" t="str">
        <f>IF(A103="","",CHOOSE(WEEKDAY(A103),"日","月","火","水","木","金","土"))</f>
        <v>月</v>
      </c>
      <c r="C103" s="20" t="s">
        <v>115</v>
      </c>
      <c r="D103" s="21" t="s">
        <v>94</v>
      </c>
      <c r="E103" s="19" t="str">
        <f>IF(F103="","",IFERROR(INDEX(マスター!$F$5:$F$200,MATCH(F103,マスター!$E$5:$E$200,0)),"※マスター未登録"))</f>
        <v>木工事</v>
      </c>
      <c r="F103" s="20" t="s">
        <v>230</v>
      </c>
      <c r="G103" s="20" t="s">
        <v>117</v>
      </c>
      <c r="H103" s="22" t="s">
        <v>232</v>
      </c>
      <c r="I103" s="23">
        <v>1</v>
      </c>
      <c r="J103" s="23"/>
      <c r="K103" s="22"/>
      <c r="L103" s="23"/>
    </row>
    <row r="104" spans="1:12" x14ac:dyDescent="0.2">
      <c r="A104" s="18">
        <v>46223</v>
      </c>
      <c r="B104" s="19" t="str">
        <f>IF(A104="","",CHOOSE(WEEKDAY(A104),"日","月","火","水","木","金","土"))</f>
        <v>月</v>
      </c>
      <c r="C104" s="20" t="s">
        <v>115</v>
      </c>
      <c r="D104" s="21" t="s">
        <v>94</v>
      </c>
      <c r="E104" s="19" t="str">
        <f>IF(F104="","",IFERROR(INDEX(マスター!$F$5:$F$200,MATCH(F104,マスター!$E$5:$E$200,0)),"※マスター未登録"))</f>
        <v>木工事</v>
      </c>
      <c r="F104" s="20" t="s">
        <v>230</v>
      </c>
      <c r="G104" s="20" t="s">
        <v>166</v>
      </c>
      <c r="H104" s="22" t="s">
        <v>232</v>
      </c>
      <c r="I104" s="23">
        <v>1</v>
      </c>
      <c r="J104" s="23"/>
      <c r="K104" s="22"/>
      <c r="L104" s="23"/>
    </row>
    <row r="105" spans="1:12" x14ac:dyDescent="0.2">
      <c r="A105" s="18">
        <v>46223</v>
      </c>
      <c r="B105" s="19" t="str">
        <f>IF(A105="","",CHOOSE(WEEKDAY(A105),"日","月","火","水","木","金","土"))</f>
        <v>月</v>
      </c>
      <c r="C105" s="20" t="s">
        <v>115</v>
      </c>
      <c r="D105" s="21" t="s">
        <v>94</v>
      </c>
      <c r="E105" s="19" t="str">
        <f>IF(F105="","",IFERROR(INDEX(マスター!$F$5:$F$200,MATCH(F105,マスター!$E$5:$E$200,0)),"※マスター未登録"))</f>
        <v>木工事</v>
      </c>
      <c r="F105" s="20" t="s">
        <v>230</v>
      </c>
      <c r="G105" s="20" t="s">
        <v>121</v>
      </c>
      <c r="H105" s="22" t="s">
        <v>232</v>
      </c>
      <c r="I105" s="23">
        <v>1</v>
      </c>
      <c r="J105" s="23"/>
      <c r="K105" s="22"/>
      <c r="L105" s="23"/>
    </row>
    <row r="106" spans="1:12" x14ac:dyDescent="0.2">
      <c r="A106" s="18">
        <v>46224</v>
      </c>
      <c r="B106" s="19" t="str">
        <f>IF(A106="","",CHOOSE(WEEKDAY(A106),"日","月","火","水","木","金","土"))</f>
        <v>火</v>
      </c>
      <c r="C106" s="20" t="s">
        <v>115</v>
      </c>
      <c r="D106" s="21" t="s">
        <v>94</v>
      </c>
      <c r="E106" s="19" t="str">
        <f>IF(F106="","",IFERROR(INDEX(マスター!$F$5:$F$200,MATCH(F106,マスター!$E$5:$E$200,0)),"※マスター未登録"))</f>
        <v>木工事</v>
      </c>
      <c r="F106" s="20" t="s">
        <v>233</v>
      </c>
      <c r="G106" s="20" t="s">
        <v>117</v>
      </c>
      <c r="H106" s="22" t="s">
        <v>234</v>
      </c>
      <c r="I106" s="23">
        <v>1</v>
      </c>
      <c r="J106" s="23"/>
      <c r="K106" s="22"/>
      <c r="L106" s="23"/>
    </row>
    <row r="107" spans="1:12" x14ac:dyDescent="0.2">
      <c r="A107" s="18">
        <v>46224</v>
      </c>
      <c r="B107" s="19" t="str">
        <f>IF(A107="","",CHOOSE(WEEKDAY(A107),"日","月","火","水","木","金","土"))</f>
        <v>火</v>
      </c>
      <c r="C107" s="20" t="s">
        <v>115</v>
      </c>
      <c r="D107" s="21" t="s">
        <v>94</v>
      </c>
      <c r="E107" s="19" t="str">
        <f>IF(F107="","",IFERROR(INDEX(マスター!$F$5:$F$200,MATCH(F107,マスター!$E$5:$E$200,0)),"※マスター未登録"))</f>
        <v>木工事</v>
      </c>
      <c r="F107" s="20" t="s">
        <v>233</v>
      </c>
      <c r="G107" s="20" t="s">
        <v>166</v>
      </c>
      <c r="H107" s="22" t="s">
        <v>234</v>
      </c>
      <c r="I107" s="23">
        <v>1</v>
      </c>
      <c r="J107" s="23"/>
      <c r="K107" s="22"/>
      <c r="L107" s="23"/>
    </row>
    <row r="108" spans="1:12" ht="17.25" x14ac:dyDescent="0.2">
      <c r="A108" s="18">
        <v>46224</v>
      </c>
      <c r="B108" s="19" t="str">
        <f>IF(A108="","",CHOOSE(WEEKDAY(A108),"日","月","火","水","木","金","土"))</f>
        <v>火</v>
      </c>
      <c r="C108" s="20" t="s">
        <v>115</v>
      </c>
      <c r="D108" s="21" t="s">
        <v>94</v>
      </c>
      <c r="E108" s="19" t="str">
        <f>IF(F108="","",IFERROR(INDEX(マスター!$F$5:$F$200,MATCH(F108,マスター!$E$5:$E$200,0)),"※マスター未登録"))</f>
        <v>木工事</v>
      </c>
      <c r="F108" s="20" t="s">
        <v>233</v>
      </c>
      <c r="G108" s="20" t="s">
        <v>128</v>
      </c>
      <c r="H108" s="22" t="s">
        <v>235</v>
      </c>
      <c r="I108" s="23">
        <v>1</v>
      </c>
      <c r="J108" s="23"/>
      <c r="K108" s="22" t="s">
        <v>236</v>
      </c>
      <c r="L108" s="23"/>
    </row>
    <row r="109" spans="1:12" x14ac:dyDescent="0.2">
      <c r="A109" s="18">
        <v>46225</v>
      </c>
      <c r="B109" s="19" t="str">
        <f>IF(A109="","",CHOOSE(WEEKDAY(A109),"日","月","火","水","木","金","土"))</f>
        <v>水</v>
      </c>
      <c r="C109" s="20" t="s">
        <v>115</v>
      </c>
      <c r="D109" s="21" t="s">
        <v>94</v>
      </c>
      <c r="E109" s="19" t="str">
        <f>IF(F109="","",IFERROR(INDEX(マスター!$F$5:$F$200,MATCH(F109,マスター!$E$5:$E$200,0)),"※マスター未登録"))</f>
        <v>木工事</v>
      </c>
      <c r="F109" s="20" t="s">
        <v>233</v>
      </c>
      <c r="G109" s="20" t="s">
        <v>117</v>
      </c>
      <c r="H109" s="22" t="s">
        <v>237</v>
      </c>
      <c r="I109" s="23">
        <v>1</v>
      </c>
      <c r="J109" s="23"/>
      <c r="K109" s="22"/>
      <c r="L109" s="23"/>
    </row>
    <row r="110" spans="1:12" x14ac:dyDescent="0.2">
      <c r="A110" s="18">
        <v>46225</v>
      </c>
      <c r="B110" s="19" t="str">
        <f>IF(A110="","",CHOOSE(WEEKDAY(A110),"日","月","火","水","木","金","土"))</f>
        <v>水</v>
      </c>
      <c r="C110" s="20" t="s">
        <v>115</v>
      </c>
      <c r="D110" s="21" t="s">
        <v>94</v>
      </c>
      <c r="E110" s="19" t="str">
        <f>IF(F110="","",IFERROR(INDEX(マスター!$F$5:$F$200,MATCH(F110,マスター!$E$5:$E$200,0)),"※マスター未登録"))</f>
        <v>木工事</v>
      </c>
      <c r="F110" s="20" t="s">
        <v>233</v>
      </c>
      <c r="G110" s="20" t="s">
        <v>166</v>
      </c>
      <c r="H110" s="22" t="s">
        <v>237</v>
      </c>
      <c r="I110" s="23">
        <v>1</v>
      </c>
      <c r="J110" s="23"/>
      <c r="K110" s="22"/>
      <c r="L110" s="23"/>
    </row>
    <row r="111" spans="1:12" x14ac:dyDescent="0.2">
      <c r="A111" s="18">
        <v>46225</v>
      </c>
      <c r="B111" s="19" t="str">
        <f>IF(A111="","",CHOOSE(WEEKDAY(A111),"日","月","火","水","木","金","土"))</f>
        <v>水</v>
      </c>
      <c r="C111" s="20" t="s">
        <v>115</v>
      </c>
      <c r="D111" s="21" t="s">
        <v>94</v>
      </c>
      <c r="E111" s="19" t="str">
        <f>IF(F111="","",IFERROR(INDEX(マスター!$F$5:$F$200,MATCH(F111,マスター!$E$5:$E$200,0)),"※マスター未登録"))</f>
        <v>木工事</v>
      </c>
      <c r="F111" s="20" t="s">
        <v>233</v>
      </c>
      <c r="G111" s="20" t="s">
        <v>128</v>
      </c>
      <c r="H111" s="22" t="s">
        <v>237</v>
      </c>
      <c r="I111" s="23">
        <v>1</v>
      </c>
      <c r="J111" s="23"/>
      <c r="K111" s="22"/>
      <c r="L111" s="23"/>
    </row>
    <row r="112" spans="1:12" ht="17.25" x14ac:dyDescent="0.2">
      <c r="A112" s="18">
        <v>46226</v>
      </c>
      <c r="B112" s="19" t="str">
        <f>IF(A112="","",CHOOSE(WEEKDAY(A112),"日","月","火","水","木","金","土"))</f>
        <v>木</v>
      </c>
      <c r="C112" s="20" t="s">
        <v>115</v>
      </c>
      <c r="D112" s="21" t="s">
        <v>94</v>
      </c>
      <c r="E112" s="19" t="str">
        <f>IF(F112="","",IFERROR(INDEX(マスター!$F$5:$F$200,MATCH(F112,マスター!$E$5:$E$200,0)),"※マスター未登録"))</f>
        <v>木工事</v>
      </c>
      <c r="F112" s="20" t="s">
        <v>233</v>
      </c>
      <c r="G112" s="20" t="s">
        <v>117</v>
      </c>
      <c r="H112" s="22" t="s">
        <v>238</v>
      </c>
      <c r="I112" s="23">
        <v>1</v>
      </c>
      <c r="J112" s="23"/>
      <c r="K112" s="22" t="s">
        <v>239</v>
      </c>
      <c r="L112" s="23"/>
    </row>
    <row r="113" spans="1:12" ht="17.25" x14ac:dyDescent="0.2">
      <c r="A113" s="18">
        <v>46226</v>
      </c>
      <c r="B113" s="19" t="str">
        <f>IF(A113="","",CHOOSE(WEEKDAY(A113),"日","月","火","水","木","金","土"))</f>
        <v>木</v>
      </c>
      <c r="C113" s="20" t="s">
        <v>115</v>
      </c>
      <c r="D113" s="21" t="s">
        <v>94</v>
      </c>
      <c r="E113" s="19" t="str">
        <f>IF(F113="","",IFERROR(INDEX(マスター!$F$5:$F$200,MATCH(F113,マスター!$E$5:$E$200,0)),"※マスター未登録"))</f>
        <v>木工事</v>
      </c>
      <c r="F113" s="20" t="s">
        <v>233</v>
      </c>
      <c r="G113" s="20" t="s">
        <v>166</v>
      </c>
      <c r="H113" s="22" t="s">
        <v>238</v>
      </c>
      <c r="I113" s="23">
        <v>1</v>
      </c>
      <c r="J113" s="23"/>
      <c r="K113" s="22" t="s">
        <v>239</v>
      </c>
      <c r="L113" s="23"/>
    </row>
    <row r="114" spans="1:12" x14ac:dyDescent="0.2">
      <c r="A114" s="18">
        <v>46227</v>
      </c>
      <c r="B114" s="19" t="str">
        <f>IF(A114="","",CHOOSE(WEEKDAY(A114),"日","月","火","水","木","金","土"))</f>
        <v>金</v>
      </c>
      <c r="C114" s="20" t="s">
        <v>115</v>
      </c>
      <c r="D114" s="21" t="s">
        <v>94</v>
      </c>
      <c r="E114" s="19" t="str">
        <f>IF(F114="","",IFERROR(INDEX(マスター!$F$5:$F$200,MATCH(F114,マスター!$E$5:$E$200,0)),"※マスター未登録"))</f>
        <v>木工事</v>
      </c>
      <c r="F114" s="20" t="s">
        <v>233</v>
      </c>
      <c r="G114" s="20" t="s">
        <v>117</v>
      </c>
      <c r="H114" s="22" t="s">
        <v>237</v>
      </c>
      <c r="I114" s="23">
        <v>1</v>
      </c>
      <c r="J114" s="23"/>
      <c r="K114" s="22"/>
      <c r="L114" s="23"/>
    </row>
    <row r="115" spans="1:12" x14ac:dyDescent="0.2">
      <c r="A115" s="18">
        <v>46227</v>
      </c>
      <c r="B115" s="19" t="str">
        <f>IF(A115="","",CHOOSE(WEEKDAY(A115),"日","月","火","水","木","金","土"))</f>
        <v>金</v>
      </c>
      <c r="C115" s="20" t="s">
        <v>115</v>
      </c>
      <c r="D115" s="21" t="s">
        <v>94</v>
      </c>
      <c r="E115" s="19" t="str">
        <f>IF(F115="","",IFERROR(INDEX(マスター!$F$5:$F$200,MATCH(F115,マスター!$E$5:$E$200,0)),"※マスター未登録"))</f>
        <v>木工事</v>
      </c>
      <c r="F115" s="20" t="s">
        <v>233</v>
      </c>
      <c r="G115" s="20" t="s">
        <v>166</v>
      </c>
      <c r="H115" s="22" t="s">
        <v>237</v>
      </c>
      <c r="I115" s="23">
        <v>1</v>
      </c>
      <c r="J115" s="23"/>
      <c r="K115" s="22"/>
      <c r="L115" s="23"/>
    </row>
    <row r="116" spans="1:12" ht="26.25" x14ac:dyDescent="0.2">
      <c r="A116" s="18">
        <v>46228</v>
      </c>
      <c r="B116" s="19" t="str">
        <f>IF(A116="","",CHOOSE(WEEKDAY(A116),"日","月","火","水","木","金","土"))</f>
        <v>土</v>
      </c>
      <c r="C116" s="20" t="s">
        <v>115</v>
      </c>
      <c r="D116" s="21" t="s">
        <v>94</v>
      </c>
      <c r="E116" s="19" t="str">
        <f>IF(F116="","",IFERROR(INDEX(マスター!$F$5:$F$200,MATCH(F116,マスター!$E$5:$E$200,0)),"※マスター未登録"))</f>
        <v>木工事</v>
      </c>
      <c r="F116" s="20" t="s">
        <v>233</v>
      </c>
      <c r="G116" s="20" t="s">
        <v>117</v>
      </c>
      <c r="H116" s="25" t="s">
        <v>240</v>
      </c>
      <c r="I116" s="23">
        <v>1</v>
      </c>
      <c r="J116" s="23"/>
      <c r="K116" s="22" t="s">
        <v>241</v>
      </c>
      <c r="L116" s="23"/>
    </row>
    <row r="117" spans="1:12" ht="26.25" x14ac:dyDescent="0.2">
      <c r="A117" s="18">
        <v>46228</v>
      </c>
      <c r="B117" s="19" t="str">
        <f>IF(A117="","",CHOOSE(WEEKDAY(A117),"日","月","火","水","木","金","土"))</f>
        <v>土</v>
      </c>
      <c r="C117" s="20" t="s">
        <v>115</v>
      </c>
      <c r="D117" s="21" t="s">
        <v>94</v>
      </c>
      <c r="E117" s="19" t="str">
        <f>IF(F117="","",IFERROR(INDEX(マスター!$F$5:$F$200,MATCH(F117,マスター!$E$5:$E$200,0)),"※マスター未登録"))</f>
        <v>木工事</v>
      </c>
      <c r="F117" s="20" t="s">
        <v>233</v>
      </c>
      <c r="G117" s="20" t="s">
        <v>121</v>
      </c>
      <c r="H117" s="25" t="s">
        <v>240</v>
      </c>
      <c r="I117" s="23">
        <v>1</v>
      </c>
      <c r="J117" s="23"/>
      <c r="K117" s="22" t="s">
        <v>241</v>
      </c>
      <c r="L117" s="23"/>
    </row>
    <row r="118" spans="1:12" x14ac:dyDescent="0.2">
      <c r="A118" s="18">
        <v>46230</v>
      </c>
      <c r="B118" s="19" t="str">
        <f>IF(A118="","",CHOOSE(WEEKDAY(A118),"日","月","火","水","木","金","土"))</f>
        <v>月</v>
      </c>
      <c r="C118" s="20" t="s">
        <v>115</v>
      </c>
      <c r="D118" s="21" t="s">
        <v>94</v>
      </c>
      <c r="E118" s="19" t="str">
        <f>IF(F118="","",IFERROR(INDEX(マスター!$F$5:$F$200,MATCH(F118,マスター!$E$5:$E$200,0)),"※マスター未登録"))</f>
        <v>その他</v>
      </c>
      <c r="F118" s="20" t="s">
        <v>242</v>
      </c>
      <c r="G118" s="20" t="s">
        <v>117</v>
      </c>
      <c r="H118" s="22" t="s">
        <v>243</v>
      </c>
      <c r="I118" s="23">
        <v>1</v>
      </c>
      <c r="J118" s="23"/>
      <c r="K118" s="22"/>
      <c r="L118" s="23"/>
    </row>
    <row r="119" spans="1:12" ht="17.25" x14ac:dyDescent="0.2">
      <c r="A119" s="18">
        <v>46230</v>
      </c>
      <c r="B119" s="19" t="str">
        <f>IF(A119="","",CHOOSE(WEEKDAY(A119),"日","月","火","水","木","金","土"))</f>
        <v>月</v>
      </c>
      <c r="C119" s="20" t="s">
        <v>115</v>
      </c>
      <c r="D119" s="21" t="s">
        <v>94</v>
      </c>
      <c r="E119" s="19" t="str">
        <f>IF(F119="","",IFERROR(INDEX(マスター!$F$5:$F$200,MATCH(F119,マスター!$E$5:$E$200,0)),"※マスター未登録"))</f>
        <v>その他</v>
      </c>
      <c r="F119" s="20" t="s">
        <v>242</v>
      </c>
      <c r="G119" s="20" t="s">
        <v>166</v>
      </c>
      <c r="H119" s="22" t="s">
        <v>244</v>
      </c>
      <c r="I119" s="23">
        <v>1</v>
      </c>
      <c r="J119" s="23"/>
      <c r="K119" s="22" t="s">
        <v>245</v>
      </c>
      <c r="L119" s="23"/>
    </row>
    <row r="120" spans="1:12" x14ac:dyDescent="0.2">
      <c r="A120" s="18">
        <v>46230</v>
      </c>
      <c r="B120" s="19" t="str">
        <f>IF(A120="","",CHOOSE(WEEKDAY(A120),"日","月","火","水","木","金","土"))</f>
        <v>月</v>
      </c>
      <c r="C120" s="20" t="s">
        <v>115</v>
      </c>
      <c r="D120" s="24" t="s">
        <v>96</v>
      </c>
      <c r="E120" s="19" t="str">
        <f>IF(F120="","",IFERROR(INDEX(マスター!$F$5:$F$200,MATCH(F120,マスター!$E$5:$E$200,0)),"※マスター未登録"))</f>
        <v>屋根・外壁工事</v>
      </c>
      <c r="F120" s="20" t="s">
        <v>246</v>
      </c>
      <c r="G120" s="20" t="s">
        <v>247</v>
      </c>
      <c r="H120" s="22" t="s">
        <v>248</v>
      </c>
      <c r="I120" s="23">
        <v>2</v>
      </c>
      <c r="J120" s="23"/>
      <c r="K120" s="22"/>
      <c r="L120" s="23"/>
    </row>
    <row r="121" spans="1:12" x14ac:dyDescent="0.2">
      <c r="A121" s="18">
        <v>46231</v>
      </c>
      <c r="B121" s="19" t="str">
        <f>IF(A121="","",CHOOSE(WEEKDAY(A121),"日","月","火","水","木","金","土"))</f>
        <v>火</v>
      </c>
      <c r="C121" s="20" t="s">
        <v>115</v>
      </c>
      <c r="D121" s="21" t="s">
        <v>94</v>
      </c>
      <c r="E121" s="19" t="str">
        <f>IF(F121="","",IFERROR(INDEX(マスター!$F$5:$F$200,MATCH(F121,マスター!$E$5:$E$200,0)),"※マスター未登録"))</f>
        <v>木工事</v>
      </c>
      <c r="F121" s="20" t="s">
        <v>230</v>
      </c>
      <c r="G121" s="20"/>
      <c r="H121" s="22" t="s">
        <v>249</v>
      </c>
      <c r="I121" s="23"/>
      <c r="J121" s="23"/>
      <c r="K121" s="22" t="s">
        <v>250</v>
      </c>
      <c r="L121" s="23"/>
    </row>
    <row r="122" spans="1:12" x14ac:dyDescent="0.2">
      <c r="A122" s="18">
        <v>46232</v>
      </c>
      <c r="B122" s="19" t="str">
        <f>IF(A122="","",CHOOSE(WEEKDAY(A122),"日","月","火","水","木","金","土"))</f>
        <v>水</v>
      </c>
      <c r="C122" s="20" t="s">
        <v>115</v>
      </c>
      <c r="D122" s="21" t="s">
        <v>94</v>
      </c>
      <c r="E122" s="19" t="str">
        <f>IF(F122="","",IFERROR(INDEX(マスター!$F$5:$F$200,MATCH(F122,マスター!$E$5:$E$200,0)),"※マスター未登録"))</f>
        <v>木工事</v>
      </c>
      <c r="F122" s="20" t="s">
        <v>230</v>
      </c>
      <c r="G122" s="20" t="s">
        <v>117</v>
      </c>
      <c r="H122" s="22" t="s">
        <v>251</v>
      </c>
      <c r="I122" s="23">
        <v>1</v>
      </c>
      <c r="J122" s="23"/>
      <c r="K122" s="22"/>
      <c r="L122" s="23"/>
    </row>
    <row r="123" spans="1:12" x14ac:dyDescent="0.2">
      <c r="A123" s="18">
        <v>46232</v>
      </c>
      <c r="B123" s="19" t="str">
        <f>IF(A123="","",CHOOSE(WEEKDAY(A123),"日","月","火","水","木","金","土"))</f>
        <v>水</v>
      </c>
      <c r="C123" s="20" t="s">
        <v>115</v>
      </c>
      <c r="D123" s="21" t="s">
        <v>94</v>
      </c>
      <c r="E123" s="19" t="str">
        <f>IF(F123="","",IFERROR(INDEX(マスター!$F$5:$F$200,MATCH(F123,マスター!$E$5:$E$200,0)),"※マスター未登録"))</f>
        <v>木工事</v>
      </c>
      <c r="F123" s="20" t="s">
        <v>230</v>
      </c>
      <c r="G123" s="20" t="s">
        <v>166</v>
      </c>
      <c r="H123" s="22" t="s">
        <v>251</v>
      </c>
      <c r="I123" s="23">
        <v>1</v>
      </c>
      <c r="J123" s="23"/>
      <c r="K123" s="22"/>
      <c r="L123" s="23"/>
    </row>
    <row r="124" spans="1:12" x14ac:dyDescent="0.2">
      <c r="A124" s="18">
        <v>46232</v>
      </c>
      <c r="B124" s="19" t="str">
        <f>IF(A124="","",CHOOSE(WEEKDAY(A124),"日","月","火","水","木","金","土"))</f>
        <v>水</v>
      </c>
      <c r="C124" s="20" t="s">
        <v>115</v>
      </c>
      <c r="D124" s="24" t="s">
        <v>96</v>
      </c>
      <c r="E124" s="19" t="str">
        <f>IF(F124="","",IFERROR(INDEX(マスター!$F$5:$F$200,MATCH(F124,マスター!$E$5:$E$200,0)),"※マスター未登録"))</f>
        <v>電気設備工事</v>
      </c>
      <c r="F124" s="20" t="s">
        <v>252</v>
      </c>
      <c r="G124" s="20" t="s">
        <v>253</v>
      </c>
      <c r="H124" s="22" t="s">
        <v>254</v>
      </c>
      <c r="I124" s="23">
        <v>3</v>
      </c>
      <c r="J124" s="23"/>
      <c r="K124" s="22"/>
      <c r="L124" s="23"/>
    </row>
    <row r="125" spans="1:12" x14ac:dyDescent="0.2">
      <c r="A125" s="18">
        <v>46232</v>
      </c>
      <c r="B125" s="19" t="str">
        <f>IF(A125="","",CHOOSE(WEEKDAY(A125),"日","月","火","水","木","金","土"))</f>
        <v>水</v>
      </c>
      <c r="C125" s="20" t="s">
        <v>115</v>
      </c>
      <c r="D125" s="24" t="s">
        <v>96</v>
      </c>
      <c r="E125" s="19" t="str">
        <f>IF(F125="","",IFERROR(INDEX(マスター!$F$5:$F$200,MATCH(F125,マスター!$E$5:$E$200,0)),"※マスター未登録"))</f>
        <v>屋根・外壁工事</v>
      </c>
      <c r="F125" s="20" t="s">
        <v>255</v>
      </c>
      <c r="G125" s="20" t="s">
        <v>256</v>
      </c>
      <c r="H125" s="22" t="s">
        <v>257</v>
      </c>
      <c r="I125" s="23">
        <v>3</v>
      </c>
      <c r="J125" s="23"/>
      <c r="K125" s="22"/>
      <c r="L125" s="23"/>
    </row>
    <row r="126" spans="1:12" x14ac:dyDescent="0.2">
      <c r="A126" s="18">
        <v>46233</v>
      </c>
      <c r="B126" s="19" t="str">
        <f>IF(A126="","",CHOOSE(WEEKDAY(A126),"日","月","火","水","木","金","土"))</f>
        <v>木</v>
      </c>
      <c r="C126" s="20" t="s">
        <v>115</v>
      </c>
      <c r="D126" s="21" t="s">
        <v>94</v>
      </c>
      <c r="E126" s="19" t="str">
        <f>IF(F126="","",IFERROR(INDEX(マスター!$F$5:$F$200,MATCH(F126,マスター!$E$5:$E$200,0)),"※マスター未登録"))</f>
        <v>木工事</v>
      </c>
      <c r="F126" s="20" t="s">
        <v>230</v>
      </c>
      <c r="G126" s="20" t="s">
        <v>117</v>
      </c>
      <c r="H126" s="22" t="s">
        <v>251</v>
      </c>
      <c r="I126" s="23">
        <v>1</v>
      </c>
      <c r="J126" s="23"/>
      <c r="K126" s="22"/>
      <c r="L126" s="23"/>
    </row>
    <row r="127" spans="1:12" x14ac:dyDescent="0.2">
      <c r="A127" s="18">
        <v>46233</v>
      </c>
      <c r="B127" s="19" t="str">
        <f>IF(A127="","",CHOOSE(WEEKDAY(A127),"日","月","火","水","木","金","土"))</f>
        <v>木</v>
      </c>
      <c r="C127" s="20" t="s">
        <v>115</v>
      </c>
      <c r="D127" s="21" t="s">
        <v>94</v>
      </c>
      <c r="E127" s="19" t="str">
        <f>IF(F127="","",IFERROR(INDEX(マスター!$F$5:$F$200,MATCH(F127,マスター!$E$5:$E$200,0)),"※マスター未登録"))</f>
        <v>木工事</v>
      </c>
      <c r="F127" s="20" t="s">
        <v>230</v>
      </c>
      <c r="G127" s="20" t="s">
        <v>166</v>
      </c>
      <c r="H127" s="22" t="s">
        <v>251</v>
      </c>
      <c r="I127" s="23">
        <v>1</v>
      </c>
      <c r="J127" s="23"/>
      <c r="K127" s="22"/>
      <c r="L127" s="23"/>
    </row>
    <row r="128" spans="1:12" x14ac:dyDescent="0.2">
      <c r="A128" s="18">
        <v>46233</v>
      </c>
      <c r="B128" s="19" t="str">
        <f>IF(A128="","",CHOOSE(WEEKDAY(A128),"日","月","火","水","木","金","土"))</f>
        <v>木</v>
      </c>
      <c r="C128" s="20" t="s">
        <v>115</v>
      </c>
      <c r="D128" s="24" t="s">
        <v>96</v>
      </c>
      <c r="E128" s="19" t="str">
        <f>IF(F128="","",IFERROR(INDEX(マスター!$F$5:$F$200,MATCH(F128,マスター!$E$5:$E$200,0)),"※マスター未登録"))</f>
        <v>電気設備工事</v>
      </c>
      <c r="F128" s="20" t="s">
        <v>252</v>
      </c>
      <c r="G128" s="20" t="s">
        <v>253</v>
      </c>
      <c r="H128" s="22" t="s">
        <v>254</v>
      </c>
      <c r="I128" s="23">
        <v>3</v>
      </c>
      <c r="J128" s="23"/>
      <c r="K128" s="22"/>
      <c r="L128" s="23"/>
    </row>
    <row r="129" spans="1:12" x14ac:dyDescent="0.2">
      <c r="A129" s="18">
        <v>46233</v>
      </c>
      <c r="B129" s="19" t="str">
        <f>IF(A129="","",CHOOSE(WEEKDAY(A129),"日","月","火","水","木","金","土"))</f>
        <v>木</v>
      </c>
      <c r="C129" s="20" t="s">
        <v>115</v>
      </c>
      <c r="D129" s="24" t="s">
        <v>96</v>
      </c>
      <c r="E129" s="19" t="str">
        <f>IF(F129="","",IFERROR(INDEX(マスター!$F$5:$F$200,MATCH(F129,マスター!$E$5:$E$200,0)),"※マスター未登録"))</f>
        <v>屋根・外壁工事</v>
      </c>
      <c r="F129" s="20" t="s">
        <v>255</v>
      </c>
      <c r="G129" s="20" t="s">
        <v>256</v>
      </c>
      <c r="H129" s="22" t="s">
        <v>257</v>
      </c>
      <c r="I129" s="23">
        <v>3</v>
      </c>
      <c r="J129" s="23"/>
      <c r="K129" s="22"/>
      <c r="L129" s="23"/>
    </row>
    <row r="130" spans="1:12" x14ac:dyDescent="0.2">
      <c r="A130" s="18">
        <v>46234</v>
      </c>
      <c r="B130" s="19" t="str">
        <f>IF(A130="","",CHOOSE(WEEKDAY(A130),"日","月","火","水","木","金","土"))</f>
        <v>金</v>
      </c>
      <c r="C130" s="20" t="s">
        <v>115</v>
      </c>
      <c r="D130" s="21" t="s">
        <v>94</v>
      </c>
      <c r="E130" s="19" t="str">
        <f>IF(F130="","",IFERROR(INDEX(マスター!$F$5:$F$200,MATCH(F130,マスター!$E$5:$E$200,0)),"※マスター未登録"))</f>
        <v>木工事</v>
      </c>
      <c r="F130" s="20" t="s">
        <v>258</v>
      </c>
      <c r="G130" s="20" t="s">
        <v>117</v>
      </c>
      <c r="H130" s="22" t="s">
        <v>259</v>
      </c>
      <c r="I130" s="23">
        <v>1</v>
      </c>
      <c r="J130" s="23"/>
      <c r="K130" s="22"/>
      <c r="L130" s="23"/>
    </row>
    <row r="131" spans="1:12" x14ac:dyDescent="0.2">
      <c r="A131" s="18">
        <v>46234</v>
      </c>
      <c r="B131" s="19" t="str">
        <f>IF(A131="","",CHOOSE(WEEKDAY(A131),"日","月","火","水","木","金","土"))</f>
        <v>金</v>
      </c>
      <c r="C131" s="20" t="s">
        <v>115</v>
      </c>
      <c r="D131" s="21" t="s">
        <v>94</v>
      </c>
      <c r="E131" s="19" t="str">
        <f>IF(F131="","",IFERROR(INDEX(マスター!$F$5:$F$200,MATCH(F131,マスター!$E$5:$E$200,0)),"※マスター未登録"))</f>
        <v>木工事</v>
      </c>
      <c r="F131" s="20" t="s">
        <v>258</v>
      </c>
      <c r="G131" s="20" t="s">
        <v>260</v>
      </c>
      <c r="H131" s="22" t="s">
        <v>259</v>
      </c>
      <c r="I131" s="23">
        <v>1</v>
      </c>
      <c r="J131" s="23"/>
      <c r="K131" s="22"/>
      <c r="L131" s="23"/>
    </row>
    <row r="132" spans="1:12" x14ac:dyDescent="0.2">
      <c r="A132" s="18">
        <v>46234</v>
      </c>
      <c r="B132" s="19" t="str">
        <f>IF(A132="","",CHOOSE(WEEKDAY(A132),"日","月","火","水","木","金","土"))</f>
        <v>金</v>
      </c>
      <c r="C132" s="20" t="s">
        <v>115</v>
      </c>
      <c r="D132" s="21" t="s">
        <v>94</v>
      </c>
      <c r="E132" s="19" t="str">
        <f>IF(F132="","",IFERROR(INDEX(マスター!$F$5:$F$200,MATCH(F132,マスター!$E$5:$E$200,0)),"※マスター未登録"))</f>
        <v>木工事</v>
      </c>
      <c r="F132" s="20" t="s">
        <v>258</v>
      </c>
      <c r="G132" s="20" t="s">
        <v>166</v>
      </c>
      <c r="H132" s="22" t="s">
        <v>259</v>
      </c>
      <c r="I132" s="23">
        <v>1</v>
      </c>
      <c r="J132" s="23"/>
      <c r="K132" s="22"/>
      <c r="L132" s="23"/>
    </row>
    <row r="133" spans="1:12" x14ac:dyDescent="0.2">
      <c r="A133" s="18">
        <v>46234</v>
      </c>
      <c r="B133" s="19" t="str">
        <f>IF(A133="","",CHOOSE(WEEKDAY(A133),"日","月","火","水","木","金","土"))</f>
        <v>金</v>
      </c>
      <c r="C133" s="20" t="s">
        <v>115</v>
      </c>
      <c r="D133" s="21" t="s">
        <v>94</v>
      </c>
      <c r="E133" s="19" t="str">
        <f>IF(F133="","",IFERROR(INDEX(マスター!$F$5:$F$200,MATCH(F133,マスター!$E$5:$E$200,0)),"※マスター未登録"))</f>
        <v>木工事</v>
      </c>
      <c r="F133" s="20" t="s">
        <v>258</v>
      </c>
      <c r="G133" s="20" t="s">
        <v>121</v>
      </c>
      <c r="H133" s="22" t="s">
        <v>259</v>
      </c>
      <c r="I133" s="23">
        <v>1</v>
      </c>
      <c r="J133" s="23"/>
      <c r="K133" s="22"/>
      <c r="L133" s="23"/>
    </row>
    <row r="134" spans="1:12" x14ac:dyDescent="0.2">
      <c r="A134" s="18">
        <v>46234</v>
      </c>
      <c r="B134" s="19" t="str">
        <f>IF(A134="","",CHOOSE(WEEKDAY(A134),"日","月","火","水","木","金","土"))</f>
        <v>金</v>
      </c>
      <c r="C134" s="20" t="s">
        <v>115</v>
      </c>
      <c r="D134" s="24" t="s">
        <v>96</v>
      </c>
      <c r="E134" s="19" t="str">
        <f>IF(F134="","",IFERROR(INDEX(マスター!$F$5:$F$200,MATCH(F134,マスター!$E$5:$E$200,0)),"※マスター未登録"))</f>
        <v>電気設備工事</v>
      </c>
      <c r="F134" s="20" t="s">
        <v>252</v>
      </c>
      <c r="G134" s="20" t="s">
        <v>253</v>
      </c>
      <c r="H134" s="22" t="s">
        <v>254</v>
      </c>
      <c r="I134" s="23">
        <v>2</v>
      </c>
      <c r="J134" s="23"/>
      <c r="K134" s="22"/>
      <c r="L134" s="23"/>
    </row>
    <row r="135" spans="1:12" x14ac:dyDescent="0.2">
      <c r="A135" s="18">
        <v>46234</v>
      </c>
      <c r="B135" s="19" t="str">
        <f>IF(A135="","",CHOOSE(WEEKDAY(A135),"日","月","火","水","木","金","土"))</f>
        <v>金</v>
      </c>
      <c r="C135" s="20" t="s">
        <v>115</v>
      </c>
      <c r="D135" s="24" t="s">
        <v>96</v>
      </c>
      <c r="E135" s="19" t="str">
        <f>IF(F135="","",IFERROR(INDEX(マスター!$F$5:$F$200,MATCH(F135,マスター!$E$5:$E$200,0)),"※マスター未登録"))</f>
        <v>屋根・外壁工事</v>
      </c>
      <c r="F135" s="20" t="s">
        <v>255</v>
      </c>
      <c r="G135" s="20" t="s">
        <v>256</v>
      </c>
      <c r="H135" s="22" t="s">
        <v>257</v>
      </c>
      <c r="I135" s="23">
        <v>3</v>
      </c>
      <c r="J135" s="23"/>
      <c r="K135" s="22"/>
      <c r="L135" s="23"/>
    </row>
    <row r="136" spans="1:12" ht="17.25" x14ac:dyDescent="0.2">
      <c r="A136" s="18">
        <v>46235</v>
      </c>
      <c r="B136" s="19" t="str">
        <f>IF(A136="","",CHOOSE(WEEKDAY(A136),"日","月","火","水","木","金","土"))</f>
        <v>土</v>
      </c>
      <c r="C136" s="20" t="s">
        <v>115</v>
      </c>
      <c r="D136" s="21" t="s">
        <v>94</v>
      </c>
      <c r="E136" s="19" t="str">
        <f>IF(F136="","",IFERROR(INDEX(マスター!$F$5:$F$200,MATCH(F136,マスター!$E$5:$E$200,0)),"※マスター未登録"))</f>
        <v>木工事</v>
      </c>
      <c r="F136" s="20" t="s">
        <v>261</v>
      </c>
      <c r="G136" s="20" t="s">
        <v>117</v>
      </c>
      <c r="H136" s="22" t="s">
        <v>262</v>
      </c>
      <c r="I136" s="23">
        <v>1</v>
      </c>
      <c r="J136" s="23"/>
      <c r="K136" s="22" t="s">
        <v>263</v>
      </c>
      <c r="L136" s="23"/>
    </row>
    <row r="137" spans="1:12" ht="17.25" x14ac:dyDescent="0.2">
      <c r="A137" s="18">
        <v>46235</v>
      </c>
      <c r="B137" s="19" t="str">
        <f>IF(A137="","",CHOOSE(WEEKDAY(A137),"日","月","火","水","木","金","土"))</f>
        <v>土</v>
      </c>
      <c r="C137" s="20" t="s">
        <v>115</v>
      </c>
      <c r="D137" s="21" t="s">
        <v>94</v>
      </c>
      <c r="E137" s="19" t="str">
        <f>IF(F137="","",IFERROR(INDEX(マスター!$F$5:$F$200,MATCH(F137,マスター!$E$5:$E$200,0)),"※マスター未登録"))</f>
        <v>木工事</v>
      </c>
      <c r="F137" s="20" t="s">
        <v>261</v>
      </c>
      <c r="G137" s="20" t="s">
        <v>166</v>
      </c>
      <c r="H137" s="22" t="s">
        <v>262</v>
      </c>
      <c r="I137" s="23">
        <v>1</v>
      </c>
      <c r="J137" s="23"/>
      <c r="K137" s="22" t="s">
        <v>263</v>
      </c>
      <c r="L137" s="23"/>
    </row>
    <row r="138" spans="1:12" ht="17.25" x14ac:dyDescent="0.2">
      <c r="A138" s="18">
        <v>46235</v>
      </c>
      <c r="B138" s="19" t="str">
        <f>IF(A138="","",CHOOSE(WEEKDAY(A138),"日","月","火","水","木","金","土"))</f>
        <v>土</v>
      </c>
      <c r="C138" s="20" t="s">
        <v>115</v>
      </c>
      <c r="D138" s="21" t="s">
        <v>94</v>
      </c>
      <c r="E138" s="19" t="str">
        <f>IF(F138="","",IFERROR(INDEX(マスター!$F$5:$F$200,MATCH(F138,マスター!$E$5:$E$200,0)),"※マスター未登録"))</f>
        <v>木工事</v>
      </c>
      <c r="F138" s="20" t="s">
        <v>261</v>
      </c>
      <c r="G138" s="20" t="s">
        <v>260</v>
      </c>
      <c r="H138" s="22" t="s">
        <v>262</v>
      </c>
      <c r="I138" s="23">
        <v>1</v>
      </c>
      <c r="J138" s="23"/>
      <c r="K138" s="22" t="s">
        <v>263</v>
      </c>
      <c r="L138" s="23"/>
    </row>
    <row r="139" spans="1:12" ht="17.25" x14ac:dyDescent="0.2">
      <c r="A139" s="18">
        <v>46235</v>
      </c>
      <c r="B139" s="19" t="str">
        <f>IF(A139="","",CHOOSE(WEEKDAY(A139),"日","月","火","水","木","金","土"))</f>
        <v>土</v>
      </c>
      <c r="C139" s="20" t="s">
        <v>115</v>
      </c>
      <c r="D139" s="21" t="s">
        <v>94</v>
      </c>
      <c r="E139" s="19" t="str">
        <f>IF(F139="","",IFERROR(INDEX(マスター!$F$5:$F$200,MATCH(F139,マスター!$E$5:$E$200,0)),"※マスター未登録"))</f>
        <v>木工事</v>
      </c>
      <c r="F139" s="20" t="s">
        <v>261</v>
      </c>
      <c r="G139" s="20" t="s">
        <v>121</v>
      </c>
      <c r="H139" s="22" t="s">
        <v>262</v>
      </c>
      <c r="I139" s="23">
        <v>1</v>
      </c>
      <c r="J139" s="23"/>
      <c r="K139" s="22" t="s">
        <v>263</v>
      </c>
      <c r="L139" s="23"/>
    </row>
    <row r="140" spans="1:12" x14ac:dyDescent="0.2">
      <c r="A140" s="18">
        <v>46235</v>
      </c>
      <c r="B140" s="19" t="str">
        <f>IF(A140="","",CHOOSE(WEEKDAY(A140),"日","月","火","水","木","金","土"))</f>
        <v>土</v>
      </c>
      <c r="C140" s="20" t="s">
        <v>115</v>
      </c>
      <c r="D140" s="24" t="s">
        <v>96</v>
      </c>
      <c r="E140" s="19" t="str">
        <f>IF(F140="","",IFERROR(INDEX(マスター!$F$5:$F$200,MATCH(F140,マスター!$E$5:$E$200,0)),"※マスター未登録"))</f>
        <v>電気設備工事</v>
      </c>
      <c r="F140" s="20" t="s">
        <v>252</v>
      </c>
      <c r="G140" s="20" t="s">
        <v>253</v>
      </c>
      <c r="H140" s="22" t="s">
        <v>264</v>
      </c>
      <c r="I140" s="23">
        <v>3</v>
      </c>
      <c r="J140" s="23"/>
      <c r="K140" s="22"/>
      <c r="L140" s="23"/>
    </row>
    <row r="141" spans="1:12" ht="17.25" x14ac:dyDescent="0.2">
      <c r="A141" s="18">
        <v>46236</v>
      </c>
      <c r="B141" s="19" t="str">
        <f>IF(A141="","",CHOOSE(WEEKDAY(A141),"日","月","火","水","木","金","土"))</f>
        <v>日</v>
      </c>
      <c r="C141" s="20" t="s">
        <v>115</v>
      </c>
      <c r="D141" s="21" t="s">
        <v>94</v>
      </c>
      <c r="E141" s="19" t="str">
        <f>IF(F141="","",IFERROR(INDEX(マスター!$F$5:$F$200,MATCH(F141,マスター!$E$5:$E$200,0)),"※マスター未登録"))</f>
        <v>木工事</v>
      </c>
      <c r="F141" s="20" t="s">
        <v>261</v>
      </c>
      <c r="G141" s="20" t="s">
        <v>166</v>
      </c>
      <c r="H141" s="22" t="s">
        <v>265</v>
      </c>
      <c r="I141" s="23">
        <v>1</v>
      </c>
      <c r="J141" s="23"/>
      <c r="K141" s="22"/>
      <c r="L141" s="23"/>
    </row>
    <row r="142" spans="1:12" ht="17.25" x14ac:dyDescent="0.2">
      <c r="A142" s="18">
        <v>46237</v>
      </c>
      <c r="B142" s="19" t="str">
        <f>IF(A142="","",CHOOSE(WEEKDAY(A142),"日","月","火","水","木","金","土"))</f>
        <v>月</v>
      </c>
      <c r="C142" s="20" t="s">
        <v>115</v>
      </c>
      <c r="D142" s="21" t="s">
        <v>94</v>
      </c>
      <c r="E142" s="19" t="str">
        <f>IF(F142="","",IFERROR(INDEX(マスター!$F$5:$F$200,MATCH(F142,マスター!$E$5:$E$200,0)),"※マスター未登録"))</f>
        <v>木工事</v>
      </c>
      <c r="F142" s="20" t="s">
        <v>261</v>
      </c>
      <c r="G142" s="20" t="s">
        <v>117</v>
      </c>
      <c r="H142" s="22" t="s">
        <v>266</v>
      </c>
      <c r="I142" s="23">
        <v>1</v>
      </c>
      <c r="J142" s="23"/>
      <c r="K142" s="22"/>
      <c r="L142" s="23"/>
    </row>
    <row r="143" spans="1:12" ht="17.25" x14ac:dyDescent="0.2">
      <c r="A143" s="18">
        <v>46237</v>
      </c>
      <c r="B143" s="19" t="str">
        <f>IF(A143="","",CHOOSE(WEEKDAY(A143),"日","月","火","水","木","金","土"))</f>
        <v>月</v>
      </c>
      <c r="C143" s="20" t="s">
        <v>115</v>
      </c>
      <c r="D143" s="21" t="s">
        <v>94</v>
      </c>
      <c r="E143" s="19" t="str">
        <f>IF(F143="","",IFERROR(INDEX(マスター!$F$5:$F$200,MATCH(F143,マスター!$E$5:$E$200,0)),"※マスター未登録"))</f>
        <v>木工事</v>
      </c>
      <c r="F143" s="20" t="s">
        <v>261</v>
      </c>
      <c r="G143" s="20" t="s">
        <v>166</v>
      </c>
      <c r="H143" s="22" t="s">
        <v>266</v>
      </c>
      <c r="I143" s="23">
        <v>1</v>
      </c>
      <c r="J143" s="23"/>
      <c r="K143" s="22"/>
      <c r="L143" s="23"/>
    </row>
    <row r="144" spans="1:12" ht="17.25" x14ac:dyDescent="0.2">
      <c r="A144" s="18">
        <v>46237</v>
      </c>
      <c r="B144" s="19" t="str">
        <f>IF(A144="","",CHOOSE(WEEKDAY(A144),"日","月","火","水","木","金","土"))</f>
        <v>月</v>
      </c>
      <c r="C144" s="20" t="s">
        <v>115</v>
      </c>
      <c r="D144" s="21" t="s">
        <v>94</v>
      </c>
      <c r="E144" s="19" t="str">
        <f>IF(F144="","",IFERROR(INDEX(マスター!$F$5:$F$200,MATCH(F144,マスター!$E$5:$E$200,0)),"※マスター未登録"))</f>
        <v>木工事</v>
      </c>
      <c r="F144" s="20" t="s">
        <v>261</v>
      </c>
      <c r="G144" s="20" t="s">
        <v>260</v>
      </c>
      <c r="H144" s="22" t="s">
        <v>266</v>
      </c>
      <c r="I144" s="23">
        <v>1</v>
      </c>
      <c r="J144" s="23"/>
      <c r="K144" s="22"/>
      <c r="L144" s="23"/>
    </row>
    <row r="145" spans="1:12" ht="17.25" x14ac:dyDescent="0.2">
      <c r="A145" s="18">
        <v>46237</v>
      </c>
      <c r="B145" s="19" t="str">
        <f>IF(A145="","",CHOOSE(WEEKDAY(A145),"日","月","火","水","木","金","土"))</f>
        <v>月</v>
      </c>
      <c r="C145" s="20" t="s">
        <v>115</v>
      </c>
      <c r="D145" s="21" t="s">
        <v>94</v>
      </c>
      <c r="E145" s="19" t="str">
        <f>IF(F145="","",IFERROR(INDEX(マスター!$F$5:$F$200,MATCH(F145,マスター!$E$5:$E$200,0)),"※マスター未登録"))</f>
        <v>木工事</v>
      </c>
      <c r="F145" s="20" t="s">
        <v>261</v>
      </c>
      <c r="G145" s="20" t="s">
        <v>121</v>
      </c>
      <c r="H145" s="22" t="s">
        <v>266</v>
      </c>
      <c r="I145" s="23">
        <v>1</v>
      </c>
      <c r="J145" s="23"/>
      <c r="K145" s="22"/>
      <c r="L145" s="23"/>
    </row>
    <row r="146" spans="1:12" x14ac:dyDescent="0.2">
      <c r="A146" s="18">
        <v>46237</v>
      </c>
      <c r="B146" s="19" t="str">
        <f>IF(A146="","",CHOOSE(WEEKDAY(A146),"日","月","火","水","木","金","土"))</f>
        <v>月</v>
      </c>
      <c r="C146" s="20" t="s">
        <v>115</v>
      </c>
      <c r="D146" s="24" t="s">
        <v>96</v>
      </c>
      <c r="E146" s="19" t="str">
        <f>IF(F146="","",IFERROR(INDEX(マスター!$F$5:$F$200,MATCH(F146,マスター!$E$5:$E$200,0)),"※マスター未登録"))</f>
        <v>電気設備工事</v>
      </c>
      <c r="F146" s="20" t="s">
        <v>252</v>
      </c>
      <c r="G146" s="20" t="s">
        <v>253</v>
      </c>
      <c r="H146" s="22" t="s">
        <v>267</v>
      </c>
      <c r="I146" s="23">
        <v>2</v>
      </c>
      <c r="J146" s="23"/>
      <c r="K146" s="22"/>
      <c r="L146" s="23"/>
    </row>
    <row r="147" spans="1:12" x14ac:dyDescent="0.2">
      <c r="A147" s="18">
        <v>46237</v>
      </c>
      <c r="B147" s="19" t="str">
        <f>IF(A147="","",CHOOSE(WEEKDAY(A147),"日","月","火","水","木","金","土"))</f>
        <v>月</v>
      </c>
      <c r="C147" s="20" t="s">
        <v>115</v>
      </c>
      <c r="D147" s="24" t="s">
        <v>96</v>
      </c>
      <c r="E147" s="19" t="str">
        <f>IF(F147="","",IFERROR(INDEX(マスター!$F$5:$F$200,MATCH(F147,マスター!$E$5:$E$200,0)),"※マスター未登録"))</f>
        <v>屋根・外壁工事</v>
      </c>
      <c r="F147" s="20" t="s">
        <v>255</v>
      </c>
      <c r="G147" s="20" t="s">
        <v>256</v>
      </c>
      <c r="H147" s="22" t="s">
        <v>268</v>
      </c>
      <c r="I147" s="23">
        <v>2</v>
      </c>
      <c r="J147" s="23"/>
      <c r="K147" s="22"/>
      <c r="L147" s="23"/>
    </row>
    <row r="148" spans="1:12" ht="17.25" x14ac:dyDescent="0.2">
      <c r="A148" s="18">
        <v>46238</v>
      </c>
      <c r="B148" s="19" t="str">
        <f>IF(A148="","",CHOOSE(WEEKDAY(A148),"日","月","火","水","木","金","土"))</f>
        <v>火</v>
      </c>
      <c r="C148" s="20" t="s">
        <v>115</v>
      </c>
      <c r="D148" s="21" t="s">
        <v>94</v>
      </c>
      <c r="E148" s="19" t="str">
        <f>IF(F148="","",IFERROR(INDEX(マスター!$F$5:$F$200,MATCH(F148,マスター!$E$5:$E$200,0)),"※マスター未登録"))</f>
        <v>木工事</v>
      </c>
      <c r="F148" s="20" t="s">
        <v>261</v>
      </c>
      <c r="G148" s="20" t="s">
        <v>166</v>
      </c>
      <c r="H148" s="22" t="s">
        <v>266</v>
      </c>
      <c r="I148" s="23">
        <v>1</v>
      </c>
      <c r="J148" s="23"/>
      <c r="K148" s="22"/>
      <c r="L148" s="23"/>
    </row>
    <row r="149" spans="1:12" ht="17.25" x14ac:dyDescent="0.2">
      <c r="A149" s="18">
        <v>46238</v>
      </c>
      <c r="B149" s="19" t="str">
        <f>IF(A149="","",CHOOSE(WEEKDAY(A149),"日","月","火","水","木","金","土"))</f>
        <v>火</v>
      </c>
      <c r="C149" s="20" t="s">
        <v>115</v>
      </c>
      <c r="D149" s="21" t="s">
        <v>94</v>
      </c>
      <c r="E149" s="19" t="str">
        <f>IF(F149="","",IFERROR(INDEX(マスター!$F$5:$F$200,MATCH(F149,マスター!$E$5:$E$200,0)),"※マスター未登録"))</f>
        <v>木工事</v>
      </c>
      <c r="F149" s="20" t="s">
        <v>261</v>
      </c>
      <c r="G149" s="20" t="s">
        <v>117</v>
      </c>
      <c r="H149" s="22" t="s">
        <v>266</v>
      </c>
      <c r="I149" s="23">
        <v>1</v>
      </c>
      <c r="J149" s="23"/>
      <c r="K149" s="22"/>
      <c r="L149" s="23"/>
    </row>
    <row r="150" spans="1:12" ht="17.25" x14ac:dyDescent="0.2">
      <c r="A150" s="18">
        <v>46238</v>
      </c>
      <c r="B150" s="19" t="str">
        <f>IF(A150="","",CHOOSE(WEEKDAY(A150),"日","月","火","水","木","金","土"))</f>
        <v>火</v>
      </c>
      <c r="C150" s="20" t="s">
        <v>115</v>
      </c>
      <c r="D150" s="21" t="s">
        <v>94</v>
      </c>
      <c r="E150" s="19" t="str">
        <f>IF(F150="","",IFERROR(INDEX(マスター!$F$5:$F$200,MATCH(F150,マスター!$E$5:$E$200,0)),"※マスター未登録"))</f>
        <v>木工事</v>
      </c>
      <c r="F150" s="20" t="s">
        <v>261</v>
      </c>
      <c r="G150" s="20" t="s">
        <v>121</v>
      </c>
      <c r="H150" s="22" t="s">
        <v>266</v>
      </c>
      <c r="I150" s="23">
        <v>1</v>
      </c>
      <c r="J150" s="23"/>
      <c r="K150" s="22"/>
      <c r="L150" s="23"/>
    </row>
    <row r="151" spans="1:12" ht="17.25" x14ac:dyDescent="0.2">
      <c r="A151" s="18">
        <v>46238</v>
      </c>
      <c r="B151" s="19" t="str">
        <f>IF(A151="","",CHOOSE(WEEKDAY(A151),"日","月","火","水","木","金","土"))</f>
        <v>火</v>
      </c>
      <c r="C151" s="20" t="s">
        <v>115</v>
      </c>
      <c r="D151" s="21" t="s">
        <v>94</v>
      </c>
      <c r="E151" s="19" t="str">
        <f>IF(F151="","",IFERROR(INDEX(マスター!$F$5:$F$200,MATCH(F151,マスター!$E$5:$E$200,0)),"※マスター未登録"))</f>
        <v>木工事</v>
      </c>
      <c r="F151" s="20" t="s">
        <v>261</v>
      </c>
      <c r="G151" s="20" t="s">
        <v>260</v>
      </c>
      <c r="H151" s="22" t="s">
        <v>269</v>
      </c>
      <c r="I151" s="23">
        <v>1</v>
      </c>
      <c r="J151" s="23"/>
      <c r="K151" s="22" t="s">
        <v>270</v>
      </c>
      <c r="L151" s="23"/>
    </row>
    <row r="152" spans="1:12" ht="17.25" x14ac:dyDescent="0.2">
      <c r="A152" s="18">
        <v>46238</v>
      </c>
      <c r="B152" s="19" t="str">
        <f>IF(A152="","",CHOOSE(WEEKDAY(A152),"日","月","火","水","木","金","土"))</f>
        <v>火</v>
      </c>
      <c r="C152" s="20" t="s">
        <v>115</v>
      </c>
      <c r="D152" s="24" t="s">
        <v>96</v>
      </c>
      <c r="E152" s="19" t="str">
        <f>IF(F152="","",IFERROR(INDEX(マスター!$F$5:$F$200,MATCH(F152,マスター!$E$5:$E$200,0)),"※マスター未登録"))</f>
        <v>給排水設備工事</v>
      </c>
      <c r="F152" s="20" t="s">
        <v>271</v>
      </c>
      <c r="G152" s="20" t="s">
        <v>272</v>
      </c>
      <c r="H152" s="22" t="s">
        <v>273</v>
      </c>
      <c r="I152" s="23">
        <v>2</v>
      </c>
      <c r="J152" s="23"/>
      <c r="K152" s="22"/>
      <c r="L152" s="23"/>
    </row>
    <row r="153" spans="1:12" x14ac:dyDescent="0.2">
      <c r="A153" s="18">
        <v>46238</v>
      </c>
      <c r="B153" s="19" t="str">
        <f>IF(A153="","",CHOOSE(WEEKDAY(A153),"日","月","火","水","木","金","土"))</f>
        <v>火</v>
      </c>
      <c r="C153" s="20" t="s">
        <v>115</v>
      </c>
      <c r="D153" s="24" t="s">
        <v>96</v>
      </c>
      <c r="E153" s="19" t="str">
        <f>IF(F153="","",IFERROR(INDEX(マスター!$F$5:$F$200,MATCH(F153,マスター!$E$5:$E$200,0)),"※マスター未登録"))</f>
        <v>屋根・外壁工事</v>
      </c>
      <c r="F153" s="20" t="s">
        <v>274</v>
      </c>
      <c r="G153" s="20" t="s">
        <v>275</v>
      </c>
      <c r="H153" s="22" t="s">
        <v>276</v>
      </c>
      <c r="I153" s="23">
        <v>1</v>
      </c>
      <c r="J153" s="23"/>
      <c r="K153" s="22"/>
      <c r="L153" s="23"/>
    </row>
    <row r="154" spans="1:12" ht="17.25" x14ac:dyDescent="0.2">
      <c r="A154" s="18">
        <v>46239</v>
      </c>
      <c r="B154" s="19" t="str">
        <f>IF(A154="","",CHOOSE(WEEKDAY(A154),"日","月","火","水","木","金","土"))</f>
        <v>水</v>
      </c>
      <c r="C154" s="20" t="s">
        <v>115</v>
      </c>
      <c r="D154" s="21" t="s">
        <v>94</v>
      </c>
      <c r="E154" s="19" t="str">
        <f>IF(F154="","",IFERROR(INDEX(マスター!$F$5:$F$200,MATCH(F154,マスター!$E$5:$E$200,0)),"※マスター未登録"))</f>
        <v>木工事</v>
      </c>
      <c r="F154" s="20" t="s">
        <v>261</v>
      </c>
      <c r="G154" s="20" t="s">
        <v>166</v>
      </c>
      <c r="H154" s="22" t="s">
        <v>277</v>
      </c>
      <c r="I154" s="23">
        <v>1</v>
      </c>
      <c r="J154" s="23"/>
      <c r="K154" s="22"/>
      <c r="L154" s="23"/>
    </row>
    <row r="155" spans="1:12" ht="17.25" x14ac:dyDescent="0.2">
      <c r="A155" s="18">
        <v>46239</v>
      </c>
      <c r="B155" s="19" t="str">
        <f>IF(A155="","",CHOOSE(WEEKDAY(A155),"日","月","火","水","木","金","土"))</f>
        <v>水</v>
      </c>
      <c r="C155" s="20" t="s">
        <v>115</v>
      </c>
      <c r="D155" s="21" t="s">
        <v>94</v>
      </c>
      <c r="E155" s="19" t="str">
        <f>IF(F155="","",IFERROR(INDEX(マスター!$F$5:$F$200,MATCH(F155,マスター!$E$5:$E$200,0)),"※マスター未登録"))</f>
        <v>木工事</v>
      </c>
      <c r="F155" s="20" t="s">
        <v>261</v>
      </c>
      <c r="G155" s="20" t="s">
        <v>117</v>
      </c>
      <c r="H155" s="22" t="s">
        <v>277</v>
      </c>
      <c r="I155" s="23">
        <v>1</v>
      </c>
      <c r="J155" s="23"/>
      <c r="K155" s="22"/>
      <c r="L155" s="23"/>
    </row>
    <row r="156" spans="1:12" ht="17.25" x14ac:dyDescent="0.2">
      <c r="A156" s="18">
        <v>46239</v>
      </c>
      <c r="B156" s="19" t="str">
        <f>IF(A156="","",CHOOSE(WEEKDAY(A156),"日","月","火","水","木","金","土"))</f>
        <v>水</v>
      </c>
      <c r="C156" s="20" t="s">
        <v>115</v>
      </c>
      <c r="D156" s="21" t="s">
        <v>94</v>
      </c>
      <c r="E156" s="19" t="str">
        <f>IF(F156="","",IFERROR(INDEX(マスター!$F$5:$F$200,MATCH(F156,マスター!$E$5:$E$200,0)),"※マスター未登録"))</f>
        <v>木工事</v>
      </c>
      <c r="F156" s="20" t="s">
        <v>261</v>
      </c>
      <c r="G156" s="20" t="s">
        <v>121</v>
      </c>
      <c r="H156" s="22" t="s">
        <v>277</v>
      </c>
      <c r="I156" s="23">
        <v>1</v>
      </c>
      <c r="J156" s="23"/>
      <c r="K156" s="22"/>
      <c r="L156" s="23"/>
    </row>
    <row r="157" spans="1:12" ht="17.25" x14ac:dyDescent="0.2">
      <c r="A157" s="18">
        <v>46239</v>
      </c>
      <c r="B157" s="19" t="str">
        <f>IF(A157="","",CHOOSE(WEEKDAY(A157),"日","月","火","水","木","金","土"))</f>
        <v>水</v>
      </c>
      <c r="C157" s="20" t="s">
        <v>115</v>
      </c>
      <c r="D157" s="21" t="s">
        <v>94</v>
      </c>
      <c r="E157" s="19" t="str">
        <f>IF(F157="","",IFERROR(INDEX(マスター!$F$5:$F$200,MATCH(F157,マスター!$E$5:$E$200,0)),"※マスター未登録"))</f>
        <v>木工事</v>
      </c>
      <c r="F157" s="20" t="s">
        <v>261</v>
      </c>
      <c r="G157" s="20" t="s">
        <v>260</v>
      </c>
      <c r="H157" s="22" t="s">
        <v>269</v>
      </c>
      <c r="I157" s="23">
        <v>1</v>
      </c>
      <c r="J157" s="23"/>
      <c r="K157" s="22" t="s">
        <v>270</v>
      </c>
      <c r="L157" s="23"/>
    </row>
    <row r="158" spans="1:12" x14ac:dyDescent="0.2">
      <c r="A158" s="18">
        <v>46239</v>
      </c>
      <c r="B158" s="19" t="str">
        <f>IF(A158="","",CHOOSE(WEEKDAY(A158),"日","月","火","水","木","金","土"))</f>
        <v>水</v>
      </c>
      <c r="C158" s="20" t="s">
        <v>115</v>
      </c>
      <c r="D158" s="24" t="s">
        <v>96</v>
      </c>
      <c r="E158" s="19" t="str">
        <f>IF(F158="","",IFERROR(INDEX(マスター!$F$5:$F$200,MATCH(F158,マスター!$E$5:$E$200,0)),"※マスター未登録"))</f>
        <v>屋根・外壁工事</v>
      </c>
      <c r="F158" s="20" t="s">
        <v>274</v>
      </c>
      <c r="G158" s="20" t="s">
        <v>275</v>
      </c>
      <c r="H158" s="22" t="s">
        <v>276</v>
      </c>
      <c r="I158" s="23">
        <v>1</v>
      </c>
      <c r="J158" s="23"/>
      <c r="K158" s="22"/>
      <c r="L158" s="23"/>
    </row>
    <row r="159" spans="1:12" x14ac:dyDescent="0.2">
      <c r="A159" s="18">
        <v>46240</v>
      </c>
      <c r="B159" s="19" t="str">
        <f>IF(A159="","",CHOOSE(WEEKDAY(A159),"日","月","火","水","木","金","土"))</f>
        <v>木</v>
      </c>
      <c r="C159" s="20" t="s">
        <v>115</v>
      </c>
      <c r="D159" s="21" t="s">
        <v>94</v>
      </c>
      <c r="E159" s="19" t="str">
        <f>IF(F159="","",IFERROR(INDEX(マスター!$F$5:$F$200,MATCH(F159,マスター!$E$5:$E$200,0)),"※マスター未登録"))</f>
        <v>木工事</v>
      </c>
      <c r="F159" s="20" t="s">
        <v>261</v>
      </c>
      <c r="G159" s="20" t="s">
        <v>117</v>
      </c>
      <c r="H159" s="22" t="s">
        <v>278</v>
      </c>
      <c r="I159" s="23">
        <v>1</v>
      </c>
      <c r="J159" s="23"/>
      <c r="K159" s="22" t="s">
        <v>279</v>
      </c>
      <c r="L159" s="23"/>
    </row>
    <row r="160" spans="1:12" x14ac:dyDescent="0.2">
      <c r="A160" s="18">
        <v>46240</v>
      </c>
      <c r="B160" s="19" t="str">
        <f>IF(A160="","",CHOOSE(WEEKDAY(A160),"日","月","火","水","木","金","土"))</f>
        <v>木</v>
      </c>
      <c r="C160" s="20" t="s">
        <v>115</v>
      </c>
      <c r="D160" s="21" t="s">
        <v>94</v>
      </c>
      <c r="E160" s="19" t="str">
        <f>IF(F160="","",IFERROR(INDEX(マスター!$F$5:$F$200,MATCH(F160,マスター!$E$5:$E$200,0)),"※マスター未登録"))</f>
        <v>木工事</v>
      </c>
      <c r="F160" s="20" t="s">
        <v>261</v>
      </c>
      <c r="G160" s="20" t="s">
        <v>166</v>
      </c>
      <c r="H160" s="22" t="s">
        <v>278</v>
      </c>
      <c r="I160" s="23">
        <v>1</v>
      </c>
      <c r="J160" s="23"/>
      <c r="K160" s="22" t="s">
        <v>279</v>
      </c>
      <c r="L160" s="23"/>
    </row>
    <row r="161" spans="1:12" x14ac:dyDescent="0.2">
      <c r="A161" s="18">
        <v>46240</v>
      </c>
      <c r="B161" s="19" t="str">
        <f>IF(A161="","",CHOOSE(WEEKDAY(A161),"日","月","火","水","木","金","土"))</f>
        <v>木</v>
      </c>
      <c r="C161" s="20" t="s">
        <v>115</v>
      </c>
      <c r="D161" s="21" t="s">
        <v>94</v>
      </c>
      <c r="E161" s="19" t="str">
        <f>IF(F161="","",IFERROR(INDEX(マスター!$F$5:$F$200,MATCH(F161,マスター!$E$5:$E$200,0)),"※マスター未登録"))</f>
        <v>木工事</v>
      </c>
      <c r="F161" s="20" t="s">
        <v>261</v>
      </c>
      <c r="G161" s="20" t="s">
        <v>260</v>
      </c>
      <c r="H161" s="22" t="s">
        <v>278</v>
      </c>
      <c r="I161" s="23">
        <v>1</v>
      </c>
      <c r="J161" s="23"/>
      <c r="K161" s="22" t="s">
        <v>279</v>
      </c>
      <c r="L161" s="23"/>
    </row>
    <row r="162" spans="1:12" x14ac:dyDescent="0.2">
      <c r="A162" s="18">
        <v>46241</v>
      </c>
      <c r="B162" s="19" t="str">
        <f>IF(A162="","",CHOOSE(WEEKDAY(A162),"日","月","火","水","木","金","土"))</f>
        <v>金</v>
      </c>
      <c r="C162" s="20" t="s">
        <v>115</v>
      </c>
      <c r="D162" s="21" t="s">
        <v>94</v>
      </c>
      <c r="E162" s="19" t="str">
        <f>IF(F162="","",IFERROR(INDEX(マスター!$F$5:$F$200,MATCH(F162,マスター!$E$5:$E$200,0)),"※マスター未登録"))</f>
        <v>その他</v>
      </c>
      <c r="F162" s="20" t="s">
        <v>98</v>
      </c>
      <c r="G162" s="20"/>
      <c r="H162" s="22" t="s">
        <v>280</v>
      </c>
      <c r="I162" s="23"/>
      <c r="J162" s="23"/>
      <c r="K162" s="22"/>
      <c r="L162" s="23"/>
    </row>
    <row r="163" spans="1:12" x14ac:dyDescent="0.2">
      <c r="A163" s="18">
        <v>46242</v>
      </c>
      <c r="B163" s="19" t="str">
        <f>IF(A163="","",CHOOSE(WEEKDAY(A163),"日","月","火","水","木","金","土"))</f>
        <v>土</v>
      </c>
      <c r="C163" s="20" t="s">
        <v>115</v>
      </c>
      <c r="D163" s="21" t="s">
        <v>94</v>
      </c>
      <c r="E163" s="19" t="str">
        <f>IF(F163="","",IFERROR(INDEX(マスター!$F$5:$F$200,MATCH(F163,マスター!$E$5:$E$200,0)),"※マスター未登録"))</f>
        <v>木工事</v>
      </c>
      <c r="F163" s="20" t="s">
        <v>261</v>
      </c>
      <c r="G163" s="20" t="s">
        <v>166</v>
      </c>
      <c r="H163" s="22" t="s">
        <v>281</v>
      </c>
      <c r="I163" s="23">
        <v>1</v>
      </c>
      <c r="J163" s="23"/>
      <c r="K163" s="22"/>
      <c r="L163" s="20" t="s">
        <v>282</v>
      </c>
    </row>
    <row r="164" spans="1:12" x14ac:dyDescent="0.2">
      <c r="A164" s="18">
        <v>46243</v>
      </c>
      <c r="B164" s="19" t="str">
        <f>IF(A164="","",CHOOSE(WEEKDAY(A164),"日","月","火","水","木","金","土"))</f>
        <v>日</v>
      </c>
      <c r="C164" s="20" t="s">
        <v>115</v>
      </c>
      <c r="D164" s="21" t="s">
        <v>94</v>
      </c>
      <c r="E164" s="19" t="str">
        <f>IF(F164="","",IFERROR(INDEX(マスター!$F$5:$F$200,MATCH(F164,マスター!$E$5:$E$200,0)),"※マスター未登録"))</f>
        <v>木工事</v>
      </c>
      <c r="F164" s="20" t="s">
        <v>283</v>
      </c>
      <c r="G164" s="20" t="s">
        <v>117</v>
      </c>
      <c r="H164" s="22" t="s">
        <v>284</v>
      </c>
      <c r="I164" s="23">
        <v>1</v>
      </c>
      <c r="J164" s="23"/>
      <c r="K164" s="22"/>
      <c r="L164" s="23"/>
    </row>
    <row r="165" spans="1:12" x14ac:dyDescent="0.2">
      <c r="A165" s="18">
        <v>46243</v>
      </c>
      <c r="B165" s="19" t="str">
        <f>IF(A165="","",CHOOSE(WEEKDAY(A165),"日","月","火","水","木","金","土"))</f>
        <v>日</v>
      </c>
      <c r="C165" s="20" t="s">
        <v>115</v>
      </c>
      <c r="D165" s="21" t="s">
        <v>94</v>
      </c>
      <c r="E165" s="19" t="str">
        <f>IF(F165="","",IFERROR(INDEX(マスター!$F$5:$F$200,MATCH(F165,マスター!$E$5:$E$200,0)),"※マスター未登録"))</f>
        <v>木工事</v>
      </c>
      <c r="F165" s="20" t="s">
        <v>283</v>
      </c>
      <c r="G165" s="20" t="s">
        <v>166</v>
      </c>
      <c r="H165" s="22" t="s">
        <v>284</v>
      </c>
      <c r="I165" s="23">
        <v>1</v>
      </c>
      <c r="J165" s="23"/>
      <c r="K165" s="22"/>
      <c r="L165" s="23"/>
    </row>
    <row r="166" spans="1:12" x14ac:dyDescent="0.2">
      <c r="A166" s="18">
        <v>46243</v>
      </c>
      <c r="B166" s="19" t="str">
        <f>IF(A166="","",CHOOSE(WEEKDAY(A166),"日","月","火","水","木","金","土"))</f>
        <v>日</v>
      </c>
      <c r="C166" s="20" t="s">
        <v>115</v>
      </c>
      <c r="D166" s="21" t="s">
        <v>94</v>
      </c>
      <c r="E166" s="19" t="str">
        <f>IF(F166="","",IFERROR(INDEX(マスター!$F$5:$F$200,MATCH(F166,マスター!$E$5:$E$200,0)),"※マスター未登録"))</f>
        <v>木工事</v>
      </c>
      <c r="F166" s="20" t="s">
        <v>283</v>
      </c>
      <c r="G166" s="20" t="s">
        <v>196</v>
      </c>
      <c r="H166" s="22" t="s">
        <v>284</v>
      </c>
      <c r="I166" s="23">
        <v>1</v>
      </c>
      <c r="J166" s="23"/>
      <c r="K166" s="22"/>
      <c r="L166" s="23"/>
    </row>
    <row r="167" spans="1:12" x14ac:dyDescent="0.2">
      <c r="A167" s="18">
        <v>46243</v>
      </c>
      <c r="B167" s="19" t="str">
        <f>IF(A167="","",CHOOSE(WEEKDAY(A167),"日","月","火","水","木","金","土"))</f>
        <v>日</v>
      </c>
      <c r="C167" s="20" t="s">
        <v>115</v>
      </c>
      <c r="D167" s="21" t="s">
        <v>94</v>
      </c>
      <c r="E167" s="19" t="str">
        <f>IF(F167="","",IFERROR(INDEX(マスター!$F$5:$F$200,MATCH(F167,マスター!$E$5:$E$200,0)),"※マスター未登録"))</f>
        <v>木工事</v>
      </c>
      <c r="F167" s="20" t="s">
        <v>283</v>
      </c>
      <c r="G167" s="20" t="s">
        <v>285</v>
      </c>
      <c r="H167" s="22" t="s">
        <v>284</v>
      </c>
      <c r="I167" s="23">
        <v>1</v>
      </c>
      <c r="J167" s="23"/>
      <c r="K167" s="22"/>
      <c r="L167" s="23"/>
    </row>
    <row r="168" spans="1:12" x14ac:dyDescent="0.2">
      <c r="A168" s="18">
        <v>46244</v>
      </c>
      <c r="B168" s="19" t="str">
        <f>IF(A168="","",CHOOSE(WEEKDAY(A168),"日","月","火","水","木","金","土"))</f>
        <v>月</v>
      </c>
      <c r="C168" s="20" t="s">
        <v>115</v>
      </c>
      <c r="D168" s="21" t="s">
        <v>94</v>
      </c>
      <c r="E168" s="19" t="str">
        <f>IF(F168="","",IFERROR(INDEX(マスター!$F$5:$F$200,MATCH(F168,マスター!$E$5:$E$200,0)),"※マスター未登録"))</f>
        <v>木工事</v>
      </c>
      <c r="F168" s="20" t="s">
        <v>283</v>
      </c>
      <c r="G168" s="20" t="s">
        <v>117</v>
      </c>
      <c r="H168" s="22" t="s">
        <v>286</v>
      </c>
      <c r="I168" s="23">
        <v>1</v>
      </c>
      <c r="J168" s="23"/>
      <c r="K168" s="22" t="s">
        <v>279</v>
      </c>
      <c r="L168" s="23"/>
    </row>
    <row r="169" spans="1:12" x14ac:dyDescent="0.2">
      <c r="A169" s="18">
        <v>46244</v>
      </c>
      <c r="B169" s="19" t="str">
        <f>IF(A169="","",CHOOSE(WEEKDAY(A169),"日","月","火","水","木","金","土"))</f>
        <v>月</v>
      </c>
      <c r="C169" s="20" t="s">
        <v>115</v>
      </c>
      <c r="D169" s="21" t="s">
        <v>94</v>
      </c>
      <c r="E169" s="19" t="str">
        <f>IF(F169="","",IFERROR(INDEX(マスター!$F$5:$F$200,MATCH(F169,マスター!$E$5:$E$200,0)),"※マスター未登録"))</f>
        <v>木工事</v>
      </c>
      <c r="F169" s="20" t="s">
        <v>283</v>
      </c>
      <c r="G169" s="20" t="s">
        <v>260</v>
      </c>
      <c r="H169" s="22" t="s">
        <v>286</v>
      </c>
      <c r="I169" s="23">
        <v>1</v>
      </c>
      <c r="J169" s="23"/>
      <c r="K169" s="22" t="s">
        <v>279</v>
      </c>
      <c r="L169" s="23"/>
    </row>
    <row r="170" spans="1:12" ht="17.25" x14ac:dyDescent="0.2">
      <c r="A170" s="18">
        <v>46244</v>
      </c>
      <c r="B170" s="19" t="str">
        <f>IF(A170="","",CHOOSE(WEEKDAY(A170),"日","月","火","水","木","金","土"))</f>
        <v>月</v>
      </c>
      <c r="C170" s="20" t="s">
        <v>115</v>
      </c>
      <c r="D170" s="21" t="s">
        <v>94</v>
      </c>
      <c r="E170" s="19" t="str">
        <f>IF(F170="","",IFERROR(INDEX(マスター!$F$5:$F$200,MATCH(F170,マスター!$E$5:$E$200,0)),"※マスター未登録"))</f>
        <v>木工事</v>
      </c>
      <c r="F170" s="20" t="s">
        <v>283</v>
      </c>
      <c r="G170" s="20" t="s">
        <v>121</v>
      </c>
      <c r="H170" s="22" t="s">
        <v>287</v>
      </c>
      <c r="I170" s="23">
        <v>1</v>
      </c>
      <c r="J170" s="23"/>
      <c r="K170" s="22" t="s">
        <v>288</v>
      </c>
      <c r="L170" s="23"/>
    </row>
    <row r="171" spans="1:12" x14ac:dyDescent="0.2">
      <c r="A171" s="18">
        <v>46245</v>
      </c>
      <c r="B171" s="19" t="str">
        <f>IF(A171="","",CHOOSE(WEEKDAY(A171),"日","月","火","水","木","金","土"))</f>
        <v>火</v>
      </c>
      <c r="C171" s="20" t="s">
        <v>115</v>
      </c>
      <c r="D171" s="21" t="s">
        <v>94</v>
      </c>
      <c r="E171" s="19" t="str">
        <f>IF(F171="","",IFERROR(INDEX(マスター!$F$5:$F$200,MATCH(F171,マスター!$E$5:$E$200,0)),"※マスター未登録"))</f>
        <v>木工事</v>
      </c>
      <c r="F171" s="20" t="s">
        <v>283</v>
      </c>
      <c r="G171" s="20" t="s">
        <v>117</v>
      </c>
      <c r="H171" s="22" t="s">
        <v>289</v>
      </c>
      <c r="I171" s="23">
        <v>1</v>
      </c>
      <c r="J171" s="23"/>
      <c r="K171" s="22"/>
      <c r="L171" s="20" t="s">
        <v>290</v>
      </c>
    </row>
    <row r="172" spans="1:12" x14ac:dyDescent="0.2">
      <c r="A172" s="18">
        <v>46245</v>
      </c>
      <c r="B172" s="19" t="str">
        <f>IF(A172="","",CHOOSE(WEEKDAY(A172),"日","月","火","水","木","金","土"))</f>
        <v>火</v>
      </c>
      <c r="C172" s="20" t="s">
        <v>115</v>
      </c>
      <c r="D172" s="21" t="s">
        <v>94</v>
      </c>
      <c r="E172" s="19" t="str">
        <f>IF(F172="","",IFERROR(INDEX(マスター!$F$5:$F$200,MATCH(F172,マスター!$E$5:$E$200,0)),"※マスター未登録"))</f>
        <v>木工事</v>
      </c>
      <c r="F172" s="20" t="s">
        <v>283</v>
      </c>
      <c r="G172" s="20" t="s">
        <v>260</v>
      </c>
      <c r="H172" s="22" t="s">
        <v>289</v>
      </c>
      <c r="I172" s="23">
        <v>1</v>
      </c>
      <c r="J172" s="23"/>
      <c r="K172" s="22"/>
      <c r="L172" s="20" t="s">
        <v>290</v>
      </c>
    </row>
    <row r="173" spans="1:12" ht="17.25" x14ac:dyDescent="0.2">
      <c r="A173" s="18">
        <v>46245</v>
      </c>
      <c r="B173" s="19" t="str">
        <f>IF(A173="","",CHOOSE(WEEKDAY(A173),"日","月","火","水","木","金","土"))</f>
        <v>火</v>
      </c>
      <c r="C173" s="20" t="s">
        <v>115</v>
      </c>
      <c r="D173" s="21" t="s">
        <v>94</v>
      </c>
      <c r="E173" s="19" t="str">
        <f>IF(F173="","",IFERROR(INDEX(マスター!$F$5:$F$200,MATCH(F173,マスター!$E$5:$E$200,0)),"※マスター未登録"))</f>
        <v>木工事</v>
      </c>
      <c r="F173" s="20" t="s">
        <v>283</v>
      </c>
      <c r="G173" s="20" t="s">
        <v>121</v>
      </c>
      <c r="H173" s="22" t="s">
        <v>291</v>
      </c>
      <c r="I173" s="23">
        <v>1</v>
      </c>
      <c r="J173" s="23"/>
      <c r="K173" s="22" t="s">
        <v>288</v>
      </c>
      <c r="L173" s="23"/>
    </row>
    <row r="174" spans="1:12" ht="17.25" x14ac:dyDescent="0.2">
      <c r="A174" s="18">
        <v>46245</v>
      </c>
      <c r="B174" s="19" t="str">
        <f>IF(A174="","",CHOOSE(WEEKDAY(A174),"日","月","火","水","木","金","土"))</f>
        <v>火</v>
      </c>
      <c r="C174" s="20" t="s">
        <v>115</v>
      </c>
      <c r="D174" s="21" t="s">
        <v>94</v>
      </c>
      <c r="E174" s="19" t="str">
        <f>IF(F174="","",IFERROR(INDEX(マスター!$F$5:$F$200,MATCH(F174,マスター!$E$5:$E$200,0)),"※マスター未登録"))</f>
        <v>木工事</v>
      </c>
      <c r="F174" s="20" t="s">
        <v>283</v>
      </c>
      <c r="G174" s="20" t="s">
        <v>166</v>
      </c>
      <c r="H174" s="22" t="s">
        <v>292</v>
      </c>
      <c r="I174" s="23">
        <v>1</v>
      </c>
      <c r="J174" s="23"/>
      <c r="K174" s="22" t="s">
        <v>293</v>
      </c>
      <c r="L174" s="23"/>
    </row>
    <row r="175" spans="1:12" x14ac:dyDescent="0.2">
      <c r="A175" s="18">
        <v>46246</v>
      </c>
      <c r="B175" s="19" t="str">
        <f>IF(A175="","",CHOOSE(WEEKDAY(A175),"日","月","火","水","木","金","土"))</f>
        <v>水</v>
      </c>
      <c r="C175" s="20" t="s">
        <v>115</v>
      </c>
      <c r="D175" s="21" t="s">
        <v>94</v>
      </c>
      <c r="E175" s="19" t="str">
        <f>IF(F175="","",IFERROR(INDEX(マスター!$F$5:$F$200,MATCH(F175,マスター!$E$5:$E$200,0)),"※マスター未登録"))</f>
        <v>木工事</v>
      </c>
      <c r="F175" s="20" t="s">
        <v>283</v>
      </c>
      <c r="G175" s="20" t="s">
        <v>117</v>
      </c>
      <c r="H175" s="22" t="s">
        <v>294</v>
      </c>
      <c r="I175" s="23">
        <v>1</v>
      </c>
      <c r="J175" s="23"/>
      <c r="K175" s="22"/>
      <c r="L175" s="20" t="s">
        <v>295</v>
      </c>
    </row>
    <row r="176" spans="1:12" x14ac:dyDescent="0.2">
      <c r="A176" s="18">
        <v>46246</v>
      </c>
      <c r="B176" s="19" t="str">
        <f>IF(A176="","",CHOOSE(WEEKDAY(A176),"日","月","火","水","木","金","土"))</f>
        <v>水</v>
      </c>
      <c r="C176" s="20" t="s">
        <v>115</v>
      </c>
      <c r="D176" s="21" t="s">
        <v>94</v>
      </c>
      <c r="E176" s="19" t="str">
        <f>IF(F176="","",IFERROR(INDEX(マスター!$F$5:$F$200,MATCH(F176,マスター!$E$5:$E$200,0)),"※マスター未登録"))</f>
        <v>木工事</v>
      </c>
      <c r="F176" s="20" t="s">
        <v>283</v>
      </c>
      <c r="G176" s="20" t="s">
        <v>260</v>
      </c>
      <c r="H176" s="22" t="s">
        <v>294</v>
      </c>
      <c r="I176" s="23">
        <v>1</v>
      </c>
      <c r="J176" s="23"/>
      <c r="K176" s="22"/>
      <c r="L176" s="20" t="s">
        <v>295</v>
      </c>
    </row>
    <row r="177" spans="1:12" x14ac:dyDescent="0.2">
      <c r="A177" s="18">
        <v>46246</v>
      </c>
      <c r="B177" s="19" t="str">
        <f>IF(A177="","",CHOOSE(WEEKDAY(A177),"日","月","火","水","木","金","土"))</f>
        <v>水</v>
      </c>
      <c r="C177" s="20" t="s">
        <v>115</v>
      </c>
      <c r="D177" s="21" t="s">
        <v>94</v>
      </c>
      <c r="E177" s="19" t="str">
        <f>IF(F177="","",IFERROR(INDEX(マスター!$F$5:$F$200,MATCH(F177,マスター!$E$5:$E$200,0)),"※マスター未登録"))</f>
        <v>木工事</v>
      </c>
      <c r="F177" s="20" t="s">
        <v>283</v>
      </c>
      <c r="G177" s="20" t="s">
        <v>166</v>
      </c>
      <c r="H177" s="22" t="s">
        <v>294</v>
      </c>
      <c r="I177" s="23">
        <v>1</v>
      </c>
      <c r="J177" s="23"/>
      <c r="K177" s="22"/>
      <c r="L177" s="20" t="s">
        <v>295</v>
      </c>
    </row>
    <row r="178" spans="1:12" x14ac:dyDescent="0.2">
      <c r="A178" s="18">
        <v>46246</v>
      </c>
      <c r="B178" s="19" t="str">
        <f>IF(A178="","",CHOOSE(WEEKDAY(A178),"日","月","火","水","木","金","土"))</f>
        <v>水</v>
      </c>
      <c r="C178" s="20" t="s">
        <v>115</v>
      </c>
      <c r="D178" s="24" t="s">
        <v>96</v>
      </c>
      <c r="E178" s="19" t="str">
        <f>IF(F178="","",IFERROR(INDEX(マスター!$F$5:$F$200,MATCH(F178,マスター!$E$5:$E$200,0)),"※マスター未登録"))</f>
        <v>電気設備工事</v>
      </c>
      <c r="F178" s="20" t="s">
        <v>252</v>
      </c>
      <c r="G178" s="20" t="s">
        <v>253</v>
      </c>
      <c r="H178" s="22" t="s">
        <v>296</v>
      </c>
      <c r="I178" s="23">
        <v>2</v>
      </c>
      <c r="J178" s="23"/>
      <c r="K178" s="22"/>
      <c r="L178" s="23"/>
    </row>
    <row r="179" spans="1:12" x14ac:dyDescent="0.2">
      <c r="A179" s="18">
        <v>46246</v>
      </c>
      <c r="B179" s="19" t="str">
        <f>IF(A179="","",CHOOSE(WEEKDAY(A179),"日","月","火","水","木","金","土"))</f>
        <v>水</v>
      </c>
      <c r="C179" s="20" t="s">
        <v>115</v>
      </c>
      <c r="D179" s="24" t="s">
        <v>96</v>
      </c>
      <c r="E179" s="19" t="str">
        <f>IF(F179="","",IFERROR(INDEX(マスター!$F$5:$F$200,MATCH(F179,マスター!$E$5:$E$200,0)),"※マスター未登録"))</f>
        <v>屋根・外壁工事</v>
      </c>
      <c r="F179" s="20" t="s">
        <v>297</v>
      </c>
      <c r="G179" s="20" t="s">
        <v>298</v>
      </c>
      <c r="H179" s="22" t="s">
        <v>297</v>
      </c>
      <c r="I179" s="23">
        <v>2</v>
      </c>
      <c r="J179" s="23"/>
      <c r="K179" s="22"/>
      <c r="L179" s="23"/>
    </row>
    <row r="180" spans="1:12" x14ac:dyDescent="0.2">
      <c r="A180" s="18">
        <v>46247</v>
      </c>
      <c r="B180" s="19" t="str">
        <f>IF(A180="","",CHOOSE(WEEKDAY(A180),"日","月","火","水","木","金","土"))</f>
        <v>木</v>
      </c>
      <c r="C180" s="20" t="s">
        <v>115</v>
      </c>
      <c r="D180" s="21" t="s">
        <v>94</v>
      </c>
      <c r="E180" s="19" t="str">
        <f>IF(F180="","",IFERROR(INDEX(マスター!$F$5:$F$200,MATCH(F180,マスター!$E$5:$E$200,0)),"※マスター未登録"))</f>
        <v>木工事</v>
      </c>
      <c r="F180" s="20" t="s">
        <v>283</v>
      </c>
      <c r="G180" s="20" t="s">
        <v>166</v>
      </c>
      <c r="H180" s="22" t="s">
        <v>299</v>
      </c>
      <c r="I180" s="23">
        <v>1</v>
      </c>
      <c r="J180" s="23"/>
      <c r="K180" s="22" t="s">
        <v>279</v>
      </c>
      <c r="L180" s="23"/>
    </row>
    <row r="181" spans="1:12" x14ac:dyDescent="0.2">
      <c r="A181" s="18">
        <v>46247</v>
      </c>
      <c r="B181" s="19" t="str">
        <f>IF(A181="","",CHOOSE(WEEKDAY(A181),"日","月","火","水","木","金","土"))</f>
        <v>木</v>
      </c>
      <c r="C181" s="20" t="s">
        <v>115</v>
      </c>
      <c r="D181" s="21" t="s">
        <v>94</v>
      </c>
      <c r="E181" s="19" t="str">
        <f>IF(F181="","",IFERROR(INDEX(マスター!$F$5:$F$200,MATCH(F181,マスター!$E$5:$E$200,0)),"※マスター未登録"))</f>
        <v>木工事</v>
      </c>
      <c r="F181" s="20" t="s">
        <v>283</v>
      </c>
      <c r="G181" s="20" t="s">
        <v>260</v>
      </c>
      <c r="H181" s="22" t="s">
        <v>299</v>
      </c>
      <c r="I181" s="23">
        <v>1</v>
      </c>
      <c r="J181" s="23"/>
      <c r="K181" s="22" t="s">
        <v>279</v>
      </c>
      <c r="L181" s="23"/>
    </row>
    <row r="182" spans="1:12" ht="17.25" x14ac:dyDescent="0.2">
      <c r="A182" s="18">
        <v>46247</v>
      </c>
      <c r="B182" s="19" t="str">
        <f>IF(A182="","",CHOOSE(WEEKDAY(A182),"日","月","火","水","木","金","土"))</f>
        <v>木</v>
      </c>
      <c r="C182" s="20" t="s">
        <v>115</v>
      </c>
      <c r="D182" s="21" t="s">
        <v>94</v>
      </c>
      <c r="E182" s="19" t="str">
        <f>IF(F182="","",IFERROR(INDEX(マスター!$F$5:$F$200,MATCH(F182,マスター!$E$5:$E$200,0)),"※マスター未登録"))</f>
        <v>木工事</v>
      </c>
      <c r="F182" s="20" t="s">
        <v>283</v>
      </c>
      <c r="G182" s="20" t="s">
        <v>117</v>
      </c>
      <c r="H182" s="22" t="s">
        <v>300</v>
      </c>
      <c r="I182" s="23">
        <v>1</v>
      </c>
      <c r="J182" s="23"/>
      <c r="K182" s="22" t="s">
        <v>270</v>
      </c>
      <c r="L182" s="23"/>
    </row>
    <row r="183" spans="1:12" x14ac:dyDescent="0.2">
      <c r="A183" s="18">
        <v>46247</v>
      </c>
      <c r="B183" s="19" t="str">
        <f>IF(A183="","",CHOOSE(WEEKDAY(A183),"日","月","火","水","木","金","土"))</f>
        <v>木</v>
      </c>
      <c r="C183" s="20" t="s">
        <v>115</v>
      </c>
      <c r="D183" s="24" t="s">
        <v>96</v>
      </c>
      <c r="E183" s="19" t="str">
        <f>IF(F183="","",IFERROR(INDEX(マスター!$F$5:$F$200,MATCH(F183,マスター!$E$5:$E$200,0)),"※マスター未登録"))</f>
        <v>屋根・外壁工事</v>
      </c>
      <c r="F183" s="20" t="s">
        <v>297</v>
      </c>
      <c r="G183" s="20" t="s">
        <v>298</v>
      </c>
      <c r="H183" s="22" t="s">
        <v>297</v>
      </c>
      <c r="I183" s="23">
        <v>2</v>
      </c>
      <c r="J183" s="23"/>
      <c r="K183" s="22"/>
      <c r="L183" s="23"/>
    </row>
    <row r="184" spans="1:12" x14ac:dyDescent="0.2">
      <c r="A184" s="18">
        <v>46248</v>
      </c>
      <c r="B184" s="19" t="str">
        <f>IF(A184="","",CHOOSE(WEEKDAY(A184),"日","月","火","水","木","金","土"))</f>
        <v>金</v>
      </c>
      <c r="C184" s="20" t="s">
        <v>115</v>
      </c>
      <c r="D184" s="21" t="s">
        <v>94</v>
      </c>
      <c r="E184" s="19" t="str">
        <f>IF(F184="","",IFERROR(INDEX(マスター!$F$5:$F$200,MATCH(F184,マスター!$E$5:$E$200,0)),"※マスター未登録"))</f>
        <v>木工事</v>
      </c>
      <c r="F184" s="20" t="s">
        <v>261</v>
      </c>
      <c r="G184" s="20" t="s">
        <v>117</v>
      </c>
      <c r="H184" s="22" t="s">
        <v>301</v>
      </c>
      <c r="I184" s="23">
        <v>1</v>
      </c>
      <c r="J184" s="23"/>
      <c r="K184" s="22"/>
      <c r="L184" s="23"/>
    </row>
    <row r="185" spans="1:12" x14ac:dyDescent="0.2">
      <c r="A185" s="18">
        <v>46248</v>
      </c>
      <c r="B185" s="19" t="str">
        <f>IF(A185="","",CHOOSE(WEEKDAY(A185),"日","月","火","水","木","金","土"))</f>
        <v>金</v>
      </c>
      <c r="C185" s="20" t="s">
        <v>115</v>
      </c>
      <c r="D185" s="21" t="s">
        <v>94</v>
      </c>
      <c r="E185" s="19" t="str">
        <f>IF(F185="","",IFERROR(INDEX(マスター!$F$5:$F$200,MATCH(F185,マスター!$E$5:$E$200,0)),"※マスター未登録"))</f>
        <v>木工事</v>
      </c>
      <c r="F185" s="20" t="s">
        <v>261</v>
      </c>
      <c r="G185" s="20" t="s">
        <v>260</v>
      </c>
      <c r="H185" s="22" t="s">
        <v>301</v>
      </c>
      <c r="I185" s="23">
        <v>1</v>
      </c>
      <c r="J185" s="23"/>
      <c r="K185" s="22"/>
      <c r="L185" s="23"/>
    </row>
    <row r="186" spans="1:12" x14ac:dyDescent="0.2">
      <c r="A186" s="18">
        <v>46248</v>
      </c>
      <c r="B186" s="19" t="str">
        <f>IF(A186="","",CHOOSE(WEEKDAY(A186),"日","月","火","水","木","金","土"))</f>
        <v>金</v>
      </c>
      <c r="C186" s="20" t="s">
        <v>115</v>
      </c>
      <c r="D186" s="21" t="s">
        <v>94</v>
      </c>
      <c r="E186" s="19" t="str">
        <f>IF(F186="","",IFERROR(INDEX(マスター!$F$5:$F$200,MATCH(F186,マスター!$E$5:$E$200,0)),"※マスター未登録"))</f>
        <v>木工事</v>
      </c>
      <c r="F186" s="20" t="s">
        <v>261</v>
      </c>
      <c r="G186" s="20" t="s">
        <v>166</v>
      </c>
      <c r="H186" s="22" t="s">
        <v>301</v>
      </c>
      <c r="I186" s="23">
        <v>1</v>
      </c>
      <c r="J186" s="23"/>
      <c r="K186" s="22"/>
      <c r="L186" s="23"/>
    </row>
    <row r="187" spans="1:12" x14ac:dyDescent="0.2">
      <c r="A187" s="18">
        <v>46249</v>
      </c>
      <c r="B187" s="19" t="str">
        <f>IF(A187="","",CHOOSE(WEEKDAY(A187),"日","月","火","水","木","金","土"))</f>
        <v>土</v>
      </c>
      <c r="C187" s="20" t="s">
        <v>115</v>
      </c>
      <c r="D187" s="21" t="s">
        <v>94</v>
      </c>
      <c r="E187" s="19" t="str">
        <f>IF(F187="","",IFERROR(INDEX(マスター!$F$5:$F$200,MATCH(F187,マスター!$E$5:$E$200,0)),"※マスター未登録"))</f>
        <v>木工事</v>
      </c>
      <c r="F187" s="20" t="s">
        <v>261</v>
      </c>
      <c r="G187" s="20" t="s">
        <v>117</v>
      </c>
      <c r="H187" s="22" t="s">
        <v>302</v>
      </c>
      <c r="I187" s="23">
        <v>1</v>
      </c>
      <c r="J187" s="23"/>
      <c r="K187" s="22"/>
      <c r="L187" s="23"/>
    </row>
    <row r="188" spans="1:12" x14ac:dyDescent="0.2">
      <c r="A188" s="18">
        <v>46249</v>
      </c>
      <c r="B188" s="19" t="str">
        <f>IF(A188="","",CHOOSE(WEEKDAY(A188),"日","月","火","水","木","金","土"))</f>
        <v>土</v>
      </c>
      <c r="C188" s="20" t="s">
        <v>115</v>
      </c>
      <c r="D188" s="21" t="s">
        <v>94</v>
      </c>
      <c r="E188" s="19" t="str">
        <f>IF(F188="","",IFERROR(INDEX(マスター!$F$5:$F$200,MATCH(F188,マスター!$E$5:$E$200,0)),"※マスター未登録"))</f>
        <v>木工事</v>
      </c>
      <c r="F188" s="20" t="s">
        <v>261</v>
      </c>
      <c r="G188" s="20" t="s">
        <v>166</v>
      </c>
      <c r="H188" s="22" t="s">
        <v>302</v>
      </c>
      <c r="I188" s="23">
        <v>1</v>
      </c>
      <c r="J188" s="23"/>
      <c r="K188" s="22"/>
      <c r="L188" s="23"/>
    </row>
    <row r="189" spans="1:12" x14ac:dyDescent="0.2">
      <c r="A189" s="18">
        <v>46249</v>
      </c>
      <c r="B189" s="19" t="str">
        <f>IF(A189="","",CHOOSE(WEEKDAY(A189),"日","月","火","水","木","金","土"))</f>
        <v>土</v>
      </c>
      <c r="C189" s="20" t="s">
        <v>115</v>
      </c>
      <c r="D189" s="24" t="s">
        <v>96</v>
      </c>
      <c r="E189" s="19" t="str">
        <f>IF(F189="","",IFERROR(INDEX(マスター!$F$5:$F$200,MATCH(F189,マスター!$E$5:$E$200,0)),"※マスター未登録"))</f>
        <v>電気設備工事</v>
      </c>
      <c r="F189" s="20" t="s">
        <v>252</v>
      </c>
      <c r="G189" s="20" t="s">
        <v>253</v>
      </c>
      <c r="H189" s="22" t="s">
        <v>303</v>
      </c>
      <c r="I189" s="23">
        <v>2</v>
      </c>
      <c r="J189" s="23"/>
      <c r="K189" s="22"/>
      <c r="L189" s="23"/>
    </row>
    <row r="190" spans="1:12" ht="21.75" x14ac:dyDescent="0.2">
      <c r="A190" s="18">
        <v>46251</v>
      </c>
      <c r="B190" s="19" t="str">
        <f>IF(A190="","",CHOOSE(WEEKDAY(A190),"日","月","火","水","木","金","土"))</f>
        <v>月</v>
      </c>
      <c r="C190" s="20" t="s">
        <v>115</v>
      </c>
      <c r="D190" s="21" t="s">
        <v>94</v>
      </c>
      <c r="E190" s="19" t="str">
        <f>IF(F190="","",IFERROR(INDEX(マスター!$F$5:$F$200,MATCH(F190,マスター!$E$5:$E$200,0)),"※マスター未登録"))</f>
        <v>その他</v>
      </c>
      <c r="F190" s="20" t="s">
        <v>98</v>
      </c>
      <c r="G190" s="20"/>
      <c r="H190" s="22" t="s">
        <v>304</v>
      </c>
      <c r="I190" s="23"/>
      <c r="J190" s="23"/>
      <c r="K190" s="22" t="s">
        <v>305</v>
      </c>
      <c r="L190" s="23"/>
    </row>
    <row r="191" spans="1:12" ht="17.25" x14ac:dyDescent="0.2">
      <c r="A191" s="18">
        <v>46251</v>
      </c>
      <c r="B191" s="19" t="str">
        <f>IF(A191="","",CHOOSE(WEEKDAY(A191),"日","月","火","水","木","金","土"))</f>
        <v>月</v>
      </c>
      <c r="C191" s="20" t="s">
        <v>115</v>
      </c>
      <c r="D191" s="24" t="s">
        <v>96</v>
      </c>
      <c r="E191" s="19" t="str">
        <f>IF(F191="","",IFERROR(INDEX(マスター!$F$5:$F$200,MATCH(F191,マスター!$E$5:$E$200,0)),"※マスター未登録"))</f>
        <v>内装仕上げ工事</v>
      </c>
      <c r="F191" s="20" t="s">
        <v>306</v>
      </c>
      <c r="G191" s="20" t="s">
        <v>307</v>
      </c>
      <c r="H191" s="22" t="s">
        <v>308</v>
      </c>
      <c r="I191" s="23">
        <v>2</v>
      </c>
      <c r="J191" s="23"/>
      <c r="K191" s="22" t="s">
        <v>309</v>
      </c>
      <c r="L191" s="23"/>
    </row>
    <row r="192" spans="1:12" x14ac:dyDescent="0.2">
      <c r="A192" s="18">
        <v>46252</v>
      </c>
      <c r="B192" s="19" t="str">
        <f>IF(A192="","",CHOOSE(WEEKDAY(A192),"日","月","火","水","木","金","土"))</f>
        <v>火</v>
      </c>
      <c r="C192" s="20" t="s">
        <v>115</v>
      </c>
      <c r="D192" s="21" t="s">
        <v>94</v>
      </c>
      <c r="E192" s="19" t="str">
        <f>IF(F192="","",IFERROR(INDEX(マスター!$F$5:$F$200,MATCH(F192,マスター!$E$5:$E$200,0)),"※マスター未登録"))</f>
        <v>外構工事</v>
      </c>
      <c r="F192" s="20" t="s">
        <v>310</v>
      </c>
      <c r="G192" s="20" t="s">
        <v>117</v>
      </c>
      <c r="H192" s="22" t="s">
        <v>311</v>
      </c>
      <c r="I192" s="23">
        <v>1</v>
      </c>
      <c r="J192" s="23"/>
      <c r="K192" s="22" t="s">
        <v>312</v>
      </c>
      <c r="L192" s="23"/>
    </row>
    <row r="193" spans="1:12" x14ac:dyDescent="0.2">
      <c r="A193" s="18">
        <v>46252</v>
      </c>
      <c r="B193" s="19" t="str">
        <f>IF(A193="","",CHOOSE(WEEKDAY(A193),"日","月","火","水","木","金","土"))</f>
        <v>火</v>
      </c>
      <c r="C193" s="20" t="s">
        <v>115</v>
      </c>
      <c r="D193" s="21" t="s">
        <v>94</v>
      </c>
      <c r="E193" s="19" t="str">
        <f>IF(F193="","",IFERROR(INDEX(マスター!$F$5:$F$200,MATCH(F193,マスター!$E$5:$E$200,0)),"※マスター未登録"))</f>
        <v>外構工事</v>
      </c>
      <c r="F193" s="20" t="s">
        <v>310</v>
      </c>
      <c r="G193" s="20" t="s">
        <v>260</v>
      </c>
      <c r="H193" s="22" t="s">
        <v>311</v>
      </c>
      <c r="I193" s="23">
        <v>1</v>
      </c>
      <c r="J193" s="23"/>
      <c r="K193" s="22" t="s">
        <v>312</v>
      </c>
      <c r="L193" s="23"/>
    </row>
    <row r="194" spans="1:12" x14ac:dyDescent="0.2">
      <c r="A194" s="18">
        <v>46252</v>
      </c>
      <c r="B194" s="19" t="str">
        <f>IF(A194="","",CHOOSE(WEEKDAY(A194),"日","月","火","水","木","金","土"))</f>
        <v>火</v>
      </c>
      <c r="C194" s="20" t="s">
        <v>115</v>
      </c>
      <c r="D194" s="24" t="s">
        <v>96</v>
      </c>
      <c r="E194" s="19" t="str">
        <f>IF(F194="","",IFERROR(INDEX(マスター!$F$5:$F$200,MATCH(F194,マスター!$E$5:$E$200,0)),"※マスター未登録"))</f>
        <v>内装仕上げ工事</v>
      </c>
      <c r="F194" s="20" t="s">
        <v>306</v>
      </c>
      <c r="G194" s="20" t="s">
        <v>307</v>
      </c>
      <c r="H194" s="22" t="s">
        <v>308</v>
      </c>
      <c r="I194" s="23">
        <v>1</v>
      </c>
      <c r="J194" s="23"/>
      <c r="K194" s="22"/>
      <c r="L194" s="23"/>
    </row>
    <row r="195" spans="1:12" x14ac:dyDescent="0.2">
      <c r="A195" s="18">
        <v>46253</v>
      </c>
      <c r="B195" s="19" t="str">
        <f>IF(A195="","",CHOOSE(WEEKDAY(A195),"日","月","火","水","木","金","土"))</f>
        <v>水</v>
      </c>
      <c r="C195" s="20" t="s">
        <v>115</v>
      </c>
      <c r="D195" s="21" t="s">
        <v>94</v>
      </c>
      <c r="E195" s="19" t="str">
        <f>IF(F195="","",IFERROR(INDEX(マスター!$F$5:$F$200,MATCH(F195,マスター!$E$5:$E$200,0)),"※マスター未登録"))</f>
        <v>外構工事</v>
      </c>
      <c r="F195" s="20" t="s">
        <v>310</v>
      </c>
      <c r="G195" s="20" t="s">
        <v>117</v>
      </c>
      <c r="H195" s="22" t="s">
        <v>313</v>
      </c>
      <c r="I195" s="23">
        <v>1</v>
      </c>
      <c r="J195" s="23"/>
      <c r="K195" s="22" t="s">
        <v>279</v>
      </c>
      <c r="L195" s="20" t="s">
        <v>314</v>
      </c>
    </row>
    <row r="196" spans="1:12" x14ac:dyDescent="0.2">
      <c r="A196" s="18">
        <v>46253</v>
      </c>
      <c r="B196" s="19" t="str">
        <f>IF(A196="","",CHOOSE(WEEKDAY(A196),"日","月","火","水","木","金","土"))</f>
        <v>水</v>
      </c>
      <c r="C196" s="20" t="s">
        <v>115</v>
      </c>
      <c r="D196" s="21" t="s">
        <v>94</v>
      </c>
      <c r="E196" s="19" t="str">
        <f>IF(F196="","",IFERROR(INDEX(マスター!$F$5:$F$200,MATCH(F196,マスター!$E$5:$E$200,0)),"※マスター未登録"))</f>
        <v>外構工事</v>
      </c>
      <c r="F196" s="20" t="s">
        <v>310</v>
      </c>
      <c r="G196" s="20" t="s">
        <v>260</v>
      </c>
      <c r="H196" s="22" t="s">
        <v>313</v>
      </c>
      <c r="I196" s="23">
        <v>1</v>
      </c>
      <c r="J196" s="23"/>
      <c r="K196" s="22" t="s">
        <v>279</v>
      </c>
      <c r="L196" s="20" t="s">
        <v>314</v>
      </c>
    </row>
    <row r="197" spans="1:12" x14ac:dyDescent="0.2">
      <c r="A197" s="18">
        <v>46253</v>
      </c>
      <c r="B197" s="19" t="str">
        <f>IF(A197="","",CHOOSE(WEEKDAY(A197),"日","月","火","水","木","金","土"))</f>
        <v>水</v>
      </c>
      <c r="C197" s="20" t="s">
        <v>115</v>
      </c>
      <c r="D197" s="24" t="s">
        <v>96</v>
      </c>
      <c r="E197" s="19" t="str">
        <f>IF(F197="","",IFERROR(INDEX(マスター!$F$5:$F$200,MATCH(F197,マスター!$E$5:$E$200,0)),"※マスター未登録"))</f>
        <v>内装仕上げ工事</v>
      </c>
      <c r="F197" s="20" t="s">
        <v>306</v>
      </c>
      <c r="G197" s="20" t="s">
        <v>307</v>
      </c>
      <c r="H197" s="22" t="s">
        <v>315</v>
      </c>
      <c r="I197" s="23">
        <v>2</v>
      </c>
      <c r="J197" s="23"/>
      <c r="K197" s="22"/>
      <c r="L197" s="23"/>
    </row>
    <row r="198" spans="1:12" x14ac:dyDescent="0.2">
      <c r="A198" s="18">
        <v>46254</v>
      </c>
      <c r="B198" s="19" t="str">
        <f>IF(A198="","",CHOOSE(WEEKDAY(A198),"日","月","火","水","木","金","土"))</f>
        <v>木</v>
      </c>
      <c r="C198" s="20" t="s">
        <v>115</v>
      </c>
      <c r="D198" s="21" t="s">
        <v>94</v>
      </c>
      <c r="E198" s="19" t="str">
        <f>IF(F198="","",IFERROR(INDEX(マスター!$F$5:$F$200,MATCH(F198,マスター!$E$5:$E$200,0)),"※マスター未登録"))</f>
        <v>内装仕上げ工事</v>
      </c>
      <c r="F198" s="20" t="s">
        <v>316</v>
      </c>
      <c r="G198" s="20" t="s">
        <v>117</v>
      </c>
      <c r="H198" s="22" t="s">
        <v>317</v>
      </c>
      <c r="I198" s="23">
        <v>1</v>
      </c>
      <c r="J198" s="23"/>
      <c r="K198" s="22"/>
      <c r="L198" s="23"/>
    </row>
    <row r="199" spans="1:12" x14ac:dyDescent="0.2">
      <c r="A199" s="18">
        <v>46254</v>
      </c>
      <c r="B199" s="19" t="str">
        <f>IF(A199="","",CHOOSE(WEEKDAY(A199),"日","月","火","水","木","金","土"))</f>
        <v>木</v>
      </c>
      <c r="C199" s="20" t="s">
        <v>115</v>
      </c>
      <c r="D199" s="21" t="s">
        <v>94</v>
      </c>
      <c r="E199" s="19" t="str">
        <f>IF(F199="","",IFERROR(INDEX(マスター!$F$5:$F$200,MATCH(F199,マスター!$E$5:$E$200,0)),"※マスター未登録"))</f>
        <v>内装仕上げ工事</v>
      </c>
      <c r="F199" s="20" t="s">
        <v>316</v>
      </c>
      <c r="G199" s="20" t="s">
        <v>260</v>
      </c>
      <c r="H199" s="22" t="s">
        <v>317</v>
      </c>
      <c r="I199" s="23">
        <v>1</v>
      </c>
      <c r="J199" s="23"/>
      <c r="K199" s="22"/>
      <c r="L199" s="23"/>
    </row>
    <row r="200" spans="1:12" ht="17.25" x14ac:dyDescent="0.2">
      <c r="A200" s="18">
        <v>46254</v>
      </c>
      <c r="B200" s="19" t="str">
        <f>IF(A200="","",CHOOSE(WEEKDAY(A200),"日","月","火","水","木","金","土"))</f>
        <v>木</v>
      </c>
      <c r="C200" s="20" t="s">
        <v>115</v>
      </c>
      <c r="D200" s="24" t="s">
        <v>96</v>
      </c>
      <c r="E200" s="19" t="str">
        <f>IF(F200="","",IFERROR(INDEX(マスター!$F$5:$F$200,MATCH(F200,マスター!$E$5:$E$200,0)),"※マスター未登録"))</f>
        <v>内装仕上げ工事</v>
      </c>
      <c r="F200" s="20" t="s">
        <v>306</v>
      </c>
      <c r="G200" s="20" t="s">
        <v>307</v>
      </c>
      <c r="H200" s="22" t="s">
        <v>318</v>
      </c>
      <c r="I200" s="23">
        <v>2</v>
      </c>
      <c r="J200" s="23"/>
      <c r="K200" s="22"/>
      <c r="L200" s="23"/>
    </row>
    <row r="201" spans="1:12" x14ac:dyDescent="0.2">
      <c r="A201" s="18">
        <v>46255</v>
      </c>
      <c r="B201" s="19" t="str">
        <f>IF(A201="","",CHOOSE(WEEKDAY(A201),"日","月","火","水","木","金","土"))</f>
        <v>金</v>
      </c>
      <c r="C201" s="20" t="s">
        <v>115</v>
      </c>
      <c r="D201" s="21" t="s">
        <v>94</v>
      </c>
      <c r="E201" s="19" t="str">
        <f>IF(F201="","",IFERROR(INDEX(マスター!$F$5:$F$200,MATCH(F201,マスター!$E$5:$E$200,0)),"※マスター未登録"))</f>
        <v>内装仕上げ工事</v>
      </c>
      <c r="F201" s="20" t="s">
        <v>316</v>
      </c>
      <c r="G201" s="20" t="s">
        <v>117</v>
      </c>
      <c r="H201" s="22" t="s">
        <v>319</v>
      </c>
      <c r="I201" s="23">
        <v>1</v>
      </c>
      <c r="J201" s="23"/>
      <c r="K201" s="22" t="s">
        <v>320</v>
      </c>
      <c r="L201" s="23"/>
    </row>
    <row r="202" spans="1:12" x14ac:dyDescent="0.2">
      <c r="A202" s="18">
        <v>46255</v>
      </c>
      <c r="B202" s="19" t="str">
        <f>IF(A202="","",CHOOSE(WEEKDAY(A202),"日","月","火","水","木","金","土"))</f>
        <v>金</v>
      </c>
      <c r="C202" s="20" t="s">
        <v>115</v>
      </c>
      <c r="D202" s="21" t="s">
        <v>94</v>
      </c>
      <c r="E202" s="19" t="str">
        <f>IF(F202="","",IFERROR(INDEX(マスター!$F$5:$F$200,MATCH(F202,マスター!$E$5:$E$200,0)),"※マスター未登録"))</f>
        <v>内装仕上げ工事</v>
      </c>
      <c r="F202" s="20" t="s">
        <v>316</v>
      </c>
      <c r="G202" s="20" t="s">
        <v>166</v>
      </c>
      <c r="H202" s="22" t="s">
        <v>319</v>
      </c>
      <c r="I202" s="23">
        <v>1</v>
      </c>
      <c r="J202" s="23"/>
      <c r="K202" s="22" t="s">
        <v>320</v>
      </c>
      <c r="L202" s="23"/>
    </row>
    <row r="203" spans="1:12" x14ac:dyDescent="0.2">
      <c r="A203" s="18">
        <v>46255</v>
      </c>
      <c r="B203" s="19" t="str">
        <f>IF(A203="","",CHOOSE(WEEKDAY(A203),"日","月","火","水","木","金","土"))</f>
        <v>金</v>
      </c>
      <c r="C203" s="20" t="s">
        <v>115</v>
      </c>
      <c r="D203" s="21" t="s">
        <v>94</v>
      </c>
      <c r="E203" s="19" t="str">
        <f>IF(F203="","",IFERROR(INDEX(マスター!$F$5:$F$200,MATCH(F203,マスター!$E$5:$E$200,0)),"※マスター未登録"))</f>
        <v>内装仕上げ工事</v>
      </c>
      <c r="F203" s="20" t="s">
        <v>316</v>
      </c>
      <c r="G203" s="20" t="s">
        <v>260</v>
      </c>
      <c r="H203" s="22" t="s">
        <v>319</v>
      </c>
      <c r="I203" s="23">
        <v>1</v>
      </c>
      <c r="J203" s="23"/>
      <c r="K203" s="22" t="s">
        <v>320</v>
      </c>
      <c r="L203" s="23"/>
    </row>
    <row r="204" spans="1:12" x14ac:dyDescent="0.2">
      <c r="A204" s="18">
        <v>46256</v>
      </c>
      <c r="B204" s="19" t="str">
        <f>IF(A204="","",CHOOSE(WEEKDAY(A204),"日","月","火","水","木","金","土"))</f>
        <v>土</v>
      </c>
      <c r="C204" s="20" t="s">
        <v>115</v>
      </c>
      <c r="D204" s="21" t="s">
        <v>94</v>
      </c>
      <c r="E204" s="19" t="str">
        <f>IF(F204="","",IFERROR(INDEX(マスター!$F$5:$F$200,MATCH(F204,マスター!$E$5:$E$200,0)),"※マスター未登録"))</f>
        <v>内装仕上げ工事</v>
      </c>
      <c r="F204" s="20" t="s">
        <v>316</v>
      </c>
      <c r="G204" s="20" t="s">
        <v>117</v>
      </c>
      <c r="H204" s="22" t="s">
        <v>319</v>
      </c>
      <c r="I204" s="23">
        <v>1</v>
      </c>
      <c r="J204" s="23"/>
      <c r="K204" s="22"/>
      <c r="L204" s="20" t="s">
        <v>321</v>
      </c>
    </row>
    <row r="205" spans="1:12" x14ac:dyDescent="0.2">
      <c r="A205" s="18">
        <v>46256</v>
      </c>
      <c r="B205" s="19" t="str">
        <f>IF(A205="","",CHOOSE(WEEKDAY(A205),"日","月","火","水","木","金","土"))</f>
        <v>土</v>
      </c>
      <c r="C205" s="20" t="s">
        <v>115</v>
      </c>
      <c r="D205" s="21" t="s">
        <v>94</v>
      </c>
      <c r="E205" s="19" t="str">
        <f>IF(F205="","",IFERROR(INDEX(マスター!$F$5:$F$200,MATCH(F205,マスター!$E$5:$E$200,0)),"※マスター未登録"))</f>
        <v>内装仕上げ工事</v>
      </c>
      <c r="F205" s="20" t="s">
        <v>316</v>
      </c>
      <c r="G205" s="20" t="s">
        <v>166</v>
      </c>
      <c r="H205" s="22" t="s">
        <v>319</v>
      </c>
      <c r="I205" s="23">
        <v>1</v>
      </c>
      <c r="J205" s="23"/>
      <c r="K205" s="22"/>
      <c r="L205" s="20" t="s">
        <v>321</v>
      </c>
    </row>
    <row r="206" spans="1:12" x14ac:dyDescent="0.2">
      <c r="A206" s="18">
        <v>46256</v>
      </c>
      <c r="B206" s="19" t="str">
        <f>IF(A206="","",CHOOSE(WEEKDAY(A206),"日","月","火","水","木","金","土"))</f>
        <v>土</v>
      </c>
      <c r="C206" s="20" t="s">
        <v>115</v>
      </c>
      <c r="D206" s="21" t="s">
        <v>94</v>
      </c>
      <c r="E206" s="19" t="str">
        <f>IF(F206="","",IFERROR(INDEX(マスター!$F$5:$F$200,MATCH(F206,マスター!$E$5:$E$200,0)),"※マスター未登録"))</f>
        <v>内装仕上げ工事</v>
      </c>
      <c r="F206" s="20" t="s">
        <v>316</v>
      </c>
      <c r="G206" s="20" t="s">
        <v>260</v>
      </c>
      <c r="H206" s="22" t="s">
        <v>319</v>
      </c>
      <c r="I206" s="23">
        <v>1</v>
      </c>
      <c r="J206" s="23"/>
      <c r="K206" s="22"/>
      <c r="L206" s="20" t="s">
        <v>321</v>
      </c>
    </row>
    <row r="207" spans="1:12" x14ac:dyDescent="0.2">
      <c r="A207" s="18">
        <v>46256</v>
      </c>
      <c r="B207" s="19" t="str">
        <f>IF(A207="","",CHOOSE(WEEKDAY(A207),"日","月","火","水","木","金","土"))</f>
        <v>土</v>
      </c>
      <c r="C207" s="20" t="s">
        <v>115</v>
      </c>
      <c r="D207" s="24" t="s">
        <v>96</v>
      </c>
      <c r="E207" s="19" t="str">
        <f>IF(F207="","",IFERROR(INDEX(マスター!$F$5:$F$200,MATCH(F207,マスター!$E$5:$E$200,0)),"※マスター未登録"))</f>
        <v>木工事</v>
      </c>
      <c r="F207" s="20" t="s">
        <v>322</v>
      </c>
      <c r="G207" s="20" t="s">
        <v>323</v>
      </c>
      <c r="H207" s="22" t="s">
        <v>324</v>
      </c>
      <c r="I207" s="23">
        <v>1</v>
      </c>
      <c r="J207" s="23"/>
      <c r="K207" s="22"/>
      <c r="L207" s="23"/>
    </row>
    <row r="208" spans="1:12" x14ac:dyDescent="0.2">
      <c r="A208" s="18">
        <v>46256</v>
      </c>
      <c r="B208" s="19" t="str">
        <f>IF(A208="","",CHOOSE(WEEKDAY(A208),"日","月","火","水","木","金","土"))</f>
        <v>土</v>
      </c>
      <c r="C208" s="20" t="s">
        <v>115</v>
      </c>
      <c r="D208" s="24" t="s">
        <v>96</v>
      </c>
      <c r="E208" s="19" t="str">
        <f>IF(F208="","",IFERROR(INDEX(マスター!$F$5:$F$200,MATCH(F208,マスター!$E$5:$E$200,0)),"※マスター未登録"))</f>
        <v>屋根・外壁工事</v>
      </c>
      <c r="F208" s="20" t="s">
        <v>325</v>
      </c>
      <c r="G208" s="20" t="s">
        <v>326</v>
      </c>
      <c r="H208" s="22" t="s">
        <v>327</v>
      </c>
      <c r="I208" s="23">
        <v>3</v>
      </c>
      <c r="J208" s="23"/>
      <c r="K208" s="22"/>
      <c r="L208" s="23"/>
    </row>
    <row r="209" spans="1:12" x14ac:dyDescent="0.2">
      <c r="A209" s="18">
        <v>46256</v>
      </c>
      <c r="B209" s="19" t="str">
        <f>IF(A209="","",CHOOSE(WEEKDAY(A209),"日","月","火","水","木","金","土"))</f>
        <v>土</v>
      </c>
      <c r="C209" s="20" t="s">
        <v>115</v>
      </c>
      <c r="D209" s="24" t="s">
        <v>96</v>
      </c>
      <c r="E209" s="19" t="str">
        <f>IF(F209="","",IFERROR(INDEX(マスター!$F$5:$F$200,MATCH(F209,マスター!$E$5:$E$200,0)),"※マスター未登録"))</f>
        <v>給排水設備工事</v>
      </c>
      <c r="F209" s="20" t="s">
        <v>328</v>
      </c>
      <c r="G209" s="20" t="s">
        <v>329</v>
      </c>
      <c r="H209" s="22" t="s">
        <v>330</v>
      </c>
      <c r="I209" s="23">
        <v>1</v>
      </c>
      <c r="J209" s="23"/>
      <c r="K209" s="22"/>
      <c r="L209" s="23"/>
    </row>
    <row r="210" spans="1:12" x14ac:dyDescent="0.2">
      <c r="A210" s="18">
        <v>46258</v>
      </c>
      <c r="B210" s="19" t="str">
        <f>IF(A210="","",CHOOSE(WEEKDAY(A210),"日","月","火","水","木","金","土"))</f>
        <v>月</v>
      </c>
      <c r="C210" s="20" t="s">
        <v>115</v>
      </c>
      <c r="D210" s="21" t="s">
        <v>94</v>
      </c>
      <c r="E210" s="19" t="str">
        <f>IF(F210="","",IFERROR(INDEX(マスター!$F$5:$F$200,MATCH(F210,マスター!$E$5:$E$200,0)),"※マスター未登録"))</f>
        <v>内装仕上げ工事</v>
      </c>
      <c r="F210" s="20" t="s">
        <v>316</v>
      </c>
      <c r="G210" s="20" t="s">
        <v>166</v>
      </c>
      <c r="H210" s="22" t="s">
        <v>220</v>
      </c>
      <c r="I210" s="23">
        <v>1</v>
      </c>
      <c r="J210" s="23"/>
      <c r="K210" s="22"/>
      <c r="L210" s="20" t="s">
        <v>331</v>
      </c>
    </row>
    <row r="211" spans="1:12" x14ac:dyDescent="0.2">
      <c r="A211" s="18">
        <v>46258</v>
      </c>
      <c r="B211" s="19" t="str">
        <f>IF(A211="","",CHOOSE(WEEKDAY(A211),"日","月","火","水","木","金","土"))</f>
        <v>月</v>
      </c>
      <c r="C211" s="20" t="s">
        <v>115</v>
      </c>
      <c r="D211" s="21" t="s">
        <v>94</v>
      </c>
      <c r="E211" s="19" t="str">
        <f>IF(F211="","",IFERROR(INDEX(マスター!$F$5:$F$200,MATCH(F211,マスター!$E$5:$E$200,0)),"※マスター未登録"))</f>
        <v>内装仕上げ工事</v>
      </c>
      <c r="F211" s="20" t="s">
        <v>316</v>
      </c>
      <c r="G211" s="20" t="s">
        <v>260</v>
      </c>
      <c r="H211" s="22" t="s">
        <v>220</v>
      </c>
      <c r="I211" s="23">
        <v>1</v>
      </c>
      <c r="J211" s="23"/>
      <c r="K211" s="22"/>
      <c r="L211" s="20" t="s">
        <v>331</v>
      </c>
    </row>
    <row r="212" spans="1:12" x14ac:dyDescent="0.2">
      <c r="A212" s="18">
        <v>46258</v>
      </c>
      <c r="B212" s="19" t="str">
        <f>IF(A212="","",CHOOSE(WEEKDAY(A212),"日","月","火","水","木","金","土"))</f>
        <v>月</v>
      </c>
      <c r="C212" s="20" t="s">
        <v>115</v>
      </c>
      <c r="D212" s="21" t="s">
        <v>94</v>
      </c>
      <c r="E212" s="19" t="str">
        <f>IF(F212="","",IFERROR(INDEX(マスター!$F$5:$F$200,MATCH(F212,マスター!$E$5:$E$200,0)),"※マスター未登録"))</f>
        <v>内装仕上げ工事</v>
      </c>
      <c r="F212" s="20" t="s">
        <v>316</v>
      </c>
      <c r="G212" s="20" t="s">
        <v>117</v>
      </c>
      <c r="H212" s="22" t="s">
        <v>220</v>
      </c>
      <c r="I212" s="23">
        <v>1</v>
      </c>
      <c r="J212" s="23"/>
      <c r="K212" s="22"/>
      <c r="L212" s="20" t="s">
        <v>331</v>
      </c>
    </row>
    <row r="213" spans="1:12" x14ac:dyDescent="0.2">
      <c r="A213" s="18">
        <v>46259</v>
      </c>
      <c r="B213" s="19" t="str">
        <f>IF(A213="","",CHOOSE(WEEKDAY(A213),"日","月","火","水","木","金","土"))</f>
        <v>火</v>
      </c>
      <c r="C213" s="20" t="s">
        <v>115</v>
      </c>
      <c r="D213" s="21" t="s">
        <v>94</v>
      </c>
      <c r="E213" s="19" t="str">
        <f>IF(F213="","",IFERROR(INDEX(マスター!$F$5:$F$200,MATCH(F213,マスター!$E$5:$E$200,0)),"※マスター未登録"))</f>
        <v>内装仕上げ工事</v>
      </c>
      <c r="F213" s="20" t="s">
        <v>316</v>
      </c>
      <c r="G213" s="20" t="s">
        <v>166</v>
      </c>
      <c r="H213" s="22" t="s">
        <v>220</v>
      </c>
      <c r="I213" s="23">
        <v>1</v>
      </c>
      <c r="J213" s="23"/>
      <c r="K213" s="22"/>
      <c r="L213" s="20" t="s">
        <v>332</v>
      </c>
    </row>
    <row r="214" spans="1:12" x14ac:dyDescent="0.2">
      <c r="A214" s="18">
        <v>46259</v>
      </c>
      <c r="B214" s="19" t="str">
        <f>IF(A214="","",CHOOSE(WEEKDAY(A214),"日","月","火","水","木","金","土"))</f>
        <v>火</v>
      </c>
      <c r="C214" s="20" t="s">
        <v>115</v>
      </c>
      <c r="D214" s="21" t="s">
        <v>94</v>
      </c>
      <c r="E214" s="19" t="str">
        <f>IF(F214="","",IFERROR(INDEX(マスター!$F$5:$F$200,MATCH(F214,マスター!$E$5:$E$200,0)),"※マスター未登録"))</f>
        <v>内装仕上げ工事</v>
      </c>
      <c r="F214" s="20" t="s">
        <v>316</v>
      </c>
      <c r="G214" s="20" t="s">
        <v>260</v>
      </c>
      <c r="H214" s="22" t="s">
        <v>220</v>
      </c>
      <c r="I214" s="23">
        <v>1</v>
      </c>
      <c r="J214" s="23"/>
      <c r="K214" s="22"/>
      <c r="L214" s="20" t="s">
        <v>332</v>
      </c>
    </row>
    <row r="215" spans="1:12" x14ac:dyDescent="0.2">
      <c r="A215" s="18">
        <v>46259</v>
      </c>
      <c r="B215" s="19" t="str">
        <f>IF(A215="","",CHOOSE(WEEKDAY(A215),"日","月","火","水","木","金","土"))</f>
        <v>火</v>
      </c>
      <c r="C215" s="20" t="s">
        <v>115</v>
      </c>
      <c r="D215" s="21" t="s">
        <v>94</v>
      </c>
      <c r="E215" s="19" t="str">
        <f>IF(F215="","",IFERROR(INDEX(マスター!$F$5:$F$200,MATCH(F215,マスター!$E$5:$E$200,0)),"※マスター未登録"))</f>
        <v>内装仕上げ工事</v>
      </c>
      <c r="F215" s="20" t="s">
        <v>316</v>
      </c>
      <c r="G215" s="20" t="s">
        <v>117</v>
      </c>
      <c r="H215" s="22" t="s">
        <v>220</v>
      </c>
      <c r="I215" s="23">
        <v>1</v>
      </c>
      <c r="J215" s="23"/>
      <c r="K215" s="22"/>
      <c r="L215" s="20" t="s">
        <v>332</v>
      </c>
    </row>
    <row r="216" spans="1:12" x14ac:dyDescent="0.2">
      <c r="A216" s="18">
        <v>46259</v>
      </c>
      <c r="B216" s="19" t="str">
        <f>IF(A216="","",CHOOSE(WEEKDAY(A216),"日","月","火","水","木","金","土"))</f>
        <v>火</v>
      </c>
      <c r="C216" s="20" t="s">
        <v>115</v>
      </c>
      <c r="D216" s="24" t="s">
        <v>96</v>
      </c>
      <c r="E216" s="19" t="str">
        <f>IF(F216="","",IFERROR(INDEX(マスター!$F$5:$F$200,MATCH(F216,マスター!$E$5:$E$200,0)),"※マスター未登録"))</f>
        <v>木工事</v>
      </c>
      <c r="F216" s="20" t="s">
        <v>322</v>
      </c>
      <c r="G216" s="20" t="s">
        <v>323</v>
      </c>
      <c r="H216" s="22" t="s">
        <v>333</v>
      </c>
      <c r="I216" s="23">
        <v>1</v>
      </c>
      <c r="J216" s="23"/>
      <c r="K216" s="22"/>
      <c r="L216" s="23"/>
    </row>
    <row r="217" spans="1:12" x14ac:dyDescent="0.2">
      <c r="A217" s="18">
        <v>46259</v>
      </c>
      <c r="B217" s="19" t="str">
        <f>IF(A217="","",CHOOSE(WEEKDAY(A217),"日","月","火","水","木","金","土"))</f>
        <v>火</v>
      </c>
      <c r="C217" s="20" t="s">
        <v>115</v>
      </c>
      <c r="D217" s="24" t="s">
        <v>96</v>
      </c>
      <c r="E217" s="19" t="str">
        <f>IF(F217="","",IFERROR(INDEX(マスター!$F$5:$F$200,MATCH(F217,マスター!$E$5:$E$200,0)),"※マスター未登録"))</f>
        <v>電気設備工事</v>
      </c>
      <c r="F217" s="20" t="s">
        <v>334</v>
      </c>
      <c r="G217" s="20" t="s">
        <v>253</v>
      </c>
      <c r="H217" s="22" t="s">
        <v>335</v>
      </c>
      <c r="I217" s="23">
        <v>2</v>
      </c>
      <c r="J217" s="23"/>
      <c r="K217" s="22"/>
      <c r="L217" s="23"/>
    </row>
    <row r="218" spans="1:12" x14ac:dyDescent="0.2">
      <c r="A218" s="18">
        <v>46260</v>
      </c>
      <c r="B218" s="19" t="str">
        <f>IF(A218="","",CHOOSE(WEEKDAY(A218),"日","月","火","水","木","金","土"))</f>
        <v>水</v>
      </c>
      <c r="C218" s="20" t="s">
        <v>115</v>
      </c>
      <c r="D218" s="21" t="s">
        <v>94</v>
      </c>
      <c r="E218" s="19" t="str">
        <f>IF(F218="","",IFERROR(INDEX(マスター!$F$5:$F$200,MATCH(F218,マスター!$E$5:$E$200,0)),"※マスター未登録"))</f>
        <v>内装仕上げ工事</v>
      </c>
      <c r="F218" s="20" t="s">
        <v>316</v>
      </c>
      <c r="G218" s="20" t="s">
        <v>166</v>
      </c>
      <c r="H218" s="22" t="s">
        <v>336</v>
      </c>
      <c r="I218" s="23">
        <v>1</v>
      </c>
      <c r="J218" s="23"/>
      <c r="K218" s="22"/>
      <c r="L218" s="20" t="s">
        <v>337</v>
      </c>
    </row>
    <row r="219" spans="1:12" x14ac:dyDescent="0.2">
      <c r="A219" s="18">
        <v>46260</v>
      </c>
      <c r="B219" s="19" t="str">
        <f>IF(A219="","",CHOOSE(WEEKDAY(A219),"日","月","火","水","木","金","土"))</f>
        <v>水</v>
      </c>
      <c r="C219" s="20" t="s">
        <v>115</v>
      </c>
      <c r="D219" s="21" t="s">
        <v>94</v>
      </c>
      <c r="E219" s="19" t="str">
        <f>IF(F219="","",IFERROR(INDEX(マスター!$F$5:$F$200,MATCH(F219,マスター!$E$5:$E$200,0)),"※マスター未登録"))</f>
        <v>内装仕上げ工事</v>
      </c>
      <c r="F219" s="20" t="s">
        <v>316</v>
      </c>
      <c r="G219" s="20" t="s">
        <v>260</v>
      </c>
      <c r="H219" s="22" t="s">
        <v>336</v>
      </c>
      <c r="I219" s="23">
        <v>1</v>
      </c>
      <c r="J219" s="23"/>
      <c r="K219" s="22"/>
      <c r="L219" s="20" t="s">
        <v>337</v>
      </c>
    </row>
    <row r="220" spans="1:12" x14ac:dyDescent="0.2">
      <c r="A220" s="18">
        <v>46260</v>
      </c>
      <c r="B220" s="19" t="str">
        <f>IF(A220="","",CHOOSE(WEEKDAY(A220),"日","月","火","水","木","金","土"))</f>
        <v>水</v>
      </c>
      <c r="C220" s="20" t="s">
        <v>115</v>
      </c>
      <c r="D220" s="21" t="s">
        <v>94</v>
      </c>
      <c r="E220" s="19" t="str">
        <f>IF(F220="","",IFERROR(INDEX(マスター!$F$5:$F$200,MATCH(F220,マスター!$E$5:$E$200,0)),"※マスター未登録"))</f>
        <v>内装仕上げ工事</v>
      </c>
      <c r="F220" s="20" t="s">
        <v>316</v>
      </c>
      <c r="G220" s="20" t="s">
        <v>117</v>
      </c>
      <c r="H220" s="22" t="s">
        <v>336</v>
      </c>
      <c r="I220" s="23">
        <v>1</v>
      </c>
      <c r="J220" s="23"/>
      <c r="K220" s="22"/>
      <c r="L220" s="20" t="s">
        <v>337</v>
      </c>
    </row>
    <row r="221" spans="1:12" x14ac:dyDescent="0.2">
      <c r="A221" s="18">
        <v>46261</v>
      </c>
      <c r="B221" s="19" t="str">
        <f>IF(A221="","",CHOOSE(WEEKDAY(A221),"日","月","火","水","木","金","土"))</f>
        <v>木</v>
      </c>
      <c r="C221" s="20" t="s">
        <v>115</v>
      </c>
      <c r="D221" s="21" t="s">
        <v>94</v>
      </c>
      <c r="E221" s="19" t="str">
        <f>IF(F221="","",IFERROR(INDEX(マスター!$F$5:$F$200,MATCH(F221,マスター!$E$5:$E$200,0)),"※マスター未登録"))</f>
        <v>その他</v>
      </c>
      <c r="F221" s="20" t="s">
        <v>98</v>
      </c>
      <c r="G221" s="20"/>
      <c r="H221" s="22" t="s">
        <v>338</v>
      </c>
      <c r="I221" s="23"/>
      <c r="J221" s="23"/>
      <c r="K221" s="22" t="s">
        <v>250</v>
      </c>
      <c r="L221" s="23"/>
    </row>
    <row r="222" spans="1:12" x14ac:dyDescent="0.2">
      <c r="A222" s="18">
        <v>46261</v>
      </c>
      <c r="B222" s="19" t="str">
        <f>IF(A222="","",CHOOSE(WEEKDAY(A222),"日","月","火","水","木","金","土"))</f>
        <v>木</v>
      </c>
      <c r="C222" s="20" t="s">
        <v>115</v>
      </c>
      <c r="D222" s="24" t="s">
        <v>96</v>
      </c>
      <c r="E222" s="19" t="str">
        <f>IF(F222="","",IFERROR(INDEX(マスター!$F$5:$F$200,MATCH(F222,マスター!$E$5:$E$200,0)),"※マスター未登録"))</f>
        <v>給排水設備工事</v>
      </c>
      <c r="F222" s="20" t="s">
        <v>212</v>
      </c>
      <c r="G222" s="20" t="s">
        <v>339</v>
      </c>
      <c r="H222" s="22" t="s">
        <v>340</v>
      </c>
      <c r="I222" s="23">
        <v>3</v>
      </c>
      <c r="J222" s="23"/>
      <c r="K222" s="22"/>
      <c r="L222" s="23"/>
    </row>
    <row r="223" spans="1:12" ht="26.25" x14ac:dyDescent="0.2">
      <c r="A223" s="18">
        <v>46262</v>
      </c>
      <c r="B223" s="19" t="str">
        <f>IF(A223="","",CHOOSE(WEEKDAY(A223),"日","月","火","水","木","金","土"))</f>
        <v>金</v>
      </c>
      <c r="C223" s="20" t="s">
        <v>115</v>
      </c>
      <c r="D223" s="21" t="s">
        <v>94</v>
      </c>
      <c r="E223" s="19" t="str">
        <f>IF(F223="","",IFERROR(INDEX(マスター!$F$5:$F$200,MATCH(F223,マスター!$E$5:$E$200,0)),"※マスター未登録"))</f>
        <v>その他</v>
      </c>
      <c r="F223" s="20" t="s">
        <v>341</v>
      </c>
      <c r="G223" s="20" t="s">
        <v>117</v>
      </c>
      <c r="H223" s="22" t="s">
        <v>342</v>
      </c>
      <c r="I223" s="23">
        <v>1</v>
      </c>
      <c r="J223" s="23"/>
      <c r="K223" s="22"/>
      <c r="L223" s="23"/>
    </row>
    <row r="224" spans="1:12" ht="17.25" x14ac:dyDescent="0.2">
      <c r="A224" s="18">
        <v>46262</v>
      </c>
      <c r="B224" s="19" t="str">
        <f>IF(A224="","",CHOOSE(WEEKDAY(A224),"日","月","火","水","木","金","土"))</f>
        <v>金</v>
      </c>
      <c r="C224" s="20" t="s">
        <v>115</v>
      </c>
      <c r="D224" s="21" t="s">
        <v>94</v>
      </c>
      <c r="E224" s="19" t="str">
        <f>IF(F224="","",IFERROR(INDEX(マスター!$F$5:$F$200,MATCH(F224,マスター!$E$5:$E$200,0)),"※マスター未登録"))</f>
        <v>その他</v>
      </c>
      <c r="F224" s="20" t="s">
        <v>341</v>
      </c>
      <c r="G224" s="20" t="s">
        <v>166</v>
      </c>
      <c r="H224" s="22" t="s">
        <v>343</v>
      </c>
      <c r="I224" s="23">
        <v>1</v>
      </c>
      <c r="J224" s="23"/>
      <c r="K224" s="25" t="s">
        <v>344</v>
      </c>
      <c r="L224" s="23"/>
    </row>
    <row r="225" spans="1:12" x14ac:dyDescent="0.2">
      <c r="A225" s="18">
        <v>46263</v>
      </c>
      <c r="B225" s="19" t="str">
        <f>IF(A225="","",CHOOSE(WEEKDAY(A225),"日","月","火","水","木","金","土"))</f>
        <v>土</v>
      </c>
      <c r="C225" s="20" t="s">
        <v>115</v>
      </c>
      <c r="D225" s="21" t="s">
        <v>94</v>
      </c>
      <c r="E225" s="19" t="str">
        <f>IF(F225="","",IFERROR(INDEX(マスター!$F$5:$F$200,MATCH(F225,マスター!$E$5:$E$200,0)),"※マスター未登録"))</f>
        <v>その他</v>
      </c>
      <c r="F225" s="20" t="s">
        <v>242</v>
      </c>
      <c r="G225" s="20" t="s">
        <v>117</v>
      </c>
      <c r="H225" s="22" t="s">
        <v>345</v>
      </c>
      <c r="I225" s="23">
        <v>1</v>
      </c>
      <c r="J225" s="23"/>
      <c r="K225" s="22" t="s">
        <v>346</v>
      </c>
      <c r="L225" s="23"/>
    </row>
    <row r="226" spans="1:12" x14ac:dyDescent="0.2">
      <c r="A226" s="18">
        <v>46264</v>
      </c>
      <c r="B226" s="19" t="str">
        <f>IF(A226="","",CHOOSE(WEEKDAY(A226),"日","月","火","水","木","金","土"))</f>
        <v>日</v>
      </c>
      <c r="C226" s="20" t="s">
        <v>115</v>
      </c>
      <c r="D226" s="21" t="s">
        <v>94</v>
      </c>
      <c r="E226" s="19" t="str">
        <f>IF(F226="","",IFERROR(INDEX(マスター!$F$5:$F$200,MATCH(F226,マスター!$E$5:$E$200,0)),"※マスター未登録"))</f>
        <v>その他</v>
      </c>
      <c r="F226" s="20" t="s">
        <v>242</v>
      </c>
      <c r="G226" s="20" t="s">
        <v>166</v>
      </c>
      <c r="H226" s="22" t="s">
        <v>347</v>
      </c>
      <c r="I226" s="23">
        <v>1</v>
      </c>
      <c r="J226" s="23"/>
      <c r="K226" s="25"/>
      <c r="L226" s="20" t="s">
        <v>332</v>
      </c>
    </row>
    <row r="227" spans="1:12" x14ac:dyDescent="0.2">
      <c r="A227" s="18">
        <v>46264</v>
      </c>
      <c r="B227" s="19" t="str">
        <f>IF(A227="","",CHOOSE(WEEKDAY(A227),"日","月","火","水","木","金","土"))</f>
        <v>日</v>
      </c>
      <c r="C227" s="20" t="s">
        <v>115</v>
      </c>
      <c r="D227" s="21" t="s">
        <v>94</v>
      </c>
      <c r="E227" s="19" t="str">
        <f>IF(F227="","",IFERROR(INDEX(マスター!$F$5:$F$200,MATCH(F227,マスター!$E$5:$E$200,0)),"※マスター未登録"))</f>
        <v>その他</v>
      </c>
      <c r="F227" s="20" t="s">
        <v>242</v>
      </c>
      <c r="G227" s="20" t="s">
        <v>285</v>
      </c>
      <c r="H227" s="22" t="s">
        <v>347</v>
      </c>
      <c r="I227" s="23">
        <v>1</v>
      </c>
      <c r="J227" s="23"/>
      <c r="K227" s="25"/>
      <c r="L227" s="20" t="s">
        <v>332</v>
      </c>
    </row>
    <row r="228" spans="1:12" x14ac:dyDescent="0.2">
      <c r="A228" s="18">
        <v>46264</v>
      </c>
      <c r="B228" s="19" t="str">
        <f>IF(A228="","",CHOOSE(WEEKDAY(A228),"日","月","火","水","木","金","土"))</f>
        <v>日</v>
      </c>
      <c r="C228" s="20" t="s">
        <v>115</v>
      </c>
      <c r="D228" s="21" t="s">
        <v>94</v>
      </c>
      <c r="E228" s="19" t="str">
        <f>IF(F228="","",IFERROR(INDEX(マスター!$F$5:$F$200,MATCH(F228,マスター!$E$5:$E$200,0)),"※マスター未登録"))</f>
        <v>その他</v>
      </c>
      <c r="F228" s="20" t="s">
        <v>242</v>
      </c>
      <c r="G228" s="20" t="s">
        <v>196</v>
      </c>
      <c r="H228" s="22" t="s">
        <v>347</v>
      </c>
      <c r="I228" s="23">
        <v>1</v>
      </c>
      <c r="J228" s="23"/>
      <c r="K228" s="25"/>
      <c r="L228" s="20" t="s">
        <v>332</v>
      </c>
    </row>
    <row r="229" spans="1:12" x14ac:dyDescent="0.2">
      <c r="A229" s="18">
        <v>46264</v>
      </c>
      <c r="B229" s="19" t="str">
        <f>IF(A229="","",CHOOSE(WEEKDAY(A229),"日","月","火","水","木","金","土"))</f>
        <v>日</v>
      </c>
      <c r="C229" s="20" t="s">
        <v>115</v>
      </c>
      <c r="D229" s="21" t="s">
        <v>94</v>
      </c>
      <c r="E229" s="19" t="str">
        <f>IF(F229="","",IFERROR(INDEX(マスター!$F$5:$F$200,MATCH(F229,マスター!$E$5:$E$200,0)),"※マスター未登録"))</f>
        <v>その他</v>
      </c>
      <c r="F229" s="20" t="s">
        <v>242</v>
      </c>
      <c r="G229" s="20" t="s">
        <v>117</v>
      </c>
      <c r="H229" s="22" t="s">
        <v>347</v>
      </c>
      <c r="I229" s="23">
        <v>1</v>
      </c>
      <c r="J229" s="23"/>
      <c r="K229" s="25"/>
      <c r="L229" s="20" t="s">
        <v>332</v>
      </c>
    </row>
    <row r="230" spans="1:12" x14ac:dyDescent="0.2">
      <c r="A230" s="18">
        <v>46264</v>
      </c>
      <c r="B230" s="19" t="str">
        <f>IF(A230="","",CHOOSE(WEEKDAY(A230),"日","月","火","水","木","金","土"))</f>
        <v>日</v>
      </c>
      <c r="C230" s="20" t="s">
        <v>115</v>
      </c>
      <c r="D230" s="24" t="s">
        <v>96</v>
      </c>
      <c r="E230" s="19" t="str">
        <f>IF(F230="","",IFERROR(INDEX(マスター!$F$5:$F$200,MATCH(F230,マスター!$E$5:$E$200,0)),"※マスター未登録"))</f>
        <v>給排水設備工事</v>
      </c>
      <c r="F230" s="20" t="s">
        <v>348</v>
      </c>
      <c r="G230" s="20" t="s">
        <v>339</v>
      </c>
      <c r="H230" s="22" t="s">
        <v>349</v>
      </c>
      <c r="I230" s="23">
        <v>2</v>
      </c>
      <c r="J230" s="23"/>
      <c r="K230" s="22" t="s">
        <v>350</v>
      </c>
      <c r="L230" s="23"/>
    </row>
    <row r="231" spans="1:12" x14ac:dyDescent="0.2">
      <c r="A231" s="18">
        <v>46265</v>
      </c>
      <c r="B231" s="19" t="str">
        <f>IF(A231="","",CHOOSE(WEEKDAY(A231),"日","月","火","水","木","金","土"))</f>
        <v>月</v>
      </c>
      <c r="C231" s="20" t="s">
        <v>115</v>
      </c>
      <c r="D231" s="21" t="s">
        <v>94</v>
      </c>
      <c r="E231" s="19" t="str">
        <f>IF(F231="","",IFERROR(INDEX(マスター!$F$5:$F$200,MATCH(F231,マスター!$E$5:$E$200,0)),"※マスター未登録"))</f>
        <v>内装仕上げ工事</v>
      </c>
      <c r="F231" s="20" t="s">
        <v>316</v>
      </c>
      <c r="G231" s="20" t="s">
        <v>117</v>
      </c>
      <c r="H231" s="22" t="s">
        <v>351</v>
      </c>
      <c r="I231" s="23">
        <v>1</v>
      </c>
      <c r="J231" s="23"/>
      <c r="K231" s="25"/>
      <c r="L231" s="23"/>
    </row>
    <row r="232" spans="1:12" x14ac:dyDescent="0.2">
      <c r="A232" s="18">
        <v>46265</v>
      </c>
      <c r="B232" s="19" t="str">
        <f>IF(A232="","",CHOOSE(WEEKDAY(A232),"日","月","火","水","木","金","土"))</f>
        <v>月</v>
      </c>
      <c r="C232" s="20" t="s">
        <v>115</v>
      </c>
      <c r="D232" s="21" t="s">
        <v>94</v>
      </c>
      <c r="E232" s="19" t="str">
        <f>IF(F232="","",IFERROR(INDEX(マスター!$F$5:$F$200,MATCH(F232,マスター!$E$5:$E$200,0)),"※マスター未登録"))</f>
        <v>内装仕上げ工事</v>
      </c>
      <c r="F232" s="20" t="s">
        <v>316</v>
      </c>
      <c r="G232" s="20" t="s">
        <v>260</v>
      </c>
      <c r="H232" s="22" t="s">
        <v>351</v>
      </c>
      <c r="I232" s="23">
        <v>1</v>
      </c>
      <c r="J232" s="23"/>
      <c r="K232" s="25"/>
      <c r="L232" s="23"/>
    </row>
    <row r="233" spans="1:12" x14ac:dyDescent="0.2">
      <c r="A233" s="18">
        <v>46265</v>
      </c>
      <c r="B233" s="19" t="str">
        <f>IF(A233="","",CHOOSE(WEEKDAY(A233),"日","月","火","水","木","金","土"))</f>
        <v>月</v>
      </c>
      <c r="C233" s="20" t="s">
        <v>115</v>
      </c>
      <c r="D233" s="24" t="s">
        <v>96</v>
      </c>
      <c r="E233" s="19" t="str">
        <f>IF(F233="","",IFERROR(INDEX(マスター!$F$5:$F$200,MATCH(F233,マスター!$E$5:$E$200,0)),"※マスター未登録"))</f>
        <v>内装仕上げ工事</v>
      </c>
      <c r="F233" s="20" t="s">
        <v>352</v>
      </c>
      <c r="G233" s="20" t="s">
        <v>353</v>
      </c>
      <c r="H233" s="22" t="s">
        <v>354</v>
      </c>
      <c r="I233" s="23">
        <v>1</v>
      </c>
      <c r="J233" s="23"/>
      <c r="K233" s="22" t="s">
        <v>355</v>
      </c>
      <c r="L233" s="23"/>
    </row>
    <row r="234" spans="1:12" ht="30.75" x14ac:dyDescent="0.2">
      <c r="A234" s="18">
        <v>46266</v>
      </c>
      <c r="B234" s="19" t="str">
        <f>IF(A234="","",CHOOSE(WEEKDAY(A234),"日","月","火","水","木","金","土"))</f>
        <v>火</v>
      </c>
      <c r="C234" s="20" t="s">
        <v>115</v>
      </c>
      <c r="D234" s="21" t="s">
        <v>94</v>
      </c>
      <c r="E234" s="19" t="str">
        <f>IF(F234="","",IFERROR(INDEX(マスター!$F$5:$F$200,MATCH(F234,マスター!$E$5:$E$200,0)),"※マスター未登録"))</f>
        <v>外構工事</v>
      </c>
      <c r="F234" s="20" t="s">
        <v>356</v>
      </c>
      <c r="G234" s="20" t="s">
        <v>117</v>
      </c>
      <c r="H234" s="22" t="s">
        <v>357</v>
      </c>
      <c r="I234" s="23">
        <v>1</v>
      </c>
      <c r="J234" s="20" t="s">
        <v>358</v>
      </c>
      <c r="K234" s="22" t="s">
        <v>359</v>
      </c>
      <c r="L234" s="23"/>
    </row>
    <row r="235" spans="1:12" ht="30.75" x14ac:dyDescent="0.2">
      <c r="A235" s="18">
        <v>46266</v>
      </c>
      <c r="B235" s="19" t="str">
        <f>IF(A235="","",CHOOSE(WEEKDAY(A235),"日","月","火","水","木","金","土"))</f>
        <v>火</v>
      </c>
      <c r="C235" s="20" t="s">
        <v>115</v>
      </c>
      <c r="D235" s="21" t="s">
        <v>94</v>
      </c>
      <c r="E235" s="19" t="str">
        <f>IF(F235="","",IFERROR(INDEX(マスター!$F$5:$F$200,MATCH(F235,マスター!$E$5:$E$200,0)),"※マスター未登録"))</f>
        <v>外構工事</v>
      </c>
      <c r="F235" s="20" t="s">
        <v>356</v>
      </c>
      <c r="G235" s="20" t="s">
        <v>260</v>
      </c>
      <c r="H235" s="22" t="s">
        <v>357</v>
      </c>
      <c r="I235" s="23">
        <v>1</v>
      </c>
      <c r="J235" s="20" t="s">
        <v>358</v>
      </c>
      <c r="K235" s="22" t="s">
        <v>359</v>
      </c>
      <c r="L235" s="23"/>
    </row>
    <row r="236" spans="1:12" x14ac:dyDescent="0.2">
      <c r="A236" s="18">
        <v>46266</v>
      </c>
      <c r="B236" s="19" t="str">
        <f>IF(A236="","",CHOOSE(WEEKDAY(A236),"日","月","火","水","木","金","土"))</f>
        <v>火</v>
      </c>
      <c r="C236" s="20" t="s">
        <v>115</v>
      </c>
      <c r="D236" s="24" t="s">
        <v>96</v>
      </c>
      <c r="E236" s="19" t="str">
        <f>IF(F236="","",IFERROR(INDEX(マスター!$F$5:$F$200,MATCH(F236,マスター!$E$5:$E$200,0)),"※マスター未登録"))</f>
        <v>内装仕上げ工事</v>
      </c>
      <c r="F236" s="20" t="s">
        <v>352</v>
      </c>
      <c r="G236" s="20" t="s">
        <v>353</v>
      </c>
      <c r="H236" s="22" t="s">
        <v>360</v>
      </c>
      <c r="I236" s="23">
        <v>1</v>
      </c>
      <c r="J236" s="23"/>
      <c r="K236" s="25"/>
      <c r="L236" s="23"/>
    </row>
    <row r="237" spans="1:12" ht="17.25" x14ac:dyDescent="0.2">
      <c r="A237" s="18">
        <v>46267</v>
      </c>
      <c r="B237" s="19" t="str">
        <f>IF(A237="","",CHOOSE(WEEKDAY(A237),"日","月","火","水","木","金","土"))</f>
        <v>水</v>
      </c>
      <c r="C237" s="20" t="s">
        <v>115</v>
      </c>
      <c r="D237" s="21" t="s">
        <v>94</v>
      </c>
      <c r="E237" s="19" t="str">
        <f>IF(F237="","",IFERROR(INDEX(マスター!$F$5:$F$200,MATCH(F237,マスター!$E$5:$E$200,0)),"※マスター未登録"))</f>
        <v>外構工事</v>
      </c>
      <c r="F237" s="20" t="s">
        <v>356</v>
      </c>
      <c r="G237" s="20" t="s">
        <v>117</v>
      </c>
      <c r="H237" s="22" t="s">
        <v>361</v>
      </c>
      <c r="I237" s="23">
        <v>1</v>
      </c>
      <c r="J237" s="20" t="s">
        <v>362</v>
      </c>
      <c r="K237" s="25"/>
      <c r="L237" s="20" t="s">
        <v>363</v>
      </c>
    </row>
    <row r="238" spans="1:12" ht="17.25" x14ac:dyDescent="0.2">
      <c r="A238" s="18">
        <v>46267</v>
      </c>
      <c r="B238" s="19" t="str">
        <f>IF(A238="","",CHOOSE(WEEKDAY(A238),"日","月","火","水","木","金","土"))</f>
        <v>水</v>
      </c>
      <c r="C238" s="20" t="s">
        <v>115</v>
      </c>
      <c r="D238" s="21" t="s">
        <v>94</v>
      </c>
      <c r="E238" s="19" t="str">
        <f>IF(F238="","",IFERROR(INDEX(マスター!$F$5:$F$200,MATCH(F238,マスター!$E$5:$E$200,0)),"※マスター未登録"))</f>
        <v>外構工事</v>
      </c>
      <c r="F238" s="20" t="s">
        <v>356</v>
      </c>
      <c r="G238" s="20" t="s">
        <v>260</v>
      </c>
      <c r="H238" s="22" t="s">
        <v>361</v>
      </c>
      <c r="I238" s="23">
        <v>1</v>
      </c>
      <c r="J238" s="20" t="s">
        <v>362</v>
      </c>
      <c r="K238" s="25"/>
      <c r="L238" s="20" t="s">
        <v>363</v>
      </c>
    </row>
    <row r="239" spans="1:12" ht="17.25" x14ac:dyDescent="0.2">
      <c r="A239" s="18">
        <v>46267</v>
      </c>
      <c r="B239" s="19" t="str">
        <f>IF(A239="","",CHOOSE(WEEKDAY(A239),"日","月","火","水","木","金","土"))</f>
        <v>水</v>
      </c>
      <c r="C239" s="20" t="s">
        <v>115</v>
      </c>
      <c r="D239" s="21" t="s">
        <v>94</v>
      </c>
      <c r="E239" s="19" t="str">
        <f>IF(F239="","",IFERROR(INDEX(マスター!$F$5:$F$200,MATCH(F239,マスター!$E$5:$E$200,0)),"※マスター未登録"))</f>
        <v>外構工事</v>
      </c>
      <c r="F239" s="20" t="s">
        <v>356</v>
      </c>
      <c r="G239" s="20" t="s">
        <v>128</v>
      </c>
      <c r="H239" s="22" t="s">
        <v>361</v>
      </c>
      <c r="I239" s="23">
        <v>1</v>
      </c>
      <c r="J239" s="20" t="s">
        <v>362</v>
      </c>
      <c r="K239" s="25"/>
      <c r="L239" s="20" t="s">
        <v>363</v>
      </c>
    </row>
    <row r="240" spans="1:12" x14ac:dyDescent="0.2">
      <c r="A240" s="26"/>
      <c r="B240" s="14" t="str">
        <f>IF(A240="","",CHOOSE(WEEKDAY(A240),"日","月","火","水","木","金","土"))</f>
        <v/>
      </c>
      <c r="C240" s="27"/>
      <c r="D240" s="27"/>
      <c r="E240" s="14" t="str">
        <f>IF(F240="","",IFERROR(INDEX(マスター!$F$5:$F$200,MATCH(F240,マスター!$E$5:$E$200,0)),"※マスター未登録"))</f>
        <v/>
      </c>
      <c r="F240" s="27"/>
      <c r="G240" s="27"/>
      <c r="H240" s="27"/>
      <c r="I240" s="27"/>
      <c r="J240" s="27"/>
      <c r="K240" s="27"/>
    </row>
    <row r="241" spans="1:11" x14ac:dyDescent="0.2">
      <c r="A241" s="26"/>
      <c r="B241" s="14" t="str">
        <f>IF(A241="","",CHOOSE(WEEKDAY(A241),"日","月","火","水","木","金","土"))</f>
        <v/>
      </c>
      <c r="C241" s="27"/>
      <c r="D241" s="27"/>
      <c r="E241" s="14" t="str">
        <f>IF(F241="","",IFERROR(INDEX(マスター!$F$5:$F$200,MATCH(F241,マスター!$E$5:$E$200,0)),"※マスター未登録"))</f>
        <v/>
      </c>
      <c r="F241" s="27"/>
      <c r="G241" s="27"/>
      <c r="H241" s="27"/>
      <c r="I241" s="27"/>
      <c r="J241" s="27"/>
      <c r="K241" s="27"/>
    </row>
    <row r="242" spans="1:11" x14ac:dyDescent="0.2">
      <c r="A242" s="26"/>
      <c r="B242" s="14" t="str">
        <f>IF(A242="","",CHOOSE(WEEKDAY(A242),"日","月","火","水","木","金","土"))</f>
        <v/>
      </c>
      <c r="C242" s="27"/>
      <c r="D242" s="27"/>
      <c r="E242" s="14" t="str">
        <f>IF(F242="","",IFERROR(INDEX(マスター!$F$5:$F$200,MATCH(F242,マスター!$E$5:$E$200,0)),"※マスター未登録"))</f>
        <v/>
      </c>
      <c r="F242" s="27"/>
      <c r="G242" s="27"/>
      <c r="H242" s="27"/>
      <c r="I242" s="27"/>
      <c r="J242" s="27"/>
      <c r="K242" s="27"/>
    </row>
    <row r="243" spans="1:11" x14ac:dyDescent="0.2">
      <c r="A243" s="26"/>
      <c r="B243" s="14" t="str">
        <f>IF(A243="","",CHOOSE(WEEKDAY(A243),"日","月","火","水","木","金","土"))</f>
        <v/>
      </c>
      <c r="C243" s="27"/>
      <c r="D243" s="27"/>
      <c r="E243" s="14" t="str">
        <f>IF(F243="","",IFERROR(INDEX(マスター!$F$5:$F$200,MATCH(F243,マスター!$E$5:$E$200,0)),"※マスター未登録"))</f>
        <v/>
      </c>
      <c r="F243" s="27"/>
      <c r="G243" s="27"/>
      <c r="H243" s="27"/>
      <c r="I243" s="27"/>
      <c r="J243" s="27"/>
      <c r="K243" s="27"/>
    </row>
    <row r="244" spans="1:11" x14ac:dyDescent="0.2">
      <c r="A244" s="26"/>
      <c r="B244" s="14" t="str">
        <f>IF(A244="","",CHOOSE(WEEKDAY(A244),"日","月","火","水","木","金","土"))</f>
        <v/>
      </c>
      <c r="C244" s="27"/>
      <c r="D244" s="27"/>
      <c r="E244" s="14" t="str">
        <f>IF(F244="","",IFERROR(INDEX(マスター!$F$5:$F$200,MATCH(F244,マスター!$E$5:$E$200,0)),"※マスター未登録"))</f>
        <v/>
      </c>
      <c r="F244" s="27"/>
      <c r="G244" s="27"/>
      <c r="H244" s="27"/>
      <c r="I244" s="27"/>
      <c r="J244" s="27"/>
      <c r="K244" s="27"/>
    </row>
    <row r="245" spans="1:11" x14ac:dyDescent="0.2">
      <c r="A245" s="26"/>
      <c r="B245" s="14" t="str">
        <f>IF(A245="","",CHOOSE(WEEKDAY(A245),"日","月","火","水","木","金","土"))</f>
        <v/>
      </c>
      <c r="C245" s="27"/>
      <c r="D245" s="27"/>
      <c r="E245" s="14" t="str">
        <f>IF(F245="","",IFERROR(INDEX(マスター!$F$5:$F$200,MATCH(F245,マスター!$E$5:$E$200,0)),"※マスター未登録"))</f>
        <v/>
      </c>
      <c r="F245" s="27"/>
      <c r="G245" s="27"/>
      <c r="H245" s="27"/>
      <c r="I245" s="27"/>
      <c r="J245" s="27"/>
      <c r="K245" s="27"/>
    </row>
    <row r="246" spans="1:11" x14ac:dyDescent="0.2">
      <c r="A246" s="26"/>
      <c r="B246" s="14" t="str">
        <f>IF(A246="","",CHOOSE(WEEKDAY(A246),"日","月","火","水","木","金","土"))</f>
        <v/>
      </c>
      <c r="C246" s="27"/>
      <c r="D246" s="27"/>
      <c r="E246" s="14" t="str">
        <f>IF(F246="","",IFERROR(INDEX(マスター!$F$5:$F$200,MATCH(F246,マスター!$E$5:$E$200,0)),"※マスター未登録"))</f>
        <v/>
      </c>
      <c r="F246" s="27"/>
      <c r="G246" s="27"/>
      <c r="H246" s="27"/>
      <c r="I246" s="27"/>
      <c r="J246" s="27"/>
      <c r="K246" s="27"/>
    </row>
    <row r="247" spans="1:11" x14ac:dyDescent="0.2">
      <c r="A247" s="26"/>
      <c r="B247" s="14" t="str">
        <f>IF(A247="","",CHOOSE(WEEKDAY(A247),"日","月","火","水","木","金","土"))</f>
        <v/>
      </c>
      <c r="C247" s="27"/>
      <c r="D247" s="27"/>
      <c r="E247" s="14" t="str">
        <f>IF(F247="","",IFERROR(INDEX(マスター!$F$5:$F$200,MATCH(F247,マスター!$E$5:$E$200,0)),"※マスター未登録"))</f>
        <v/>
      </c>
      <c r="F247" s="27"/>
      <c r="G247" s="27"/>
      <c r="H247" s="27"/>
      <c r="I247" s="27"/>
      <c r="J247" s="27"/>
      <c r="K247" s="27"/>
    </row>
    <row r="248" spans="1:11" x14ac:dyDescent="0.2">
      <c r="A248" s="26"/>
      <c r="B248" s="14" t="str">
        <f>IF(A248="","",CHOOSE(WEEKDAY(A248),"日","月","火","水","木","金","土"))</f>
        <v/>
      </c>
      <c r="C248" s="27"/>
      <c r="D248" s="27"/>
      <c r="E248" s="14" t="str">
        <f>IF(F248="","",IFERROR(INDEX(マスター!$F$5:$F$200,MATCH(F248,マスター!$E$5:$E$200,0)),"※マスター未登録"))</f>
        <v/>
      </c>
      <c r="F248" s="27"/>
      <c r="G248" s="27"/>
      <c r="H248" s="27"/>
      <c r="I248" s="27"/>
      <c r="J248" s="27"/>
      <c r="K248" s="27"/>
    </row>
    <row r="249" spans="1:11" x14ac:dyDescent="0.2">
      <c r="A249" s="26"/>
      <c r="B249" s="14" t="str">
        <f>IF(A249="","",CHOOSE(WEEKDAY(A249),"日","月","火","水","木","金","土"))</f>
        <v/>
      </c>
      <c r="C249" s="27"/>
      <c r="D249" s="27"/>
      <c r="E249" s="14" t="str">
        <f>IF(F249="","",IFERROR(INDEX(マスター!$F$5:$F$200,MATCH(F249,マスター!$E$5:$E$200,0)),"※マスター未登録"))</f>
        <v/>
      </c>
      <c r="F249" s="27"/>
      <c r="G249" s="27"/>
      <c r="H249" s="27"/>
      <c r="I249" s="27"/>
      <c r="J249" s="27"/>
      <c r="K249" s="27"/>
    </row>
    <row r="250" spans="1:11" x14ac:dyDescent="0.2">
      <c r="A250" s="26"/>
      <c r="B250" s="14" t="str">
        <f>IF(A250="","",CHOOSE(WEEKDAY(A250),"日","月","火","水","木","金","土"))</f>
        <v/>
      </c>
      <c r="C250" s="27"/>
      <c r="D250" s="27"/>
      <c r="E250" s="14" t="str">
        <f>IF(F250="","",IFERROR(INDEX(マスター!$F$5:$F$200,MATCH(F250,マスター!$E$5:$E$200,0)),"※マスター未登録"))</f>
        <v/>
      </c>
      <c r="F250" s="27"/>
      <c r="G250" s="27"/>
      <c r="H250" s="27"/>
      <c r="I250" s="27"/>
      <c r="J250" s="27"/>
      <c r="K250" s="27"/>
    </row>
    <row r="251" spans="1:11" x14ac:dyDescent="0.2">
      <c r="A251" s="26"/>
      <c r="B251" s="14" t="str">
        <f>IF(A251="","",CHOOSE(WEEKDAY(A251),"日","月","火","水","木","金","土"))</f>
        <v/>
      </c>
      <c r="C251" s="27"/>
      <c r="D251" s="27"/>
      <c r="E251" s="14" t="str">
        <f>IF(F251="","",IFERROR(INDEX(マスター!$F$5:$F$200,MATCH(F251,マスター!$E$5:$E$200,0)),"※マスター未登録"))</f>
        <v/>
      </c>
      <c r="F251" s="27"/>
      <c r="G251" s="27"/>
      <c r="H251" s="27"/>
      <c r="I251" s="27"/>
      <c r="J251" s="27"/>
      <c r="K251" s="27"/>
    </row>
    <row r="252" spans="1:11" x14ac:dyDescent="0.2">
      <c r="A252" s="26"/>
      <c r="B252" s="14" t="str">
        <f>IF(A252="","",CHOOSE(WEEKDAY(A252),"日","月","火","水","木","金","土"))</f>
        <v/>
      </c>
      <c r="C252" s="27"/>
      <c r="D252" s="27"/>
      <c r="E252" s="14" t="str">
        <f>IF(F252="","",IFERROR(INDEX(マスター!$F$5:$F$200,MATCH(F252,マスター!$E$5:$E$200,0)),"※マスター未登録"))</f>
        <v/>
      </c>
      <c r="F252" s="27"/>
      <c r="G252" s="27"/>
      <c r="H252" s="27"/>
      <c r="I252" s="27"/>
      <c r="J252" s="27"/>
      <c r="K252" s="27"/>
    </row>
    <row r="253" spans="1:11" x14ac:dyDescent="0.2">
      <c r="A253" s="26"/>
      <c r="B253" s="14" t="str">
        <f>IF(A253="","",CHOOSE(WEEKDAY(A253),"日","月","火","水","木","金","土"))</f>
        <v/>
      </c>
      <c r="C253" s="27"/>
      <c r="D253" s="27"/>
      <c r="E253" s="14" t="str">
        <f>IF(F253="","",IFERROR(INDEX(マスター!$F$5:$F$200,MATCH(F253,マスター!$E$5:$E$200,0)),"※マスター未登録"))</f>
        <v/>
      </c>
      <c r="F253" s="27"/>
      <c r="G253" s="27"/>
      <c r="H253" s="27"/>
      <c r="I253" s="27"/>
      <c r="J253" s="27"/>
      <c r="K253" s="27"/>
    </row>
    <row r="254" spans="1:11" x14ac:dyDescent="0.2">
      <c r="A254" s="26"/>
      <c r="B254" s="14" t="str">
        <f>IF(A254="","",CHOOSE(WEEKDAY(A254),"日","月","火","水","木","金","土"))</f>
        <v/>
      </c>
      <c r="C254" s="27"/>
      <c r="D254" s="27"/>
      <c r="E254" s="14" t="str">
        <f>IF(F254="","",IFERROR(INDEX(マスター!$F$5:$F$200,MATCH(F254,マスター!$E$5:$E$200,0)),"※マスター未登録"))</f>
        <v/>
      </c>
      <c r="F254" s="27"/>
      <c r="G254" s="27"/>
      <c r="H254" s="27"/>
      <c r="I254" s="27"/>
      <c r="J254" s="27"/>
      <c r="K254" s="27"/>
    </row>
    <row r="255" spans="1:11" x14ac:dyDescent="0.2">
      <c r="A255" s="26"/>
      <c r="B255" s="14" t="str">
        <f>IF(A255="","",CHOOSE(WEEKDAY(A255),"日","月","火","水","木","金","土"))</f>
        <v/>
      </c>
      <c r="C255" s="27"/>
      <c r="D255" s="27"/>
      <c r="E255" s="14" t="str">
        <f>IF(F255="","",IFERROR(INDEX(マスター!$F$5:$F$200,MATCH(F255,マスター!$E$5:$E$200,0)),"※マスター未登録"))</f>
        <v/>
      </c>
      <c r="F255" s="27"/>
      <c r="G255" s="27"/>
      <c r="H255" s="27"/>
      <c r="I255" s="27"/>
      <c r="J255" s="27"/>
      <c r="K255" s="27"/>
    </row>
    <row r="256" spans="1:11" x14ac:dyDescent="0.2">
      <c r="A256" s="26"/>
      <c r="B256" s="14" t="str">
        <f>IF(A256="","",CHOOSE(WEEKDAY(A256),"日","月","火","水","木","金","土"))</f>
        <v/>
      </c>
      <c r="C256" s="27"/>
      <c r="D256" s="27"/>
      <c r="E256" s="14" t="str">
        <f>IF(F256="","",IFERROR(INDEX(マスター!$F$5:$F$200,MATCH(F256,マスター!$E$5:$E$200,0)),"※マスター未登録"))</f>
        <v/>
      </c>
      <c r="F256" s="27"/>
      <c r="G256" s="27"/>
      <c r="H256" s="27"/>
      <c r="I256" s="27"/>
      <c r="J256" s="27"/>
      <c r="K256" s="27"/>
    </row>
    <row r="257" spans="1:11" x14ac:dyDescent="0.2">
      <c r="A257" s="26"/>
      <c r="B257" s="14" t="str">
        <f>IF(A257="","",CHOOSE(WEEKDAY(A257),"日","月","火","水","木","金","土"))</f>
        <v/>
      </c>
      <c r="C257" s="27"/>
      <c r="D257" s="27"/>
      <c r="E257" s="14" t="str">
        <f>IF(F257="","",IFERROR(INDEX(マスター!$F$5:$F$200,MATCH(F257,マスター!$E$5:$E$200,0)),"※マスター未登録"))</f>
        <v/>
      </c>
      <c r="F257" s="27"/>
      <c r="G257" s="27"/>
      <c r="H257" s="27"/>
      <c r="I257" s="27"/>
      <c r="J257" s="27"/>
      <c r="K257" s="27"/>
    </row>
    <row r="258" spans="1:11" x14ac:dyDescent="0.2">
      <c r="A258" s="26"/>
      <c r="B258" s="14" t="str">
        <f>IF(A258="","",CHOOSE(WEEKDAY(A258),"日","月","火","水","木","金","土"))</f>
        <v/>
      </c>
      <c r="C258" s="27"/>
      <c r="D258" s="27"/>
      <c r="E258" s="14" t="str">
        <f>IF(F258="","",IFERROR(INDEX(マスター!$F$5:$F$200,MATCH(F258,マスター!$E$5:$E$200,0)),"※マスター未登録"))</f>
        <v/>
      </c>
      <c r="F258" s="27"/>
      <c r="G258" s="27"/>
      <c r="H258" s="27"/>
      <c r="I258" s="27"/>
      <c r="J258" s="27"/>
      <c r="K258" s="27"/>
    </row>
    <row r="259" spans="1:11" x14ac:dyDescent="0.2">
      <c r="A259" s="26"/>
      <c r="B259" s="14" t="str">
        <f>IF(A259="","",CHOOSE(WEEKDAY(A259),"日","月","火","水","木","金","土"))</f>
        <v/>
      </c>
      <c r="C259" s="27"/>
      <c r="D259" s="27"/>
      <c r="E259" s="14" t="str">
        <f>IF(F259="","",IFERROR(INDEX(マスター!$F$5:$F$200,MATCH(F259,マスター!$E$5:$E$200,0)),"※マスター未登録"))</f>
        <v/>
      </c>
      <c r="F259" s="27"/>
      <c r="G259" s="27"/>
      <c r="H259" s="27"/>
      <c r="I259" s="27"/>
      <c r="J259" s="27"/>
      <c r="K259" s="27"/>
    </row>
    <row r="260" spans="1:11" x14ac:dyDescent="0.2">
      <c r="A260" s="26"/>
      <c r="B260" s="14" t="str">
        <f>IF(A260="","",CHOOSE(WEEKDAY(A260),"日","月","火","水","木","金","土"))</f>
        <v/>
      </c>
      <c r="C260" s="27"/>
      <c r="D260" s="27"/>
      <c r="E260" s="14" t="str">
        <f>IF(F260="","",IFERROR(INDEX(マスター!$F$5:$F$200,MATCH(F260,マスター!$E$5:$E$200,0)),"※マスター未登録"))</f>
        <v/>
      </c>
      <c r="F260" s="27"/>
      <c r="G260" s="27"/>
      <c r="H260" s="27"/>
      <c r="I260" s="27"/>
      <c r="J260" s="27"/>
      <c r="K260" s="27"/>
    </row>
    <row r="261" spans="1:11" x14ac:dyDescent="0.2">
      <c r="A261" s="26"/>
      <c r="B261" s="14" t="str">
        <f>IF(A261="","",CHOOSE(WEEKDAY(A261),"日","月","火","水","木","金","土"))</f>
        <v/>
      </c>
      <c r="C261" s="27"/>
      <c r="D261" s="27"/>
      <c r="E261" s="14" t="str">
        <f>IF(F261="","",IFERROR(INDEX(マスター!$F$5:$F$200,MATCH(F261,マスター!$E$5:$E$200,0)),"※マスター未登録"))</f>
        <v/>
      </c>
      <c r="F261" s="27"/>
      <c r="G261" s="27"/>
      <c r="H261" s="27"/>
      <c r="I261" s="27"/>
      <c r="J261" s="27"/>
      <c r="K261" s="27"/>
    </row>
    <row r="262" spans="1:11" x14ac:dyDescent="0.2">
      <c r="A262" s="26"/>
      <c r="B262" s="14" t="str">
        <f>IF(A262="","",CHOOSE(WEEKDAY(A262),"日","月","火","水","木","金","土"))</f>
        <v/>
      </c>
      <c r="C262" s="27"/>
      <c r="D262" s="27"/>
      <c r="E262" s="14" t="str">
        <f>IF(F262="","",IFERROR(INDEX(マスター!$F$5:$F$200,MATCH(F262,マスター!$E$5:$E$200,0)),"※マスター未登録"))</f>
        <v/>
      </c>
      <c r="F262" s="27"/>
      <c r="G262" s="27"/>
      <c r="H262" s="27"/>
      <c r="I262" s="27"/>
      <c r="J262" s="27"/>
      <c r="K262" s="27"/>
    </row>
    <row r="263" spans="1:11" x14ac:dyDescent="0.2">
      <c r="A263" s="26"/>
      <c r="B263" s="14" t="str">
        <f>IF(A263="","",CHOOSE(WEEKDAY(A263),"日","月","火","水","木","金","土"))</f>
        <v/>
      </c>
      <c r="C263" s="27"/>
      <c r="D263" s="27"/>
      <c r="E263" s="14" t="str">
        <f>IF(F263="","",IFERROR(INDEX(マスター!$F$5:$F$200,MATCH(F263,マスター!$E$5:$E$200,0)),"※マスター未登録"))</f>
        <v/>
      </c>
      <c r="F263" s="27"/>
      <c r="G263" s="27"/>
      <c r="H263" s="27"/>
      <c r="I263" s="27"/>
      <c r="J263" s="27"/>
      <c r="K263" s="27"/>
    </row>
    <row r="264" spans="1:11" x14ac:dyDescent="0.2">
      <c r="A264" s="26"/>
      <c r="B264" s="14" t="str">
        <f>IF(A264="","",CHOOSE(WEEKDAY(A264),"日","月","火","水","木","金","土"))</f>
        <v/>
      </c>
      <c r="C264" s="27"/>
      <c r="D264" s="27"/>
      <c r="E264" s="14" t="str">
        <f>IF(F264="","",IFERROR(INDEX(マスター!$F$5:$F$200,MATCH(F264,マスター!$E$5:$E$200,0)),"※マスター未登録"))</f>
        <v/>
      </c>
      <c r="F264" s="27"/>
      <c r="G264" s="27"/>
      <c r="H264" s="27"/>
      <c r="I264" s="27"/>
      <c r="J264" s="27"/>
      <c r="K264" s="27"/>
    </row>
    <row r="265" spans="1:11" x14ac:dyDescent="0.2">
      <c r="A265" s="26"/>
      <c r="B265" s="14" t="str">
        <f>IF(A265="","",CHOOSE(WEEKDAY(A265),"日","月","火","水","木","金","土"))</f>
        <v/>
      </c>
      <c r="C265" s="27"/>
      <c r="D265" s="27"/>
      <c r="E265" s="14" t="str">
        <f>IF(F265="","",IFERROR(INDEX(マスター!$F$5:$F$200,MATCH(F265,マスター!$E$5:$E$200,0)),"※マスター未登録"))</f>
        <v/>
      </c>
      <c r="F265" s="27"/>
      <c r="G265" s="27"/>
      <c r="H265" s="27"/>
      <c r="I265" s="27"/>
      <c r="J265" s="27"/>
      <c r="K265" s="27"/>
    </row>
    <row r="266" spans="1:11" x14ac:dyDescent="0.2">
      <c r="A266" s="26"/>
      <c r="B266" s="14" t="str">
        <f>IF(A266="","",CHOOSE(WEEKDAY(A266),"日","月","火","水","木","金","土"))</f>
        <v/>
      </c>
      <c r="C266" s="27"/>
      <c r="D266" s="27"/>
      <c r="E266" s="14" t="str">
        <f>IF(F266="","",IFERROR(INDEX(マスター!$F$5:$F$200,MATCH(F266,マスター!$E$5:$E$200,0)),"※マスター未登録"))</f>
        <v/>
      </c>
      <c r="F266" s="27"/>
      <c r="G266" s="27"/>
      <c r="H266" s="27"/>
      <c r="I266" s="27"/>
      <c r="J266" s="27"/>
      <c r="K266" s="27"/>
    </row>
    <row r="267" spans="1:11" x14ac:dyDescent="0.2">
      <c r="A267" s="26"/>
      <c r="B267" s="14" t="str">
        <f>IF(A267="","",CHOOSE(WEEKDAY(A267),"日","月","火","水","木","金","土"))</f>
        <v/>
      </c>
      <c r="C267" s="27"/>
      <c r="D267" s="27"/>
      <c r="E267" s="14" t="str">
        <f>IF(F267="","",IFERROR(INDEX(マスター!$F$5:$F$200,MATCH(F267,マスター!$E$5:$E$200,0)),"※マスター未登録"))</f>
        <v/>
      </c>
      <c r="F267" s="27"/>
      <c r="G267" s="27"/>
      <c r="H267" s="27"/>
      <c r="I267" s="27"/>
      <c r="J267" s="27"/>
      <c r="K267" s="27"/>
    </row>
    <row r="268" spans="1:11" x14ac:dyDescent="0.2">
      <c r="A268" s="26"/>
      <c r="B268" s="14" t="str">
        <f>IF(A268="","",CHOOSE(WEEKDAY(A268),"日","月","火","水","木","金","土"))</f>
        <v/>
      </c>
      <c r="C268" s="27"/>
      <c r="D268" s="27"/>
      <c r="E268" s="14" t="str">
        <f>IF(F268="","",IFERROR(INDEX(マスター!$F$5:$F$200,MATCH(F268,マスター!$E$5:$E$200,0)),"※マスター未登録"))</f>
        <v/>
      </c>
      <c r="F268" s="27"/>
      <c r="G268" s="27"/>
      <c r="H268" s="27"/>
      <c r="I268" s="27"/>
      <c r="J268" s="27"/>
      <c r="K268" s="27"/>
    </row>
    <row r="269" spans="1:11" x14ac:dyDescent="0.2">
      <c r="A269" s="26"/>
      <c r="B269" s="14" t="str">
        <f>IF(A269="","",CHOOSE(WEEKDAY(A269),"日","月","火","水","木","金","土"))</f>
        <v/>
      </c>
      <c r="C269" s="27"/>
      <c r="D269" s="27"/>
      <c r="E269" s="14" t="str">
        <f>IF(F269="","",IFERROR(INDEX(マスター!$F$5:$F$200,MATCH(F269,マスター!$E$5:$E$200,0)),"※マスター未登録"))</f>
        <v/>
      </c>
      <c r="F269" s="27"/>
      <c r="G269" s="27"/>
      <c r="H269" s="27"/>
      <c r="I269" s="27"/>
      <c r="J269" s="27"/>
      <c r="K269" s="27"/>
    </row>
    <row r="270" spans="1:11" x14ac:dyDescent="0.2">
      <c r="A270" s="26"/>
      <c r="B270" s="14" t="str">
        <f>IF(A270="","",CHOOSE(WEEKDAY(A270),"日","月","火","水","木","金","土"))</f>
        <v/>
      </c>
      <c r="C270" s="27"/>
      <c r="D270" s="27"/>
      <c r="E270" s="14" t="str">
        <f>IF(F270="","",IFERROR(INDEX(マスター!$F$5:$F$200,MATCH(F270,マスター!$E$5:$E$200,0)),"※マスター未登録"))</f>
        <v/>
      </c>
      <c r="F270" s="27"/>
      <c r="G270" s="27"/>
      <c r="H270" s="27"/>
      <c r="I270" s="27"/>
      <c r="J270" s="27"/>
      <c r="K270" s="27"/>
    </row>
    <row r="271" spans="1:11" x14ac:dyDescent="0.2">
      <c r="A271" s="26"/>
      <c r="B271" s="14" t="str">
        <f>IF(A271="","",CHOOSE(WEEKDAY(A271),"日","月","火","水","木","金","土"))</f>
        <v/>
      </c>
      <c r="C271" s="27"/>
      <c r="D271" s="27"/>
      <c r="E271" s="14" t="str">
        <f>IF(F271="","",IFERROR(INDEX(マスター!$F$5:$F$200,MATCH(F271,マスター!$E$5:$E$200,0)),"※マスター未登録"))</f>
        <v/>
      </c>
      <c r="F271" s="27"/>
      <c r="G271" s="27"/>
      <c r="H271" s="27"/>
      <c r="I271" s="27"/>
      <c r="J271" s="27"/>
      <c r="K271" s="27"/>
    </row>
    <row r="272" spans="1:11" x14ac:dyDescent="0.2">
      <c r="A272" s="26"/>
      <c r="B272" s="14" t="str">
        <f>IF(A272="","",CHOOSE(WEEKDAY(A272),"日","月","火","水","木","金","土"))</f>
        <v/>
      </c>
      <c r="C272" s="27"/>
      <c r="D272" s="27"/>
      <c r="E272" s="14" t="str">
        <f>IF(F272="","",IFERROR(INDEX(マスター!$F$5:$F$200,MATCH(F272,マスター!$E$5:$E$200,0)),"※マスター未登録"))</f>
        <v/>
      </c>
      <c r="F272" s="27"/>
      <c r="G272" s="27"/>
      <c r="H272" s="27"/>
      <c r="I272" s="27"/>
      <c r="J272" s="27"/>
      <c r="K272" s="27"/>
    </row>
    <row r="273" spans="1:11" x14ac:dyDescent="0.2">
      <c r="A273" s="26"/>
      <c r="B273" s="14" t="str">
        <f>IF(A273="","",CHOOSE(WEEKDAY(A273),"日","月","火","水","木","金","土"))</f>
        <v/>
      </c>
      <c r="C273" s="27"/>
      <c r="D273" s="27"/>
      <c r="E273" s="14" t="str">
        <f>IF(F273="","",IFERROR(INDEX(マスター!$F$5:$F$200,MATCH(F273,マスター!$E$5:$E$200,0)),"※マスター未登録"))</f>
        <v/>
      </c>
      <c r="F273" s="27"/>
      <c r="G273" s="27"/>
      <c r="H273" s="27"/>
      <c r="I273" s="27"/>
      <c r="J273" s="27"/>
      <c r="K273" s="27"/>
    </row>
    <row r="274" spans="1:11" x14ac:dyDescent="0.2">
      <c r="A274" s="26"/>
      <c r="B274" s="14" t="str">
        <f>IF(A274="","",CHOOSE(WEEKDAY(A274),"日","月","火","水","木","金","土"))</f>
        <v/>
      </c>
      <c r="C274" s="27"/>
      <c r="D274" s="27"/>
      <c r="E274" s="14" t="str">
        <f>IF(F274="","",IFERROR(INDEX(マスター!$F$5:$F$200,MATCH(F274,マスター!$E$5:$E$200,0)),"※マスター未登録"))</f>
        <v/>
      </c>
      <c r="F274" s="27"/>
      <c r="G274" s="27"/>
      <c r="H274" s="27"/>
      <c r="I274" s="27"/>
      <c r="J274" s="27"/>
      <c r="K274" s="27"/>
    </row>
    <row r="275" spans="1:11" x14ac:dyDescent="0.2">
      <c r="A275" s="26"/>
      <c r="B275" s="14" t="str">
        <f>IF(A275="","",CHOOSE(WEEKDAY(A275),"日","月","火","水","木","金","土"))</f>
        <v/>
      </c>
      <c r="C275" s="27"/>
      <c r="D275" s="27"/>
      <c r="E275" s="14" t="str">
        <f>IF(F275="","",IFERROR(INDEX(マスター!$F$5:$F$200,MATCH(F275,マスター!$E$5:$E$200,0)),"※マスター未登録"))</f>
        <v/>
      </c>
      <c r="F275" s="27"/>
      <c r="G275" s="27"/>
      <c r="H275" s="27"/>
      <c r="I275" s="27"/>
      <c r="J275" s="27"/>
      <c r="K275" s="27"/>
    </row>
    <row r="276" spans="1:11" x14ac:dyDescent="0.2">
      <c r="A276" s="26"/>
      <c r="B276" s="14" t="str">
        <f>IF(A276="","",CHOOSE(WEEKDAY(A276),"日","月","火","水","木","金","土"))</f>
        <v/>
      </c>
      <c r="C276" s="27"/>
      <c r="D276" s="27"/>
      <c r="E276" s="14" t="str">
        <f>IF(F276="","",IFERROR(INDEX(マスター!$F$5:$F$200,MATCH(F276,マスター!$E$5:$E$200,0)),"※マスター未登録"))</f>
        <v/>
      </c>
      <c r="F276" s="27"/>
      <c r="G276" s="27"/>
      <c r="H276" s="27"/>
      <c r="I276" s="27"/>
      <c r="J276" s="27"/>
      <c r="K276" s="27"/>
    </row>
    <row r="277" spans="1:11" x14ac:dyDescent="0.2">
      <c r="A277" s="26"/>
      <c r="B277" s="14" t="str">
        <f>IF(A277="","",CHOOSE(WEEKDAY(A277),"日","月","火","水","木","金","土"))</f>
        <v/>
      </c>
      <c r="C277" s="27"/>
      <c r="D277" s="27"/>
      <c r="E277" s="14" t="str">
        <f>IF(F277="","",IFERROR(INDEX(マスター!$F$5:$F$200,MATCH(F277,マスター!$E$5:$E$200,0)),"※マスター未登録"))</f>
        <v/>
      </c>
      <c r="F277" s="27"/>
      <c r="G277" s="27"/>
      <c r="H277" s="27"/>
      <c r="I277" s="27"/>
      <c r="J277" s="27"/>
      <c r="K277" s="27"/>
    </row>
    <row r="278" spans="1:11" x14ac:dyDescent="0.2">
      <c r="A278" s="26"/>
      <c r="B278" s="14" t="str">
        <f>IF(A278="","",CHOOSE(WEEKDAY(A278),"日","月","火","水","木","金","土"))</f>
        <v/>
      </c>
      <c r="C278" s="27"/>
      <c r="D278" s="27"/>
      <c r="E278" s="14" t="str">
        <f>IF(F278="","",IFERROR(INDEX(マスター!$F$5:$F$200,MATCH(F278,マスター!$E$5:$E$200,0)),"※マスター未登録"))</f>
        <v/>
      </c>
      <c r="F278" s="27"/>
      <c r="G278" s="27"/>
      <c r="H278" s="27"/>
      <c r="I278" s="27"/>
      <c r="J278" s="27"/>
      <c r="K278" s="27"/>
    </row>
    <row r="279" spans="1:11" x14ac:dyDescent="0.2">
      <c r="A279" s="26"/>
      <c r="B279" s="14" t="str">
        <f>IF(A279="","",CHOOSE(WEEKDAY(A279),"日","月","火","水","木","金","土"))</f>
        <v/>
      </c>
      <c r="C279" s="27"/>
      <c r="D279" s="27"/>
      <c r="E279" s="14" t="str">
        <f>IF(F279="","",IFERROR(INDEX(マスター!$F$5:$F$200,MATCH(F279,マスター!$E$5:$E$200,0)),"※マスター未登録"))</f>
        <v/>
      </c>
      <c r="F279" s="27"/>
      <c r="G279" s="27"/>
      <c r="H279" s="27"/>
      <c r="I279" s="27"/>
      <c r="J279" s="27"/>
      <c r="K279" s="27"/>
    </row>
    <row r="280" spans="1:11" x14ac:dyDescent="0.2">
      <c r="A280" s="26"/>
      <c r="B280" s="14" t="str">
        <f>IF(A280="","",CHOOSE(WEEKDAY(A280),"日","月","火","水","木","金","土"))</f>
        <v/>
      </c>
      <c r="C280" s="27"/>
      <c r="D280" s="27"/>
      <c r="E280" s="14" t="str">
        <f>IF(F280="","",IFERROR(INDEX(マスター!$F$5:$F$200,MATCH(F280,マスター!$E$5:$E$200,0)),"※マスター未登録"))</f>
        <v/>
      </c>
      <c r="F280" s="27"/>
      <c r="G280" s="27"/>
      <c r="H280" s="27"/>
      <c r="I280" s="27"/>
      <c r="J280" s="27"/>
      <c r="K280" s="27"/>
    </row>
    <row r="281" spans="1:11" x14ac:dyDescent="0.2">
      <c r="A281" s="26"/>
      <c r="B281" s="14" t="str">
        <f>IF(A281="","",CHOOSE(WEEKDAY(A281),"日","月","火","水","木","金","土"))</f>
        <v/>
      </c>
      <c r="C281" s="27"/>
      <c r="D281" s="27"/>
      <c r="E281" s="14" t="str">
        <f>IF(F281="","",IFERROR(INDEX(マスター!$F$5:$F$200,MATCH(F281,マスター!$E$5:$E$200,0)),"※マスター未登録"))</f>
        <v/>
      </c>
      <c r="F281" s="27"/>
      <c r="G281" s="27"/>
      <c r="H281" s="27"/>
      <c r="I281" s="27"/>
      <c r="J281" s="27"/>
      <c r="K281" s="27"/>
    </row>
    <row r="282" spans="1:11" x14ac:dyDescent="0.2">
      <c r="A282" s="26"/>
      <c r="B282" s="14" t="str">
        <f>IF(A282="","",CHOOSE(WEEKDAY(A282),"日","月","火","水","木","金","土"))</f>
        <v/>
      </c>
      <c r="C282" s="27"/>
      <c r="D282" s="27"/>
      <c r="E282" s="14" t="str">
        <f>IF(F282="","",IFERROR(INDEX(マスター!$F$5:$F$200,MATCH(F282,マスター!$E$5:$E$200,0)),"※マスター未登録"))</f>
        <v/>
      </c>
      <c r="F282" s="27"/>
      <c r="G282" s="27"/>
      <c r="H282" s="27"/>
      <c r="I282" s="27"/>
      <c r="J282" s="27"/>
      <c r="K282" s="27"/>
    </row>
    <row r="283" spans="1:11" x14ac:dyDescent="0.2">
      <c r="A283" s="26"/>
      <c r="B283" s="14" t="str">
        <f>IF(A283="","",CHOOSE(WEEKDAY(A283),"日","月","火","水","木","金","土"))</f>
        <v/>
      </c>
      <c r="C283" s="27"/>
      <c r="D283" s="27"/>
      <c r="E283" s="14" t="str">
        <f>IF(F283="","",IFERROR(INDEX(マスター!$F$5:$F$200,MATCH(F283,マスター!$E$5:$E$200,0)),"※マスター未登録"))</f>
        <v/>
      </c>
      <c r="F283" s="27"/>
      <c r="G283" s="27"/>
      <c r="H283" s="27"/>
      <c r="I283" s="27"/>
      <c r="J283" s="27"/>
      <c r="K283" s="27"/>
    </row>
    <row r="284" spans="1:11" x14ac:dyDescent="0.2">
      <c r="A284" s="26"/>
      <c r="B284" s="14" t="str">
        <f>IF(A284="","",CHOOSE(WEEKDAY(A284),"日","月","火","水","木","金","土"))</f>
        <v/>
      </c>
      <c r="C284" s="27"/>
      <c r="D284" s="27"/>
      <c r="E284" s="14" t="str">
        <f>IF(F284="","",IFERROR(INDEX(マスター!$F$5:$F$200,MATCH(F284,マスター!$E$5:$E$200,0)),"※マスター未登録"))</f>
        <v/>
      </c>
      <c r="F284" s="27"/>
      <c r="G284" s="27"/>
      <c r="H284" s="27"/>
      <c r="I284" s="27"/>
      <c r="J284" s="27"/>
      <c r="K284" s="27"/>
    </row>
    <row r="285" spans="1:11" x14ac:dyDescent="0.2">
      <c r="A285" s="26"/>
      <c r="B285" s="14" t="str">
        <f>IF(A285="","",CHOOSE(WEEKDAY(A285),"日","月","火","水","木","金","土"))</f>
        <v/>
      </c>
      <c r="C285" s="27"/>
      <c r="D285" s="27"/>
      <c r="E285" s="14" t="str">
        <f>IF(F285="","",IFERROR(INDEX(マスター!$F$5:$F$200,MATCH(F285,マスター!$E$5:$E$200,0)),"※マスター未登録"))</f>
        <v/>
      </c>
      <c r="F285" s="27"/>
      <c r="G285" s="27"/>
      <c r="H285" s="27"/>
      <c r="I285" s="27"/>
      <c r="J285" s="27"/>
      <c r="K285" s="27"/>
    </row>
    <row r="286" spans="1:11" x14ac:dyDescent="0.2">
      <c r="A286" s="26"/>
      <c r="B286" s="14" t="str">
        <f>IF(A286="","",CHOOSE(WEEKDAY(A286),"日","月","火","水","木","金","土"))</f>
        <v/>
      </c>
      <c r="C286" s="27"/>
      <c r="D286" s="27"/>
      <c r="E286" s="14" t="str">
        <f>IF(F286="","",IFERROR(INDEX(マスター!$F$5:$F$200,MATCH(F286,マスター!$E$5:$E$200,0)),"※マスター未登録"))</f>
        <v/>
      </c>
      <c r="F286" s="27"/>
      <c r="G286" s="27"/>
      <c r="H286" s="27"/>
      <c r="I286" s="27"/>
      <c r="J286" s="27"/>
      <c r="K286" s="27"/>
    </row>
    <row r="287" spans="1:11" x14ac:dyDescent="0.2">
      <c r="A287" s="26"/>
      <c r="B287" s="14" t="str">
        <f>IF(A287="","",CHOOSE(WEEKDAY(A287),"日","月","火","水","木","金","土"))</f>
        <v/>
      </c>
      <c r="C287" s="27"/>
      <c r="D287" s="27"/>
      <c r="E287" s="14" t="str">
        <f>IF(F287="","",IFERROR(INDEX(マスター!$F$5:$F$200,MATCH(F287,マスター!$E$5:$E$200,0)),"※マスター未登録"))</f>
        <v/>
      </c>
      <c r="F287" s="27"/>
      <c r="G287" s="27"/>
      <c r="H287" s="27"/>
      <c r="I287" s="27"/>
      <c r="J287" s="27"/>
      <c r="K287" s="27"/>
    </row>
    <row r="288" spans="1:11" x14ac:dyDescent="0.2">
      <c r="A288" s="26"/>
      <c r="B288" s="14" t="str">
        <f>IF(A288="","",CHOOSE(WEEKDAY(A288),"日","月","火","水","木","金","土"))</f>
        <v/>
      </c>
      <c r="C288" s="27"/>
      <c r="D288" s="27"/>
      <c r="E288" s="14" t="str">
        <f>IF(F288="","",IFERROR(INDEX(マスター!$F$5:$F$200,MATCH(F288,マスター!$E$5:$E$200,0)),"※マスター未登録"))</f>
        <v/>
      </c>
      <c r="F288" s="27"/>
      <c r="G288" s="27"/>
      <c r="H288" s="27"/>
      <c r="I288" s="27"/>
      <c r="J288" s="27"/>
      <c r="K288" s="27"/>
    </row>
    <row r="289" spans="1:11" x14ac:dyDescent="0.2">
      <c r="A289" s="26"/>
      <c r="B289" s="14" t="str">
        <f>IF(A289="","",CHOOSE(WEEKDAY(A289),"日","月","火","水","木","金","土"))</f>
        <v/>
      </c>
      <c r="C289" s="27"/>
      <c r="D289" s="27"/>
      <c r="E289" s="14" t="str">
        <f>IF(F289="","",IFERROR(INDEX(マスター!$F$5:$F$200,MATCH(F289,マスター!$E$5:$E$200,0)),"※マスター未登録"))</f>
        <v/>
      </c>
      <c r="F289" s="27"/>
      <c r="G289" s="27"/>
      <c r="H289" s="27"/>
      <c r="I289" s="27"/>
      <c r="J289" s="27"/>
      <c r="K289" s="27"/>
    </row>
    <row r="290" spans="1:11" x14ac:dyDescent="0.2">
      <c r="A290" s="26"/>
      <c r="B290" s="14" t="str">
        <f>IF(A290="","",CHOOSE(WEEKDAY(A290),"日","月","火","水","木","金","土"))</f>
        <v/>
      </c>
      <c r="C290" s="27"/>
      <c r="D290" s="27"/>
      <c r="E290" s="14" t="str">
        <f>IF(F290="","",IFERROR(INDEX(マスター!$F$5:$F$200,MATCH(F290,マスター!$E$5:$E$200,0)),"※マスター未登録"))</f>
        <v/>
      </c>
      <c r="F290" s="27"/>
      <c r="G290" s="27"/>
      <c r="H290" s="27"/>
      <c r="I290" s="27"/>
      <c r="J290" s="27"/>
      <c r="K290" s="27"/>
    </row>
    <row r="291" spans="1:11" x14ac:dyDescent="0.2">
      <c r="A291" s="26"/>
      <c r="B291" s="14" t="str">
        <f>IF(A291="","",CHOOSE(WEEKDAY(A291),"日","月","火","水","木","金","土"))</f>
        <v/>
      </c>
      <c r="C291" s="27"/>
      <c r="D291" s="27"/>
      <c r="E291" s="14" t="str">
        <f>IF(F291="","",IFERROR(INDEX(マスター!$F$5:$F$200,MATCH(F291,マスター!$E$5:$E$200,0)),"※マスター未登録"))</f>
        <v/>
      </c>
      <c r="F291" s="27"/>
      <c r="G291" s="27"/>
      <c r="H291" s="27"/>
      <c r="I291" s="27"/>
      <c r="J291" s="27"/>
      <c r="K291" s="27"/>
    </row>
    <row r="292" spans="1:11" x14ac:dyDescent="0.2">
      <c r="A292" s="26"/>
      <c r="B292" s="14" t="str">
        <f>IF(A292="","",CHOOSE(WEEKDAY(A292),"日","月","火","水","木","金","土"))</f>
        <v/>
      </c>
      <c r="C292" s="27"/>
      <c r="D292" s="27"/>
      <c r="E292" s="14" t="str">
        <f>IF(F292="","",IFERROR(INDEX(マスター!$F$5:$F$200,MATCH(F292,マスター!$E$5:$E$200,0)),"※マスター未登録"))</f>
        <v/>
      </c>
      <c r="F292" s="27"/>
      <c r="G292" s="27"/>
      <c r="H292" s="27"/>
      <c r="I292" s="27"/>
      <c r="J292" s="27"/>
      <c r="K292" s="27"/>
    </row>
    <row r="293" spans="1:11" x14ac:dyDescent="0.2">
      <c r="A293" s="26"/>
      <c r="B293" s="14" t="str">
        <f>IF(A293="","",CHOOSE(WEEKDAY(A293),"日","月","火","水","木","金","土"))</f>
        <v/>
      </c>
      <c r="C293" s="27"/>
      <c r="D293" s="27"/>
      <c r="E293" s="14" t="str">
        <f>IF(F293="","",IFERROR(INDEX(マスター!$F$5:$F$200,MATCH(F293,マスター!$E$5:$E$200,0)),"※マスター未登録"))</f>
        <v/>
      </c>
      <c r="F293" s="27"/>
      <c r="G293" s="27"/>
      <c r="H293" s="27"/>
      <c r="I293" s="27"/>
      <c r="J293" s="27"/>
      <c r="K293" s="27"/>
    </row>
    <row r="294" spans="1:11" x14ac:dyDescent="0.2">
      <c r="A294" s="26"/>
      <c r="B294" s="14" t="str">
        <f>IF(A294="","",CHOOSE(WEEKDAY(A294),"日","月","火","水","木","金","土"))</f>
        <v/>
      </c>
      <c r="C294" s="27"/>
      <c r="D294" s="27"/>
      <c r="E294" s="14" t="str">
        <f>IF(F294="","",IFERROR(INDEX(マスター!$F$5:$F$200,MATCH(F294,マスター!$E$5:$E$200,0)),"※マスター未登録"))</f>
        <v/>
      </c>
      <c r="F294" s="27"/>
      <c r="G294" s="27"/>
      <c r="H294" s="27"/>
      <c r="I294" s="27"/>
      <c r="J294" s="27"/>
      <c r="K294" s="27"/>
    </row>
    <row r="295" spans="1:11" x14ac:dyDescent="0.2">
      <c r="A295" s="26"/>
      <c r="B295" s="14" t="str">
        <f>IF(A295="","",CHOOSE(WEEKDAY(A295),"日","月","火","水","木","金","土"))</f>
        <v/>
      </c>
      <c r="C295" s="27"/>
      <c r="D295" s="27"/>
      <c r="E295" s="14" t="str">
        <f>IF(F295="","",IFERROR(INDEX(マスター!$F$5:$F$200,MATCH(F295,マスター!$E$5:$E$200,0)),"※マスター未登録"))</f>
        <v/>
      </c>
      <c r="F295" s="27"/>
      <c r="G295" s="27"/>
      <c r="H295" s="27"/>
      <c r="I295" s="27"/>
      <c r="J295" s="27"/>
      <c r="K295" s="27"/>
    </row>
    <row r="296" spans="1:11" x14ac:dyDescent="0.2">
      <c r="A296" s="26"/>
      <c r="B296" s="14" t="str">
        <f>IF(A296="","",CHOOSE(WEEKDAY(A296),"日","月","火","水","木","金","土"))</f>
        <v/>
      </c>
      <c r="C296" s="27"/>
      <c r="D296" s="27"/>
      <c r="E296" s="14" t="str">
        <f>IF(F296="","",IFERROR(INDEX(マスター!$F$5:$F$200,MATCH(F296,マスター!$E$5:$E$200,0)),"※マスター未登録"))</f>
        <v/>
      </c>
      <c r="F296" s="27"/>
      <c r="G296" s="27"/>
      <c r="H296" s="27"/>
      <c r="I296" s="27"/>
      <c r="J296" s="27"/>
      <c r="K296" s="27"/>
    </row>
    <row r="297" spans="1:11" x14ac:dyDescent="0.2">
      <c r="A297" s="26"/>
      <c r="B297" s="14" t="str">
        <f>IF(A297="","",CHOOSE(WEEKDAY(A297),"日","月","火","水","木","金","土"))</f>
        <v/>
      </c>
      <c r="C297" s="27"/>
      <c r="D297" s="27"/>
      <c r="E297" s="14" t="str">
        <f>IF(F297="","",IFERROR(INDEX(マスター!$F$5:$F$200,MATCH(F297,マスター!$E$5:$E$200,0)),"※マスター未登録"))</f>
        <v/>
      </c>
      <c r="F297" s="27"/>
      <c r="G297" s="27"/>
      <c r="H297" s="27"/>
      <c r="I297" s="27"/>
      <c r="J297" s="27"/>
      <c r="K297" s="27"/>
    </row>
    <row r="298" spans="1:11" x14ac:dyDescent="0.2">
      <c r="A298" s="26"/>
      <c r="B298" s="14" t="str">
        <f>IF(A298="","",CHOOSE(WEEKDAY(A298),"日","月","火","水","木","金","土"))</f>
        <v/>
      </c>
      <c r="C298" s="27"/>
      <c r="D298" s="27"/>
      <c r="E298" s="14" t="str">
        <f>IF(F298="","",IFERROR(INDEX(マスター!$F$5:$F$200,MATCH(F298,マスター!$E$5:$E$200,0)),"※マスター未登録"))</f>
        <v/>
      </c>
      <c r="F298" s="27"/>
      <c r="G298" s="27"/>
      <c r="H298" s="27"/>
      <c r="I298" s="27"/>
      <c r="J298" s="27"/>
      <c r="K298" s="27"/>
    </row>
    <row r="299" spans="1:11" x14ac:dyDescent="0.2">
      <c r="A299" s="26"/>
      <c r="B299" s="14" t="str">
        <f>IF(A299="","",CHOOSE(WEEKDAY(A299),"日","月","火","水","木","金","土"))</f>
        <v/>
      </c>
      <c r="C299" s="27"/>
      <c r="D299" s="27"/>
      <c r="E299" s="14" t="str">
        <f>IF(F299="","",IFERROR(INDEX(マスター!$F$5:$F$200,MATCH(F299,マスター!$E$5:$E$200,0)),"※マスター未登録"))</f>
        <v/>
      </c>
      <c r="F299" s="27"/>
      <c r="G299" s="27"/>
      <c r="H299" s="27"/>
      <c r="I299" s="27"/>
      <c r="J299" s="27"/>
      <c r="K299" s="27"/>
    </row>
    <row r="300" spans="1:11" x14ac:dyDescent="0.2">
      <c r="A300" s="26"/>
      <c r="B300" s="14" t="str">
        <f>IF(A300="","",CHOOSE(WEEKDAY(A300),"日","月","火","水","木","金","土"))</f>
        <v/>
      </c>
      <c r="C300" s="27"/>
      <c r="D300" s="27"/>
      <c r="E300" s="14" t="str">
        <f>IF(F300="","",IFERROR(INDEX(マスター!$F$5:$F$200,MATCH(F300,マスター!$E$5:$E$200,0)),"※マスター未登録"))</f>
        <v/>
      </c>
      <c r="F300" s="27"/>
      <c r="G300" s="27"/>
      <c r="H300" s="27"/>
      <c r="I300" s="27"/>
      <c r="J300" s="27"/>
      <c r="K300" s="27"/>
    </row>
    <row r="301" spans="1:11" x14ac:dyDescent="0.2">
      <c r="A301" s="26"/>
      <c r="B301" s="14" t="str">
        <f>IF(A301="","",CHOOSE(WEEKDAY(A301),"日","月","火","水","木","金","土"))</f>
        <v/>
      </c>
      <c r="C301" s="27"/>
      <c r="D301" s="27"/>
      <c r="E301" s="14" t="str">
        <f>IF(F301="","",IFERROR(INDEX(マスター!$F$5:$F$200,MATCH(F301,マスター!$E$5:$E$200,0)),"※マスター未登録"))</f>
        <v/>
      </c>
      <c r="F301" s="27"/>
      <c r="G301" s="27"/>
      <c r="H301" s="27"/>
      <c r="I301" s="27"/>
      <c r="J301" s="27"/>
      <c r="K301" s="27"/>
    </row>
    <row r="302" spans="1:11" x14ac:dyDescent="0.2">
      <c r="A302" s="26"/>
      <c r="B302" s="14" t="str">
        <f>IF(A302="","",CHOOSE(WEEKDAY(A302),"日","月","火","水","木","金","土"))</f>
        <v/>
      </c>
      <c r="C302" s="27"/>
      <c r="D302" s="27"/>
      <c r="E302" s="14" t="str">
        <f>IF(F302="","",IFERROR(INDEX(マスター!$F$5:$F$200,MATCH(F302,マスター!$E$5:$E$200,0)),"※マスター未登録"))</f>
        <v/>
      </c>
      <c r="F302" s="27"/>
      <c r="G302" s="27"/>
      <c r="H302" s="27"/>
      <c r="I302" s="27"/>
      <c r="J302" s="27"/>
      <c r="K302" s="27"/>
    </row>
    <row r="303" spans="1:11" x14ac:dyDescent="0.2">
      <c r="A303" s="26"/>
      <c r="B303" s="14" t="str">
        <f>IF(A303="","",CHOOSE(WEEKDAY(A303),"日","月","火","水","木","金","土"))</f>
        <v/>
      </c>
      <c r="C303" s="27"/>
      <c r="D303" s="27"/>
      <c r="E303" s="14" t="str">
        <f>IF(F303="","",IFERROR(INDEX(マスター!$F$5:$F$200,MATCH(F303,マスター!$E$5:$E$200,0)),"※マスター未登録"))</f>
        <v/>
      </c>
      <c r="F303" s="27"/>
      <c r="G303" s="27"/>
      <c r="H303" s="27"/>
      <c r="I303" s="27"/>
      <c r="J303" s="27"/>
      <c r="K303" s="27"/>
    </row>
    <row r="304" spans="1:11" x14ac:dyDescent="0.2">
      <c r="A304" s="26"/>
      <c r="B304" s="14" t="str">
        <f>IF(A304="","",CHOOSE(WEEKDAY(A304),"日","月","火","水","木","金","土"))</f>
        <v/>
      </c>
      <c r="C304" s="27"/>
      <c r="D304" s="27"/>
      <c r="E304" s="14" t="str">
        <f>IF(F304="","",IFERROR(INDEX(マスター!$F$5:$F$200,MATCH(F304,マスター!$E$5:$E$200,0)),"※マスター未登録"))</f>
        <v/>
      </c>
      <c r="F304" s="27"/>
      <c r="G304" s="27"/>
      <c r="H304" s="27"/>
      <c r="I304" s="27"/>
      <c r="J304" s="27"/>
      <c r="K304" s="27"/>
    </row>
    <row r="305" spans="1:11" x14ac:dyDescent="0.2">
      <c r="A305" s="26"/>
      <c r="B305" s="14" t="str">
        <f>IF(A305="","",CHOOSE(WEEKDAY(A305),"日","月","火","水","木","金","土"))</f>
        <v/>
      </c>
      <c r="C305" s="27"/>
      <c r="D305" s="27"/>
      <c r="E305" s="14" t="str">
        <f>IF(F305="","",IFERROR(INDEX(マスター!$F$5:$F$200,MATCH(F305,マスター!$E$5:$E$200,0)),"※マスター未登録"))</f>
        <v/>
      </c>
      <c r="F305" s="27"/>
      <c r="G305" s="27"/>
      <c r="H305" s="27"/>
      <c r="I305" s="27"/>
      <c r="J305" s="27"/>
      <c r="K305" s="27"/>
    </row>
    <row r="306" spans="1:11" x14ac:dyDescent="0.2">
      <c r="A306" s="26"/>
      <c r="B306" s="14" t="str">
        <f>IF(A306="","",CHOOSE(WEEKDAY(A306),"日","月","火","水","木","金","土"))</f>
        <v/>
      </c>
      <c r="C306" s="27"/>
      <c r="D306" s="27"/>
      <c r="E306" s="14" t="str">
        <f>IF(F306="","",IFERROR(INDEX(マスター!$F$5:$F$200,MATCH(F306,マスター!$E$5:$E$200,0)),"※マスター未登録"))</f>
        <v/>
      </c>
      <c r="F306" s="27"/>
      <c r="G306" s="27"/>
      <c r="H306" s="27"/>
      <c r="I306" s="27"/>
      <c r="J306" s="27"/>
      <c r="K306" s="27"/>
    </row>
    <row r="307" spans="1:11" x14ac:dyDescent="0.2">
      <c r="A307" s="26"/>
      <c r="B307" s="14" t="str">
        <f>IF(A307="","",CHOOSE(WEEKDAY(A307),"日","月","火","水","木","金","土"))</f>
        <v/>
      </c>
      <c r="C307" s="27"/>
      <c r="D307" s="27"/>
      <c r="E307" s="14" t="str">
        <f>IF(F307="","",IFERROR(INDEX(マスター!$F$5:$F$200,MATCH(F307,マスター!$E$5:$E$200,0)),"※マスター未登録"))</f>
        <v/>
      </c>
      <c r="F307" s="27"/>
      <c r="G307" s="27"/>
      <c r="H307" s="27"/>
      <c r="I307" s="27"/>
      <c r="J307" s="27"/>
      <c r="K307" s="27"/>
    </row>
    <row r="308" spans="1:11" x14ac:dyDescent="0.2">
      <c r="A308" s="26"/>
      <c r="B308" s="14" t="str">
        <f>IF(A308="","",CHOOSE(WEEKDAY(A308),"日","月","火","水","木","金","土"))</f>
        <v/>
      </c>
      <c r="C308" s="27"/>
      <c r="D308" s="27"/>
      <c r="E308" s="14" t="str">
        <f>IF(F308="","",IFERROR(INDEX(マスター!$F$5:$F$200,MATCH(F308,マスター!$E$5:$E$200,0)),"※マスター未登録"))</f>
        <v/>
      </c>
      <c r="F308" s="27"/>
      <c r="G308" s="27"/>
      <c r="H308" s="27"/>
      <c r="I308" s="27"/>
      <c r="J308" s="27"/>
      <c r="K308" s="27"/>
    </row>
    <row r="309" spans="1:11" x14ac:dyDescent="0.2">
      <c r="A309" s="26"/>
      <c r="B309" s="14" t="str">
        <f>IF(A309="","",CHOOSE(WEEKDAY(A309),"日","月","火","水","木","金","土"))</f>
        <v/>
      </c>
      <c r="C309" s="27"/>
      <c r="D309" s="27"/>
      <c r="E309" s="14" t="str">
        <f>IF(F309="","",IFERROR(INDEX(マスター!$F$5:$F$200,MATCH(F309,マスター!$E$5:$E$200,0)),"※マスター未登録"))</f>
        <v/>
      </c>
      <c r="F309" s="27"/>
      <c r="G309" s="27"/>
      <c r="H309" s="27"/>
      <c r="I309" s="27"/>
      <c r="J309" s="27"/>
      <c r="K309" s="27"/>
    </row>
    <row r="310" spans="1:11" x14ac:dyDescent="0.2">
      <c r="A310" s="26"/>
      <c r="B310" s="14" t="str">
        <f>IF(A310="","",CHOOSE(WEEKDAY(A310),"日","月","火","水","木","金","土"))</f>
        <v/>
      </c>
      <c r="C310" s="27"/>
      <c r="D310" s="27"/>
      <c r="E310" s="14" t="str">
        <f>IF(F310="","",IFERROR(INDEX(マスター!$F$5:$F$200,MATCH(F310,マスター!$E$5:$E$200,0)),"※マスター未登録"))</f>
        <v/>
      </c>
      <c r="F310" s="27"/>
      <c r="G310" s="27"/>
      <c r="H310" s="27"/>
      <c r="I310" s="27"/>
      <c r="J310" s="27"/>
      <c r="K310" s="27"/>
    </row>
    <row r="311" spans="1:11" x14ac:dyDescent="0.2">
      <c r="A311" s="26"/>
      <c r="B311" s="14" t="str">
        <f>IF(A311="","",CHOOSE(WEEKDAY(A311),"日","月","火","水","木","金","土"))</f>
        <v/>
      </c>
      <c r="C311" s="27"/>
      <c r="D311" s="27"/>
      <c r="E311" s="14" t="str">
        <f>IF(F311="","",IFERROR(INDEX(マスター!$F$5:$F$200,MATCH(F311,マスター!$E$5:$E$200,0)),"※マスター未登録"))</f>
        <v/>
      </c>
      <c r="F311" s="27"/>
      <c r="G311" s="27"/>
      <c r="H311" s="27"/>
      <c r="I311" s="27"/>
      <c r="J311" s="27"/>
      <c r="K311" s="27"/>
    </row>
    <row r="312" spans="1:11" x14ac:dyDescent="0.2">
      <c r="A312" s="26"/>
      <c r="B312" s="14" t="str">
        <f>IF(A312="","",CHOOSE(WEEKDAY(A312),"日","月","火","水","木","金","土"))</f>
        <v/>
      </c>
      <c r="C312" s="27"/>
      <c r="D312" s="27"/>
      <c r="E312" s="14" t="str">
        <f>IF(F312="","",IFERROR(INDEX(マスター!$F$5:$F$200,MATCH(F312,マスター!$E$5:$E$200,0)),"※マスター未登録"))</f>
        <v/>
      </c>
      <c r="F312" s="27"/>
      <c r="G312" s="27"/>
      <c r="H312" s="27"/>
      <c r="I312" s="27"/>
      <c r="J312" s="27"/>
      <c r="K312" s="27"/>
    </row>
    <row r="313" spans="1:11" x14ac:dyDescent="0.2">
      <c r="A313" s="26"/>
      <c r="B313" s="14" t="str">
        <f>IF(A313="","",CHOOSE(WEEKDAY(A313),"日","月","火","水","木","金","土"))</f>
        <v/>
      </c>
      <c r="C313" s="27"/>
      <c r="D313" s="27"/>
      <c r="E313" s="14" t="str">
        <f>IF(F313="","",IFERROR(INDEX(マスター!$F$5:$F$200,MATCH(F313,マスター!$E$5:$E$200,0)),"※マスター未登録"))</f>
        <v/>
      </c>
      <c r="F313" s="27"/>
      <c r="G313" s="27"/>
      <c r="H313" s="27"/>
      <c r="I313" s="27"/>
      <c r="J313" s="27"/>
      <c r="K313" s="27"/>
    </row>
    <row r="314" spans="1:11" x14ac:dyDescent="0.2">
      <c r="A314" s="26"/>
      <c r="B314" s="14" t="str">
        <f>IF(A314="","",CHOOSE(WEEKDAY(A314),"日","月","火","水","木","金","土"))</f>
        <v/>
      </c>
      <c r="C314" s="27"/>
      <c r="D314" s="27"/>
      <c r="E314" s="14" t="str">
        <f>IF(F314="","",IFERROR(INDEX(マスター!$F$5:$F$200,MATCH(F314,マスター!$E$5:$E$200,0)),"※マスター未登録"))</f>
        <v/>
      </c>
      <c r="F314" s="27"/>
      <c r="G314" s="27"/>
      <c r="H314" s="27"/>
      <c r="I314" s="27"/>
      <c r="J314" s="27"/>
      <c r="K314" s="27"/>
    </row>
    <row r="315" spans="1:11" x14ac:dyDescent="0.2">
      <c r="A315" s="26"/>
      <c r="B315" s="14" t="str">
        <f>IF(A315="","",CHOOSE(WEEKDAY(A315),"日","月","火","水","木","金","土"))</f>
        <v/>
      </c>
      <c r="C315" s="27"/>
      <c r="D315" s="27"/>
      <c r="E315" s="14" t="str">
        <f>IF(F315="","",IFERROR(INDEX(マスター!$F$5:$F$200,MATCH(F315,マスター!$E$5:$E$200,0)),"※マスター未登録"))</f>
        <v/>
      </c>
      <c r="F315" s="27"/>
      <c r="G315" s="27"/>
      <c r="H315" s="27"/>
      <c r="I315" s="27"/>
      <c r="J315" s="27"/>
      <c r="K315" s="27"/>
    </row>
    <row r="316" spans="1:11" x14ac:dyDescent="0.2">
      <c r="A316" s="26"/>
      <c r="B316" s="14" t="str">
        <f>IF(A316="","",CHOOSE(WEEKDAY(A316),"日","月","火","水","木","金","土"))</f>
        <v/>
      </c>
      <c r="C316" s="27"/>
      <c r="D316" s="27"/>
      <c r="E316" s="14" t="str">
        <f>IF(F316="","",IFERROR(INDEX(マスター!$F$5:$F$200,MATCH(F316,マスター!$E$5:$E$200,0)),"※マスター未登録"))</f>
        <v/>
      </c>
      <c r="F316" s="27"/>
      <c r="G316" s="27"/>
      <c r="H316" s="27"/>
      <c r="I316" s="27"/>
      <c r="J316" s="27"/>
      <c r="K316" s="27"/>
    </row>
    <row r="317" spans="1:11" x14ac:dyDescent="0.2">
      <c r="A317" s="26"/>
      <c r="B317" s="14" t="str">
        <f>IF(A317="","",CHOOSE(WEEKDAY(A317),"日","月","火","水","木","金","土"))</f>
        <v/>
      </c>
      <c r="C317" s="27"/>
      <c r="D317" s="27"/>
      <c r="E317" s="14" t="str">
        <f>IF(F317="","",IFERROR(INDEX(マスター!$F$5:$F$200,MATCH(F317,マスター!$E$5:$E$200,0)),"※マスター未登録"))</f>
        <v/>
      </c>
      <c r="F317" s="27"/>
      <c r="G317" s="27"/>
      <c r="H317" s="27"/>
      <c r="I317" s="27"/>
      <c r="J317" s="27"/>
      <c r="K317" s="27"/>
    </row>
    <row r="318" spans="1:11" x14ac:dyDescent="0.2">
      <c r="A318" s="26"/>
      <c r="B318" s="14" t="str">
        <f>IF(A318="","",CHOOSE(WEEKDAY(A318),"日","月","火","水","木","金","土"))</f>
        <v/>
      </c>
      <c r="C318" s="27"/>
      <c r="D318" s="27"/>
      <c r="E318" s="14" t="str">
        <f>IF(F318="","",IFERROR(INDEX(マスター!$F$5:$F$200,MATCH(F318,マスター!$E$5:$E$200,0)),"※マスター未登録"))</f>
        <v/>
      </c>
      <c r="F318" s="27"/>
      <c r="G318" s="27"/>
      <c r="H318" s="27"/>
      <c r="I318" s="27"/>
      <c r="J318" s="27"/>
      <c r="K318" s="27"/>
    </row>
    <row r="319" spans="1:11" x14ac:dyDescent="0.2">
      <c r="A319" s="26"/>
      <c r="B319" s="14" t="str">
        <f>IF(A319="","",CHOOSE(WEEKDAY(A319),"日","月","火","水","木","金","土"))</f>
        <v/>
      </c>
      <c r="C319" s="27"/>
      <c r="D319" s="27"/>
      <c r="E319" s="14" t="str">
        <f>IF(F319="","",IFERROR(INDEX(マスター!$F$5:$F$200,MATCH(F319,マスター!$E$5:$E$200,0)),"※マスター未登録"))</f>
        <v/>
      </c>
      <c r="F319" s="27"/>
      <c r="G319" s="27"/>
      <c r="H319" s="27"/>
      <c r="I319" s="27"/>
      <c r="J319" s="27"/>
      <c r="K319" s="27"/>
    </row>
    <row r="320" spans="1:11" x14ac:dyDescent="0.2">
      <c r="A320" s="26"/>
      <c r="B320" s="14" t="str">
        <f>IF(A320="","",CHOOSE(WEEKDAY(A320),"日","月","火","水","木","金","土"))</f>
        <v/>
      </c>
      <c r="C320" s="27"/>
      <c r="D320" s="27"/>
      <c r="E320" s="14" t="str">
        <f>IF(F320="","",IFERROR(INDEX(マスター!$F$5:$F$200,MATCH(F320,マスター!$E$5:$E$200,0)),"※マスター未登録"))</f>
        <v/>
      </c>
      <c r="F320" s="27"/>
      <c r="G320" s="27"/>
      <c r="H320" s="27"/>
      <c r="I320" s="27"/>
      <c r="J320" s="27"/>
      <c r="K320" s="27"/>
    </row>
    <row r="321" spans="1:11" x14ac:dyDescent="0.2">
      <c r="A321" s="26"/>
      <c r="B321" s="14" t="str">
        <f>IF(A321="","",CHOOSE(WEEKDAY(A321),"日","月","火","水","木","金","土"))</f>
        <v/>
      </c>
      <c r="C321" s="27"/>
      <c r="D321" s="27"/>
      <c r="E321" s="14" t="str">
        <f>IF(F321="","",IFERROR(INDEX(マスター!$F$5:$F$200,MATCH(F321,マスター!$E$5:$E$200,0)),"※マスター未登録"))</f>
        <v/>
      </c>
      <c r="F321" s="27"/>
      <c r="G321" s="27"/>
      <c r="H321" s="27"/>
      <c r="I321" s="27"/>
      <c r="J321" s="27"/>
      <c r="K321" s="27"/>
    </row>
    <row r="322" spans="1:11" x14ac:dyDescent="0.2">
      <c r="A322" s="26"/>
      <c r="B322" s="14" t="str">
        <f>IF(A322="","",CHOOSE(WEEKDAY(A322),"日","月","火","水","木","金","土"))</f>
        <v/>
      </c>
      <c r="C322" s="27"/>
      <c r="D322" s="27"/>
      <c r="E322" s="14" t="str">
        <f>IF(F322="","",IFERROR(INDEX(マスター!$F$5:$F$200,MATCH(F322,マスター!$E$5:$E$200,0)),"※マスター未登録"))</f>
        <v/>
      </c>
      <c r="F322" s="27"/>
      <c r="G322" s="27"/>
      <c r="H322" s="27"/>
      <c r="I322" s="27"/>
      <c r="J322" s="27"/>
      <c r="K322" s="27"/>
    </row>
    <row r="323" spans="1:11" x14ac:dyDescent="0.2">
      <c r="A323" s="26"/>
      <c r="B323" s="14" t="str">
        <f>IF(A323="","",CHOOSE(WEEKDAY(A323),"日","月","火","水","木","金","土"))</f>
        <v/>
      </c>
      <c r="C323" s="27"/>
      <c r="D323" s="27"/>
      <c r="E323" s="14" t="str">
        <f>IF(F323="","",IFERROR(INDEX(マスター!$F$5:$F$200,MATCH(F323,マスター!$E$5:$E$200,0)),"※マスター未登録"))</f>
        <v/>
      </c>
      <c r="F323" s="27"/>
      <c r="G323" s="27"/>
      <c r="H323" s="27"/>
      <c r="I323" s="27"/>
      <c r="J323" s="27"/>
      <c r="K323" s="27"/>
    </row>
    <row r="324" spans="1:11" x14ac:dyDescent="0.2">
      <c r="A324" s="26"/>
      <c r="B324" s="14" t="str">
        <f>IF(A324="","",CHOOSE(WEEKDAY(A324),"日","月","火","水","木","金","土"))</f>
        <v/>
      </c>
      <c r="C324" s="27"/>
      <c r="D324" s="27"/>
      <c r="E324" s="14" t="str">
        <f>IF(F324="","",IFERROR(INDEX(マスター!$F$5:$F$200,MATCH(F324,マスター!$E$5:$E$200,0)),"※マスター未登録"))</f>
        <v/>
      </c>
      <c r="F324" s="27"/>
      <c r="G324" s="27"/>
      <c r="H324" s="27"/>
      <c r="I324" s="27"/>
      <c r="J324" s="27"/>
      <c r="K324" s="27"/>
    </row>
    <row r="325" spans="1:11" x14ac:dyDescent="0.2">
      <c r="A325" s="26"/>
      <c r="B325" s="14" t="str">
        <f>IF(A325="","",CHOOSE(WEEKDAY(A325),"日","月","火","水","木","金","土"))</f>
        <v/>
      </c>
      <c r="C325" s="27"/>
      <c r="D325" s="27"/>
      <c r="E325" s="14" t="str">
        <f>IF(F325="","",IFERROR(INDEX(マスター!$F$5:$F$200,MATCH(F325,マスター!$E$5:$E$200,0)),"※マスター未登録"))</f>
        <v/>
      </c>
      <c r="F325" s="27"/>
      <c r="G325" s="27"/>
      <c r="H325" s="27"/>
      <c r="I325" s="27"/>
      <c r="J325" s="27"/>
      <c r="K325" s="27"/>
    </row>
    <row r="326" spans="1:11" x14ac:dyDescent="0.2">
      <c r="A326" s="26"/>
      <c r="B326" s="14" t="str">
        <f>IF(A326="","",CHOOSE(WEEKDAY(A326),"日","月","火","水","木","金","土"))</f>
        <v/>
      </c>
      <c r="C326" s="27"/>
      <c r="D326" s="27"/>
      <c r="E326" s="14" t="str">
        <f>IF(F326="","",IFERROR(INDEX(マスター!$F$5:$F$200,MATCH(F326,マスター!$E$5:$E$200,0)),"※マスター未登録"))</f>
        <v/>
      </c>
      <c r="F326" s="27"/>
      <c r="G326" s="27"/>
      <c r="H326" s="27"/>
      <c r="I326" s="27"/>
      <c r="J326" s="27"/>
      <c r="K326" s="27"/>
    </row>
    <row r="327" spans="1:11" x14ac:dyDescent="0.2">
      <c r="A327" s="26"/>
      <c r="B327" s="14" t="str">
        <f>IF(A327="","",CHOOSE(WEEKDAY(A327),"日","月","火","水","木","金","土"))</f>
        <v/>
      </c>
      <c r="C327" s="27"/>
      <c r="D327" s="27"/>
      <c r="E327" s="14" t="str">
        <f>IF(F327="","",IFERROR(INDEX(マスター!$F$5:$F$200,MATCH(F327,マスター!$E$5:$E$200,0)),"※マスター未登録"))</f>
        <v/>
      </c>
      <c r="F327" s="27"/>
      <c r="G327" s="27"/>
      <c r="H327" s="27"/>
      <c r="I327" s="27"/>
      <c r="J327" s="27"/>
      <c r="K327" s="27"/>
    </row>
    <row r="328" spans="1:11" x14ac:dyDescent="0.2">
      <c r="A328" s="26"/>
      <c r="B328" s="14" t="str">
        <f>IF(A328="","",CHOOSE(WEEKDAY(A328),"日","月","火","水","木","金","土"))</f>
        <v/>
      </c>
      <c r="C328" s="27"/>
      <c r="D328" s="27"/>
      <c r="E328" s="14" t="str">
        <f>IF(F328="","",IFERROR(INDEX(マスター!$F$5:$F$200,MATCH(F328,マスター!$E$5:$E$200,0)),"※マスター未登録"))</f>
        <v/>
      </c>
      <c r="F328" s="27"/>
      <c r="G328" s="27"/>
      <c r="H328" s="27"/>
      <c r="I328" s="27"/>
      <c r="J328" s="27"/>
      <c r="K328" s="27"/>
    </row>
    <row r="329" spans="1:11" x14ac:dyDescent="0.2">
      <c r="A329" s="26"/>
      <c r="B329" s="14" t="str">
        <f>IF(A329="","",CHOOSE(WEEKDAY(A329),"日","月","火","水","木","金","土"))</f>
        <v/>
      </c>
      <c r="C329" s="27"/>
      <c r="D329" s="27"/>
      <c r="E329" s="14" t="str">
        <f>IF(F329="","",IFERROR(INDEX(マスター!$F$5:$F$200,MATCH(F329,マスター!$E$5:$E$200,0)),"※マスター未登録"))</f>
        <v/>
      </c>
      <c r="F329" s="27"/>
      <c r="G329" s="27"/>
      <c r="H329" s="27"/>
      <c r="I329" s="27"/>
      <c r="J329" s="27"/>
      <c r="K329" s="27"/>
    </row>
    <row r="330" spans="1:11" x14ac:dyDescent="0.2">
      <c r="A330" s="26"/>
      <c r="B330" s="14" t="str">
        <f>IF(A330="","",CHOOSE(WEEKDAY(A330),"日","月","火","水","木","金","土"))</f>
        <v/>
      </c>
      <c r="C330" s="27"/>
      <c r="D330" s="27"/>
      <c r="E330" s="14" t="str">
        <f>IF(F330="","",IFERROR(INDEX(マスター!$F$5:$F$200,MATCH(F330,マスター!$E$5:$E$200,0)),"※マスター未登録"))</f>
        <v/>
      </c>
      <c r="F330" s="27"/>
      <c r="G330" s="27"/>
      <c r="H330" s="27"/>
      <c r="I330" s="27"/>
      <c r="J330" s="27"/>
      <c r="K330" s="27"/>
    </row>
    <row r="331" spans="1:11" x14ac:dyDescent="0.2">
      <c r="A331" s="26"/>
      <c r="B331" s="14" t="str">
        <f>IF(A331="","",CHOOSE(WEEKDAY(A331),"日","月","火","水","木","金","土"))</f>
        <v/>
      </c>
      <c r="C331" s="27"/>
      <c r="D331" s="27"/>
      <c r="E331" s="14" t="str">
        <f>IF(F331="","",IFERROR(INDEX(マスター!$F$5:$F$200,MATCH(F331,マスター!$E$5:$E$200,0)),"※マスター未登録"))</f>
        <v/>
      </c>
      <c r="F331" s="27"/>
      <c r="G331" s="27"/>
      <c r="H331" s="27"/>
      <c r="I331" s="27"/>
      <c r="J331" s="27"/>
      <c r="K331" s="27"/>
    </row>
    <row r="332" spans="1:11" x14ac:dyDescent="0.2">
      <c r="A332" s="26"/>
      <c r="B332" s="14" t="str">
        <f>IF(A332="","",CHOOSE(WEEKDAY(A332),"日","月","火","水","木","金","土"))</f>
        <v/>
      </c>
      <c r="C332" s="27"/>
      <c r="D332" s="27"/>
      <c r="E332" s="14" t="str">
        <f>IF(F332="","",IFERROR(INDEX(マスター!$F$5:$F$200,MATCH(F332,マスター!$E$5:$E$200,0)),"※マスター未登録"))</f>
        <v/>
      </c>
      <c r="F332" s="27"/>
      <c r="G332" s="27"/>
      <c r="H332" s="27"/>
      <c r="I332" s="27"/>
      <c r="J332" s="27"/>
      <c r="K332" s="27"/>
    </row>
    <row r="333" spans="1:11" x14ac:dyDescent="0.2">
      <c r="A333" s="26"/>
      <c r="B333" s="14" t="str">
        <f>IF(A333="","",CHOOSE(WEEKDAY(A333),"日","月","火","水","木","金","土"))</f>
        <v/>
      </c>
      <c r="C333" s="27"/>
      <c r="D333" s="27"/>
      <c r="E333" s="14" t="str">
        <f>IF(F333="","",IFERROR(INDEX(マスター!$F$5:$F$200,MATCH(F333,マスター!$E$5:$E$200,0)),"※マスター未登録"))</f>
        <v/>
      </c>
      <c r="F333" s="27"/>
      <c r="G333" s="27"/>
      <c r="H333" s="27"/>
      <c r="I333" s="27"/>
      <c r="J333" s="27"/>
      <c r="K333" s="27"/>
    </row>
    <row r="334" spans="1:11" x14ac:dyDescent="0.2">
      <c r="A334" s="26"/>
      <c r="B334" s="14" t="str">
        <f>IF(A334="","",CHOOSE(WEEKDAY(A334),"日","月","火","水","木","金","土"))</f>
        <v/>
      </c>
      <c r="C334" s="27"/>
      <c r="D334" s="27"/>
      <c r="E334" s="14" t="str">
        <f>IF(F334="","",IFERROR(INDEX(マスター!$F$5:$F$200,MATCH(F334,マスター!$E$5:$E$200,0)),"※マスター未登録"))</f>
        <v/>
      </c>
      <c r="F334" s="27"/>
      <c r="G334" s="27"/>
      <c r="H334" s="27"/>
      <c r="I334" s="27"/>
      <c r="J334" s="27"/>
      <c r="K334" s="27"/>
    </row>
    <row r="335" spans="1:11" x14ac:dyDescent="0.2">
      <c r="A335" s="26"/>
      <c r="B335" s="14" t="str">
        <f>IF(A335="","",CHOOSE(WEEKDAY(A335),"日","月","火","水","木","金","土"))</f>
        <v/>
      </c>
      <c r="C335" s="27"/>
      <c r="D335" s="27"/>
      <c r="E335" s="14" t="str">
        <f>IF(F335="","",IFERROR(INDEX(マスター!$F$5:$F$200,MATCH(F335,マスター!$E$5:$E$200,0)),"※マスター未登録"))</f>
        <v/>
      </c>
      <c r="F335" s="27"/>
      <c r="G335" s="27"/>
      <c r="H335" s="27"/>
      <c r="I335" s="27"/>
      <c r="J335" s="27"/>
      <c r="K335" s="27"/>
    </row>
    <row r="336" spans="1:11" x14ac:dyDescent="0.2">
      <c r="A336" s="26"/>
      <c r="B336" s="14" t="str">
        <f>IF(A336="","",CHOOSE(WEEKDAY(A336),"日","月","火","水","木","金","土"))</f>
        <v/>
      </c>
      <c r="C336" s="27"/>
      <c r="D336" s="27"/>
      <c r="E336" s="14" t="str">
        <f>IF(F336="","",IFERROR(INDEX(マスター!$F$5:$F$200,MATCH(F336,マスター!$E$5:$E$200,0)),"※マスター未登録"))</f>
        <v/>
      </c>
      <c r="F336" s="27"/>
      <c r="G336" s="27"/>
      <c r="H336" s="27"/>
      <c r="I336" s="27"/>
      <c r="J336" s="27"/>
      <c r="K336" s="27"/>
    </row>
    <row r="337" spans="1:11" x14ac:dyDescent="0.2">
      <c r="A337" s="26"/>
      <c r="B337" s="14" t="str">
        <f>IF(A337="","",CHOOSE(WEEKDAY(A337),"日","月","火","水","木","金","土"))</f>
        <v/>
      </c>
      <c r="C337" s="27"/>
      <c r="D337" s="27"/>
      <c r="E337" s="14" t="str">
        <f>IF(F337="","",IFERROR(INDEX(マスター!$F$5:$F$200,MATCH(F337,マスター!$E$5:$E$200,0)),"※マスター未登録"))</f>
        <v/>
      </c>
      <c r="F337" s="27"/>
      <c r="G337" s="27"/>
      <c r="H337" s="27"/>
      <c r="I337" s="27"/>
      <c r="J337" s="27"/>
      <c r="K337" s="27"/>
    </row>
    <row r="338" spans="1:11" x14ac:dyDescent="0.2">
      <c r="A338" s="26"/>
      <c r="B338" s="14" t="str">
        <f>IF(A338="","",CHOOSE(WEEKDAY(A338),"日","月","火","水","木","金","土"))</f>
        <v/>
      </c>
      <c r="C338" s="27"/>
      <c r="D338" s="27"/>
      <c r="E338" s="14" t="str">
        <f>IF(F338="","",IFERROR(INDEX(マスター!$F$5:$F$200,MATCH(F338,マスター!$E$5:$E$200,0)),"※マスター未登録"))</f>
        <v/>
      </c>
      <c r="F338" s="27"/>
      <c r="G338" s="27"/>
      <c r="H338" s="27"/>
      <c r="I338" s="27"/>
      <c r="J338" s="27"/>
      <c r="K338" s="27"/>
    </row>
    <row r="339" spans="1:11" x14ac:dyDescent="0.2">
      <c r="A339" s="26"/>
      <c r="B339" s="14" t="str">
        <f>IF(A339="","",CHOOSE(WEEKDAY(A339),"日","月","火","水","木","金","土"))</f>
        <v/>
      </c>
      <c r="C339" s="27"/>
      <c r="D339" s="27"/>
      <c r="E339" s="14" t="str">
        <f>IF(F339="","",IFERROR(INDEX(マスター!$F$5:$F$200,MATCH(F339,マスター!$E$5:$E$200,0)),"※マスター未登録"))</f>
        <v/>
      </c>
      <c r="F339" s="27"/>
      <c r="G339" s="27"/>
      <c r="H339" s="27"/>
      <c r="I339" s="27"/>
      <c r="J339" s="27"/>
      <c r="K339" s="27"/>
    </row>
    <row r="340" spans="1:11" x14ac:dyDescent="0.2">
      <c r="A340" s="26"/>
      <c r="B340" s="14" t="str">
        <f>IF(A340="","",CHOOSE(WEEKDAY(A340),"日","月","火","水","木","金","土"))</f>
        <v/>
      </c>
      <c r="C340" s="27"/>
      <c r="D340" s="27"/>
      <c r="E340" s="14" t="str">
        <f>IF(F340="","",IFERROR(INDEX(マスター!$F$5:$F$200,MATCH(F340,マスター!$E$5:$E$200,0)),"※マスター未登録"))</f>
        <v/>
      </c>
      <c r="F340" s="27"/>
      <c r="G340" s="27"/>
      <c r="H340" s="27"/>
      <c r="I340" s="27"/>
      <c r="J340" s="27"/>
      <c r="K340" s="27"/>
    </row>
    <row r="341" spans="1:11" x14ac:dyDescent="0.2">
      <c r="A341" s="26"/>
      <c r="B341" s="14" t="str">
        <f>IF(A341="","",CHOOSE(WEEKDAY(A341),"日","月","火","水","木","金","土"))</f>
        <v/>
      </c>
      <c r="C341" s="27"/>
      <c r="D341" s="27"/>
      <c r="E341" s="14" t="str">
        <f>IF(F341="","",IFERROR(INDEX(マスター!$F$5:$F$200,MATCH(F341,マスター!$E$5:$E$200,0)),"※マスター未登録"))</f>
        <v/>
      </c>
      <c r="F341" s="27"/>
      <c r="G341" s="27"/>
      <c r="H341" s="27"/>
      <c r="I341" s="27"/>
      <c r="J341" s="27"/>
      <c r="K341" s="27"/>
    </row>
    <row r="342" spans="1:11" x14ac:dyDescent="0.2">
      <c r="A342" s="26"/>
      <c r="B342" s="14" t="str">
        <f>IF(A342="","",CHOOSE(WEEKDAY(A342),"日","月","火","水","木","金","土"))</f>
        <v/>
      </c>
      <c r="C342" s="27"/>
      <c r="D342" s="27"/>
      <c r="E342" s="14" t="str">
        <f>IF(F342="","",IFERROR(INDEX(マスター!$F$5:$F$200,MATCH(F342,マスター!$E$5:$E$200,0)),"※マスター未登録"))</f>
        <v/>
      </c>
      <c r="F342" s="27"/>
      <c r="G342" s="27"/>
      <c r="H342" s="27"/>
      <c r="I342" s="27"/>
      <c r="J342" s="27"/>
      <c r="K342" s="27"/>
    </row>
    <row r="343" spans="1:11" x14ac:dyDescent="0.2">
      <c r="A343" s="26"/>
      <c r="B343" s="14" t="str">
        <f>IF(A343="","",CHOOSE(WEEKDAY(A343),"日","月","火","水","木","金","土"))</f>
        <v/>
      </c>
      <c r="C343" s="27"/>
      <c r="D343" s="27"/>
      <c r="E343" s="14" t="str">
        <f>IF(F343="","",IFERROR(INDEX(マスター!$F$5:$F$200,MATCH(F343,マスター!$E$5:$E$200,0)),"※マスター未登録"))</f>
        <v/>
      </c>
      <c r="F343" s="27"/>
      <c r="G343" s="27"/>
      <c r="H343" s="27"/>
      <c r="I343" s="27"/>
      <c r="J343" s="27"/>
      <c r="K343" s="27"/>
    </row>
    <row r="344" spans="1:11" x14ac:dyDescent="0.2">
      <c r="A344" s="26"/>
      <c r="B344" s="14" t="str">
        <f>IF(A344="","",CHOOSE(WEEKDAY(A344),"日","月","火","水","木","金","土"))</f>
        <v/>
      </c>
      <c r="C344" s="27"/>
      <c r="D344" s="27"/>
      <c r="E344" s="14" t="str">
        <f>IF(F344="","",IFERROR(INDEX(マスター!$F$5:$F$200,MATCH(F344,マスター!$E$5:$E$200,0)),"※マスター未登録"))</f>
        <v/>
      </c>
      <c r="F344" s="27"/>
      <c r="G344" s="27"/>
      <c r="H344" s="27"/>
      <c r="I344" s="27"/>
      <c r="J344" s="27"/>
      <c r="K344" s="27"/>
    </row>
    <row r="345" spans="1:11" x14ac:dyDescent="0.2">
      <c r="A345" s="26"/>
      <c r="B345" s="14" t="str">
        <f>IF(A345="","",CHOOSE(WEEKDAY(A345),"日","月","火","水","木","金","土"))</f>
        <v/>
      </c>
      <c r="C345" s="27"/>
      <c r="D345" s="27"/>
      <c r="E345" s="14" t="str">
        <f>IF(F345="","",IFERROR(INDEX(マスター!$F$5:$F$200,MATCH(F345,マスター!$E$5:$E$200,0)),"※マスター未登録"))</f>
        <v/>
      </c>
      <c r="F345" s="27"/>
      <c r="G345" s="27"/>
      <c r="H345" s="27"/>
      <c r="I345" s="27"/>
      <c r="J345" s="27"/>
      <c r="K345" s="27"/>
    </row>
    <row r="346" spans="1:11" x14ac:dyDescent="0.2">
      <c r="A346" s="26"/>
      <c r="B346" s="14" t="str">
        <f>IF(A346="","",CHOOSE(WEEKDAY(A346),"日","月","火","水","木","金","土"))</f>
        <v/>
      </c>
      <c r="C346" s="27"/>
      <c r="D346" s="27"/>
      <c r="E346" s="14" t="str">
        <f>IF(F346="","",IFERROR(INDEX(マスター!$F$5:$F$200,MATCH(F346,マスター!$E$5:$E$200,0)),"※マスター未登録"))</f>
        <v/>
      </c>
      <c r="F346" s="27"/>
      <c r="G346" s="27"/>
      <c r="H346" s="27"/>
      <c r="I346" s="27"/>
      <c r="J346" s="27"/>
      <c r="K346" s="27"/>
    </row>
    <row r="347" spans="1:11" x14ac:dyDescent="0.2">
      <c r="A347" s="26"/>
      <c r="B347" s="14" t="str">
        <f>IF(A347="","",CHOOSE(WEEKDAY(A347),"日","月","火","水","木","金","土"))</f>
        <v/>
      </c>
      <c r="C347" s="27"/>
      <c r="D347" s="27"/>
      <c r="E347" s="14" t="str">
        <f>IF(F347="","",IFERROR(INDEX(マスター!$F$5:$F$200,MATCH(F347,マスター!$E$5:$E$200,0)),"※マスター未登録"))</f>
        <v/>
      </c>
      <c r="F347" s="27"/>
      <c r="G347" s="27"/>
      <c r="H347" s="27"/>
      <c r="I347" s="27"/>
      <c r="J347" s="27"/>
      <c r="K347" s="27"/>
    </row>
    <row r="348" spans="1:11" x14ac:dyDescent="0.2">
      <c r="A348" s="26"/>
      <c r="B348" s="14" t="str">
        <f>IF(A348="","",CHOOSE(WEEKDAY(A348),"日","月","火","水","木","金","土"))</f>
        <v/>
      </c>
      <c r="C348" s="27"/>
      <c r="D348" s="27"/>
      <c r="E348" s="14" t="str">
        <f>IF(F348="","",IFERROR(INDEX(マスター!$F$5:$F$200,MATCH(F348,マスター!$E$5:$E$200,0)),"※マスター未登録"))</f>
        <v/>
      </c>
      <c r="F348" s="27"/>
      <c r="G348" s="27"/>
      <c r="H348" s="27"/>
      <c r="I348" s="27"/>
      <c r="J348" s="27"/>
      <c r="K348" s="27"/>
    </row>
    <row r="349" spans="1:11" x14ac:dyDescent="0.2">
      <c r="A349" s="26"/>
      <c r="B349" s="14" t="str">
        <f>IF(A349="","",CHOOSE(WEEKDAY(A349),"日","月","火","水","木","金","土"))</f>
        <v/>
      </c>
      <c r="C349" s="27"/>
      <c r="D349" s="27"/>
      <c r="E349" s="14" t="str">
        <f>IF(F349="","",IFERROR(INDEX(マスター!$F$5:$F$200,MATCH(F349,マスター!$E$5:$E$200,0)),"※マスター未登録"))</f>
        <v/>
      </c>
      <c r="F349" s="27"/>
      <c r="G349" s="27"/>
      <c r="H349" s="27"/>
      <c r="I349" s="27"/>
      <c r="J349" s="27"/>
      <c r="K349" s="27"/>
    </row>
    <row r="350" spans="1:11" x14ac:dyDescent="0.2">
      <c r="A350" s="26"/>
      <c r="B350" s="14" t="str">
        <f>IF(A350="","",CHOOSE(WEEKDAY(A350),"日","月","火","水","木","金","土"))</f>
        <v/>
      </c>
      <c r="C350" s="27"/>
      <c r="D350" s="27"/>
      <c r="E350" s="14" t="str">
        <f>IF(F350="","",IFERROR(INDEX(マスター!$F$5:$F$200,MATCH(F350,マスター!$E$5:$E$200,0)),"※マスター未登録"))</f>
        <v/>
      </c>
      <c r="F350" s="27"/>
      <c r="G350" s="27"/>
      <c r="H350" s="27"/>
      <c r="I350" s="27"/>
      <c r="J350" s="27"/>
      <c r="K350" s="27"/>
    </row>
    <row r="351" spans="1:11" x14ac:dyDescent="0.2">
      <c r="A351" s="26"/>
      <c r="B351" s="14" t="str">
        <f>IF(A351="","",CHOOSE(WEEKDAY(A351),"日","月","火","水","木","金","土"))</f>
        <v/>
      </c>
      <c r="C351" s="27"/>
      <c r="D351" s="27"/>
      <c r="E351" s="14" t="str">
        <f>IF(F351="","",IFERROR(INDEX(マスター!$F$5:$F$200,MATCH(F351,マスター!$E$5:$E$200,0)),"※マスター未登録"))</f>
        <v/>
      </c>
      <c r="F351" s="27"/>
      <c r="G351" s="27"/>
      <c r="H351" s="27"/>
      <c r="I351" s="27"/>
      <c r="J351" s="27"/>
      <c r="K351" s="27"/>
    </row>
    <row r="352" spans="1:11" x14ac:dyDescent="0.2">
      <c r="A352" s="26"/>
      <c r="B352" s="14" t="str">
        <f>IF(A352="","",CHOOSE(WEEKDAY(A352),"日","月","火","水","木","金","土"))</f>
        <v/>
      </c>
      <c r="C352" s="27"/>
      <c r="D352" s="27"/>
      <c r="E352" s="14" t="str">
        <f>IF(F352="","",IFERROR(INDEX(マスター!$F$5:$F$200,MATCH(F352,マスター!$E$5:$E$200,0)),"※マスター未登録"))</f>
        <v/>
      </c>
      <c r="F352" s="27"/>
      <c r="G352" s="27"/>
      <c r="H352" s="27"/>
      <c r="I352" s="27"/>
      <c r="J352" s="27"/>
      <c r="K352" s="27"/>
    </row>
    <row r="353" spans="1:11" x14ac:dyDescent="0.2">
      <c r="A353" s="26"/>
      <c r="B353" s="14" t="str">
        <f>IF(A353="","",CHOOSE(WEEKDAY(A353),"日","月","火","水","木","金","土"))</f>
        <v/>
      </c>
      <c r="C353" s="27"/>
      <c r="D353" s="27"/>
      <c r="E353" s="14" t="str">
        <f>IF(F353="","",IFERROR(INDEX(マスター!$F$5:$F$200,MATCH(F353,マスター!$E$5:$E$200,0)),"※マスター未登録"))</f>
        <v/>
      </c>
      <c r="F353" s="27"/>
      <c r="G353" s="27"/>
      <c r="H353" s="27"/>
      <c r="I353" s="27"/>
      <c r="J353" s="27"/>
      <c r="K353" s="27"/>
    </row>
    <row r="354" spans="1:11" x14ac:dyDescent="0.2">
      <c r="A354" s="26"/>
      <c r="B354" s="14" t="str">
        <f>IF(A354="","",CHOOSE(WEEKDAY(A354),"日","月","火","水","木","金","土"))</f>
        <v/>
      </c>
      <c r="C354" s="27"/>
      <c r="D354" s="27"/>
      <c r="E354" s="14" t="str">
        <f>IF(F354="","",IFERROR(INDEX(マスター!$F$5:$F$200,MATCH(F354,マスター!$E$5:$E$200,0)),"※マスター未登録"))</f>
        <v/>
      </c>
      <c r="F354" s="27"/>
      <c r="G354" s="27"/>
      <c r="H354" s="27"/>
      <c r="I354" s="27"/>
      <c r="J354" s="27"/>
      <c r="K354" s="27"/>
    </row>
    <row r="355" spans="1:11" x14ac:dyDescent="0.2">
      <c r="A355" s="26"/>
      <c r="B355" s="14" t="str">
        <f>IF(A355="","",CHOOSE(WEEKDAY(A355),"日","月","火","水","木","金","土"))</f>
        <v/>
      </c>
      <c r="C355" s="27"/>
      <c r="D355" s="27"/>
      <c r="E355" s="14" t="str">
        <f>IF(F355="","",IFERROR(INDEX(マスター!$F$5:$F$200,MATCH(F355,マスター!$E$5:$E$200,0)),"※マスター未登録"))</f>
        <v/>
      </c>
      <c r="F355" s="27"/>
      <c r="G355" s="27"/>
      <c r="H355" s="27"/>
      <c r="I355" s="27"/>
      <c r="J355" s="27"/>
      <c r="K355" s="27"/>
    </row>
    <row r="356" spans="1:11" x14ac:dyDescent="0.2">
      <c r="A356" s="26"/>
      <c r="B356" s="14" t="str">
        <f>IF(A356="","",CHOOSE(WEEKDAY(A356),"日","月","火","水","木","金","土"))</f>
        <v/>
      </c>
      <c r="C356" s="27"/>
      <c r="D356" s="27"/>
      <c r="E356" s="14" t="str">
        <f>IF(F356="","",IFERROR(INDEX(マスター!$F$5:$F$200,MATCH(F356,マスター!$E$5:$E$200,0)),"※マスター未登録"))</f>
        <v/>
      </c>
      <c r="F356" s="27"/>
      <c r="G356" s="27"/>
      <c r="H356" s="27"/>
      <c r="I356" s="27"/>
      <c r="J356" s="27"/>
      <c r="K356" s="27"/>
    </row>
    <row r="357" spans="1:11" x14ac:dyDescent="0.2">
      <c r="A357" s="26"/>
      <c r="B357" s="14" t="str">
        <f>IF(A357="","",CHOOSE(WEEKDAY(A357),"日","月","火","水","木","金","土"))</f>
        <v/>
      </c>
      <c r="C357" s="27"/>
      <c r="D357" s="27"/>
      <c r="E357" s="14" t="str">
        <f>IF(F357="","",IFERROR(INDEX(マスター!$F$5:$F$200,MATCH(F357,マスター!$E$5:$E$200,0)),"※マスター未登録"))</f>
        <v/>
      </c>
      <c r="F357" s="27"/>
      <c r="G357" s="27"/>
      <c r="H357" s="27"/>
      <c r="I357" s="27"/>
      <c r="J357" s="27"/>
      <c r="K357" s="27"/>
    </row>
    <row r="358" spans="1:11" x14ac:dyDescent="0.2">
      <c r="A358" s="26"/>
      <c r="B358" s="14" t="str">
        <f>IF(A358="","",CHOOSE(WEEKDAY(A358),"日","月","火","水","木","金","土"))</f>
        <v/>
      </c>
      <c r="C358" s="27"/>
      <c r="D358" s="27"/>
      <c r="E358" s="14" t="str">
        <f>IF(F358="","",IFERROR(INDEX(マスター!$F$5:$F$200,MATCH(F358,マスター!$E$5:$E$200,0)),"※マスター未登録"))</f>
        <v/>
      </c>
      <c r="F358" s="27"/>
      <c r="G358" s="27"/>
      <c r="H358" s="27"/>
      <c r="I358" s="27"/>
      <c r="J358" s="27"/>
      <c r="K358" s="27"/>
    </row>
    <row r="359" spans="1:11" x14ac:dyDescent="0.2">
      <c r="A359" s="26"/>
      <c r="B359" s="14" t="str">
        <f>IF(A359="","",CHOOSE(WEEKDAY(A359),"日","月","火","水","木","金","土"))</f>
        <v/>
      </c>
      <c r="C359" s="27"/>
      <c r="D359" s="27"/>
      <c r="E359" s="14" t="str">
        <f>IF(F359="","",IFERROR(INDEX(マスター!$F$5:$F$200,MATCH(F359,マスター!$E$5:$E$200,0)),"※マスター未登録"))</f>
        <v/>
      </c>
      <c r="F359" s="27"/>
      <c r="G359" s="27"/>
      <c r="H359" s="27"/>
      <c r="I359" s="27"/>
      <c r="J359" s="27"/>
      <c r="K359" s="27"/>
    </row>
    <row r="360" spans="1:11" x14ac:dyDescent="0.2">
      <c r="A360" s="26"/>
      <c r="B360" s="14" t="str">
        <f>IF(A360="","",CHOOSE(WEEKDAY(A360),"日","月","火","水","木","金","土"))</f>
        <v/>
      </c>
      <c r="C360" s="27"/>
      <c r="D360" s="27"/>
      <c r="E360" s="14" t="str">
        <f>IF(F360="","",IFERROR(INDEX(マスター!$F$5:$F$200,MATCH(F360,マスター!$E$5:$E$200,0)),"※マスター未登録"))</f>
        <v/>
      </c>
      <c r="F360" s="27"/>
      <c r="G360" s="27"/>
      <c r="H360" s="27"/>
      <c r="I360" s="27"/>
      <c r="J360" s="27"/>
      <c r="K360" s="27"/>
    </row>
    <row r="361" spans="1:11" x14ac:dyDescent="0.2">
      <c r="A361" s="26"/>
      <c r="B361" s="14" t="str">
        <f>IF(A361="","",CHOOSE(WEEKDAY(A361),"日","月","火","水","木","金","土"))</f>
        <v/>
      </c>
      <c r="C361" s="27"/>
      <c r="D361" s="27"/>
      <c r="E361" s="14" t="str">
        <f>IF(F361="","",IFERROR(INDEX(マスター!$F$5:$F$200,MATCH(F361,マスター!$E$5:$E$200,0)),"※マスター未登録"))</f>
        <v/>
      </c>
      <c r="F361" s="27"/>
      <c r="G361" s="27"/>
      <c r="H361" s="27"/>
      <c r="I361" s="27"/>
      <c r="J361" s="27"/>
      <c r="K361" s="27"/>
    </row>
    <row r="362" spans="1:11" x14ac:dyDescent="0.2">
      <c r="A362" s="26"/>
      <c r="B362" s="14" t="str">
        <f>IF(A362="","",CHOOSE(WEEKDAY(A362),"日","月","火","水","木","金","土"))</f>
        <v/>
      </c>
      <c r="C362" s="27"/>
      <c r="D362" s="27"/>
      <c r="E362" s="14" t="str">
        <f>IF(F362="","",IFERROR(INDEX(マスター!$F$5:$F$200,MATCH(F362,マスター!$E$5:$E$200,0)),"※マスター未登録"))</f>
        <v/>
      </c>
      <c r="F362" s="27"/>
      <c r="G362" s="27"/>
      <c r="H362" s="27"/>
      <c r="I362" s="27"/>
      <c r="J362" s="27"/>
      <c r="K362" s="27"/>
    </row>
    <row r="363" spans="1:11" x14ac:dyDescent="0.2">
      <c r="A363" s="26"/>
      <c r="B363" s="14" t="str">
        <f>IF(A363="","",CHOOSE(WEEKDAY(A363),"日","月","火","水","木","金","土"))</f>
        <v/>
      </c>
      <c r="C363" s="27"/>
      <c r="D363" s="27"/>
      <c r="E363" s="14" t="str">
        <f>IF(F363="","",IFERROR(INDEX(マスター!$F$5:$F$200,MATCH(F363,マスター!$E$5:$E$200,0)),"※マスター未登録"))</f>
        <v/>
      </c>
      <c r="F363" s="27"/>
      <c r="G363" s="27"/>
      <c r="H363" s="27"/>
      <c r="I363" s="27"/>
      <c r="J363" s="27"/>
      <c r="K363" s="27"/>
    </row>
    <row r="364" spans="1:11" x14ac:dyDescent="0.2">
      <c r="A364" s="26"/>
      <c r="B364" s="14" t="str">
        <f>IF(A364="","",CHOOSE(WEEKDAY(A364),"日","月","火","水","木","金","土"))</f>
        <v/>
      </c>
      <c r="C364" s="27"/>
      <c r="D364" s="27"/>
      <c r="E364" s="14" t="str">
        <f>IF(F364="","",IFERROR(INDEX(マスター!$F$5:$F$200,MATCH(F364,マスター!$E$5:$E$200,0)),"※マスター未登録"))</f>
        <v/>
      </c>
      <c r="F364" s="27"/>
      <c r="G364" s="27"/>
      <c r="H364" s="27"/>
      <c r="I364" s="27"/>
      <c r="J364" s="27"/>
      <c r="K364" s="27"/>
    </row>
    <row r="365" spans="1:11" x14ac:dyDescent="0.2">
      <c r="A365" s="26"/>
      <c r="B365" s="14" t="str">
        <f>IF(A365="","",CHOOSE(WEEKDAY(A365),"日","月","火","水","木","金","土"))</f>
        <v/>
      </c>
      <c r="C365" s="27"/>
      <c r="D365" s="27"/>
      <c r="E365" s="14" t="str">
        <f>IF(F365="","",IFERROR(INDEX(マスター!$F$5:$F$200,MATCH(F365,マスター!$E$5:$E$200,0)),"※マスター未登録"))</f>
        <v/>
      </c>
      <c r="F365" s="27"/>
      <c r="G365" s="27"/>
      <c r="H365" s="27"/>
      <c r="I365" s="27"/>
      <c r="J365" s="27"/>
      <c r="K365" s="27"/>
    </row>
    <row r="366" spans="1:11" x14ac:dyDescent="0.2">
      <c r="A366" s="26"/>
      <c r="B366" s="14" t="str">
        <f>IF(A366="","",CHOOSE(WEEKDAY(A366),"日","月","火","水","木","金","土"))</f>
        <v/>
      </c>
      <c r="C366" s="27"/>
      <c r="D366" s="27"/>
      <c r="E366" s="14" t="str">
        <f>IF(F366="","",IFERROR(INDEX(マスター!$F$5:$F$200,MATCH(F366,マスター!$E$5:$E$200,0)),"※マスター未登録"))</f>
        <v/>
      </c>
      <c r="F366" s="27"/>
      <c r="G366" s="27"/>
      <c r="H366" s="27"/>
      <c r="I366" s="27"/>
      <c r="J366" s="27"/>
      <c r="K366" s="27"/>
    </row>
    <row r="367" spans="1:11" x14ac:dyDescent="0.2">
      <c r="A367" s="26"/>
      <c r="B367" s="14" t="str">
        <f>IF(A367="","",CHOOSE(WEEKDAY(A367),"日","月","火","水","木","金","土"))</f>
        <v/>
      </c>
      <c r="C367" s="27"/>
      <c r="D367" s="27"/>
      <c r="E367" s="14" t="str">
        <f>IF(F367="","",IFERROR(INDEX(マスター!$F$5:$F$200,MATCH(F367,マスター!$E$5:$E$200,0)),"※マスター未登録"))</f>
        <v/>
      </c>
      <c r="F367" s="27"/>
      <c r="G367" s="27"/>
      <c r="H367" s="27"/>
      <c r="I367" s="27"/>
      <c r="J367" s="27"/>
      <c r="K367" s="27"/>
    </row>
    <row r="368" spans="1:11" x14ac:dyDescent="0.2">
      <c r="A368" s="26"/>
      <c r="B368" s="14" t="str">
        <f>IF(A368="","",CHOOSE(WEEKDAY(A368),"日","月","火","水","木","金","土"))</f>
        <v/>
      </c>
      <c r="C368" s="27"/>
      <c r="D368" s="27"/>
      <c r="E368" s="14" t="str">
        <f>IF(F368="","",IFERROR(INDEX(マスター!$F$5:$F$200,MATCH(F368,マスター!$E$5:$E$200,0)),"※マスター未登録"))</f>
        <v/>
      </c>
      <c r="F368" s="27"/>
      <c r="G368" s="27"/>
      <c r="H368" s="27"/>
      <c r="I368" s="27"/>
      <c r="J368" s="27"/>
      <c r="K368" s="27"/>
    </row>
    <row r="369" spans="1:11" x14ac:dyDescent="0.2">
      <c r="A369" s="26"/>
      <c r="B369" s="14" t="str">
        <f>IF(A369="","",CHOOSE(WEEKDAY(A369),"日","月","火","水","木","金","土"))</f>
        <v/>
      </c>
      <c r="C369" s="27"/>
      <c r="D369" s="27"/>
      <c r="E369" s="14" t="str">
        <f>IF(F369="","",IFERROR(INDEX(マスター!$F$5:$F$200,MATCH(F369,マスター!$E$5:$E$200,0)),"※マスター未登録"))</f>
        <v/>
      </c>
      <c r="F369" s="27"/>
      <c r="G369" s="27"/>
      <c r="H369" s="27"/>
      <c r="I369" s="27"/>
      <c r="J369" s="27"/>
      <c r="K369" s="27"/>
    </row>
    <row r="370" spans="1:11" x14ac:dyDescent="0.2">
      <c r="A370" s="26"/>
      <c r="B370" s="14" t="str">
        <f>IF(A370="","",CHOOSE(WEEKDAY(A370),"日","月","火","水","木","金","土"))</f>
        <v/>
      </c>
      <c r="C370" s="27"/>
      <c r="D370" s="27"/>
      <c r="E370" s="14" t="str">
        <f>IF(F370="","",IFERROR(INDEX(マスター!$F$5:$F$200,MATCH(F370,マスター!$E$5:$E$200,0)),"※マスター未登録"))</f>
        <v/>
      </c>
      <c r="F370" s="27"/>
      <c r="G370" s="27"/>
      <c r="H370" s="27"/>
      <c r="I370" s="27"/>
      <c r="J370" s="27"/>
      <c r="K370" s="27"/>
    </row>
    <row r="371" spans="1:11" x14ac:dyDescent="0.2">
      <c r="A371" s="26"/>
      <c r="B371" s="14" t="str">
        <f>IF(A371="","",CHOOSE(WEEKDAY(A371),"日","月","火","水","木","金","土"))</f>
        <v/>
      </c>
      <c r="C371" s="27"/>
      <c r="D371" s="27"/>
      <c r="E371" s="14" t="str">
        <f>IF(F371="","",IFERROR(INDEX(マスター!$F$5:$F$200,MATCH(F371,マスター!$E$5:$E$200,0)),"※マスター未登録"))</f>
        <v/>
      </c>
      <c r="F371" s="27"/>
      <c r="G371" s="27"/>
      <c r="H371" s="27"/>
      <c r="I371" s="27"/>
      <c r="J371" s="27"/>
      <c r="K371" s="27"/>
    </row>
    <row r="372" spans="1:11" x14ac:dyDescent="0.2">
      <c r="A372" s="26"/>
      <c r="B372" s="14" t="str">
        <f>IF(A372="","",CHOOSE(WEEKDAY(A372),"日","月","火","水","木","金","土"))</f>
        <v/>
      </c>
      <c r="C372" s="27"/>
      <c r="D372" s="27"/>
      <c r="E372" s="14" t="str">
        <f>IF(F372="","",IFERROR(INDEX(マスター!$F$5:$F$200,MATCH(F372,マスター!$E$5:$E$200,0)),"※マスター未登録"))</f>
        <v/>
      </c>
      <c r="F372" s="27"/>
      <c r="G372" s="27"/>
      <c r="H372" s="27"/>
      <c r="I372" s="27"/>
      <c r="J372" s="27"/>
      <c r="K372" s="27"/>
    </row>
    <row r="373" spans="1:11" x14ac:dyDescent="0.2">
      <c r="A373" s="26"/>
      <c r="B373" s="14" t="str">
        <f>IF(A373="","",CHOOSE(WEEKDAY(A373),"日","月","火","水","木","金","土"))</f>
        <v/>
      </c>
      <c r="C373" s="27"/>
      <c r="D373" s="27"/>
      <c r="E373" s="14" t="str">
        <f>IF(F373="","",IFERROR(INDEX(マスター!$F$5:$F$200,MATCH(F373,マスター!$E$5:$E$200,0)),"※マスター未登録"))</f>
        <v/>
      </c>
      <c r="F373" s="27"/>
      <c r="G373" s="27"/>
      <c r="H373" s="27"/>
      <c r="I373" s="27"/>
      <c r="J373" s="27"/>
      <c r="K373" s="27"/>
    </row>
    <row r="374" spans="1:11" x14ac:dyDescent="0.2">
      <c r="A374" s="26"/>
      <c r="B374" s="14" t="str">
        <f>IF(A374="","",CHOOSE(WEEKDAY(A374),"日","月","火","水","木","金","土"))</f>
        <v/>
      </c>
      <c r="C374" s="27"/>
      <c r="D374" s="27"/>
      <c r="E374" s="14" t="str">
        <f>IF(F374="","",IFERROR(INDEX(マスター!$F$5:$F$200,MATCH(F374,マスター!$E$5:$E$200,0)),"※マスター未登録"))</f>
        <v/>
      </c>
      <c r="F374" s="27"/>
      <c r="G374" s="27"/>
      <c r="H374" s="27"/>
      <c r="I374" s="27"/>
      <c r="J374" s="27"/>
      <c r="K374" s="27"/>
    </row>
    <row r="375" spans="1:11" x14ac:dyDescent="0.2">
      <c r="A375" s="26"/>
      <c r="B375" s="14" t="str">
        <f>IF(A375="","",CHOOSE(WEEKDAY(A375),"日","月","火","水","木","金","土"))</f>
        <v/>
      </c>
      <c r="C375" s="27"/>
      <c r="D375" s="27"/>
      <c r="E375" s="14" t="str">
        <f>IF(F375="","",IFERROR(INDEX(マスター!$F$5:$F$200,MATCH(F375,マスター!$E$5:$E$200,0)),"※マスター未登録"))</f>
        <v/>
      </c>
      <c r="F375" s="27"/>
      <c r="G375" s="27"/>
      <c r="H375" s="27"/>
      <c r="I375" s="27"/>
      <c r="J375" s="27"/>
      <c r="K375" s="27"/>
    </row>
    <row r="376" spans="1:11" x14ac:dyDescent="0.2">
      <c r="A376" s="26"/>
      <c r="B376" s="14" t="str">
        <f>IF(A376="","",CHOOSE(WEEKDAY(A376),"日","月","火","水","木","金","土"))</f>
        <v/>
      </c>
      <c r="C376" s="27"/>
      <c r="D376" s="27"/>
      <c r="E376" s="14" t="str">
        <f>IF(F376="","",IFERROR(INDEX(マスター!$F$5:$F$200,MATCH(F376,マスター!$E$5:$E$200,0)),"※マスター未登録"))</f>
        <v/>
      </c>
      <c r="F376" s="27"/>
      <c r="G376" s="27"/>
      <c r="H376" s="27"/>
      <c r="I376" s="27"/>
      <c r="J376" s="27"/>
      <c r="K376" s="27"/>
    </row>
    <row r="377" spans="1:11" x14ac:dyDescent="0.2">
      <c r="A377" s="26"/>
      <c r="B377" s="14" t="str">
        <f>IF(A377="","",CHOOSE(WEEKDAY(A377),"日","月","火","水","木","金","土"))</f>
        <v/>
      </c>
      <c r="C377" s="27"/>
      <c r="D377" s="27"/>
      <c r="E377" s="14" t="str">
        <f>IF(F377="","",IFERROR(INDEX(マスター!$F$5:$F$200,MATCH(F377,マスター!$E$5:$E$200,0)),"※マスター未登録"))</f>
        <v/>
      </c>
      <c r="F377" s="27"/>
      <c r="G377" s="27"/>
      <c r="H377" s="27"/>
      <c r="I377" s="27"/>
      <c r="J377" s="27"/>
      <c r="K377" s="27"/>
    </row>
    <row r="378" spans="1:11" x14ac:dyDescent="0.2">
      <c r="A378" s="26"/>
      <c r="B378" s="14" t="str">
        <f>IF(A378="","",CHOOSE(WEEKDAY(A378),"日","月","火","水","木","金","土"))</f>
        <v/>
      </c>
      <c r="C378" s="27"/>
      <c r="D378" s="27"/>
      <c r="E378" s="14" t="str">
        <f>IF(F378="","",IFERROR(INDEX(マスター!$F$5:$F$200,MATCH(F378,マスター!$E$5:$E$200,0)),"※マスター未登録"))</f>
        <v/>
      </c>
      <c r="F378" s="27"/>
      <c r="G378" s="27"/>
      <c r="H378" s="27"/>
      <c r="I378" s="27"/>
      <c r="J378" s="27"/>
      <c r="K378" s="27"/>
    </row>
    <row r="379" spans="1:11" x14ac:dyDescent="0.2">
      <c r="A379" s="26"/>
      <c r="B379" s="14" t="str">
        <f>IF(A379="","",CHOOSE(WEEKDAY(A379),"日","月","火","水","木","金","土"))</f>
        <v/>
      </c>
      <c r="C379" s="27"/>
      <c r="D379" s="27"/>
      <c r="E379" s="14" t="str">
        <f>IF(F379="","",IFERROR(INDEX(マスター!$F$5:$F$200,MATCH(F379,マスター!$E$5:$E$200,0)),"※マスター未登録"))</f>
        <v/>
      </c>
      <c r="F379" s="27"/>
      <c r="G379" s="27"/>
      <c r="H379" s="27"/>
      <c r="I379" s="27"/>
      <c r="J379" s="27"/>
      <c r="K379" s="27"/>
    </row>
    <row r="380" spans="1:11" x14ac:dyDescent="0.2">
      <c r="A380" s="26"/>
      <c r="B380" s="14" t="str">
        <f>IF(A380="","",CHOOSE(WEEKDAY(A380),"日","月","火","水","木","金","土"))</f>
        <v/>
      </c>
      <c r="C380" s="27"/>
      <c r="D380" s="27"/>
      <c r="E380" s="14" t="str">
        <f>IF(F380="","",IFERROR(INDEX(マスター!$F$5:$F$200,MATCH(F380,マスター!$E$5:$E$200,0)),"※マスター未登録"))</f>
        <v/>
      </c>
      <c r="F380" s="27"/>
      <c r="G380" s="27"/>
      <c r="H380" s="27"/>
      <c r="I380" s="27"/>
      <c r="J380" s="27"/>
      <c r="K380" s="27"/>
    </row>
    <row r="381" spans="1:11" x14ac:dyDescent="0.2">
      <c r="A381" s="26"/>
      <c r="B381" s="14" t="str">
        <f>IF(A381="","",CHOOSE(WEEKDAY(A381),"日","月","火","水","木","金","土"))</f>
        <v/>
      </c>
      <c r="C381" s="27"/>
      <c r="D381" s="27"/>
      <c r="E381" s="14" t="str">
        <f>IF(F381="","",IFERROR(INDEX(マスター!$F$5:$F$200,MATCH(F381,マスター!$E$5:$E$200,0)),"※マスター未登録"))</f>
        <v/>
      </c>
      <c r="F381" s="27"/>
      <c r="G381" s="27"/>
      <c r="H381" s="27"/>
      <c r="I381" s="27"/>
      <c r="J381" s="27"/>
      <c r="K381" s="27"/>
    </row>
    <row r="382" spans="1:11" x14ac:dyDescent="0.2">
      <c r="A382" s="26"/>
      <c r="B382" s="14" t="str">
        <f>IF(A382="","",CHOOSE(WEEKDAY(A382),"日","月","火","水","木","金","土"))</f>
        <v/>
      </c>
      <c r="C382" s="27"/>
      <c r="D382" s="27"/>
      <c r="E382" s="14" t="str">
        <f>IF(F382="","",IFERROR(INDEX(マスター!$F$5:$F$200,MATCH(F382,マスター!$E$5:$E$200,0)),"※マスター未登録"))</f>
        <v/>
      </c>
      <c r="F382" s="27"/>
      <c r="G382" s="27"/>
      <c r="H382" s="27"/>
      <c r="I382" s="27"/>
      <c r="J382" s="27"/>
      <c r="K382" s="27"/>
    </row>
    <row r="383" spans="1:11" x14ac:dyDescent="0.2">
      <c r="A383" s="26"/>
      <c r="B383" s="14" t="str">
        <f>IF(A383="","",CHOOSE(WEEKDAY(A383),"日","月","火","水","木","金","土"))</f>
        <v/>
      </c>
      <c r="C383" s="27"/>
      <c r="D383" s="27"/>
      <c r="E383" s="14" t="str">
        <f>IF(F383="","",IFERROR(INDEX(マスター!$F$5:$F$200,MATCH(F383,マスター!$E$5:$E$200,0)),"※マスター未登録"))</f>
        <v/>
      </c>
      <c r="F383" s="27"/>
      <c r="G383" s="27"/>
      <c r="H383" s="27"/>
      <c r="I383" s="27"/>
      <c r="J383" s="27"/>
      <c r="K383" s="27"/>
    </row>
    <row r="384" spans="1:11" x14ac:dyDescent="0.2">
      <c r="A384" s="26"/>
      <c r="B384" s="14" t="str">
        <f>IF(A384="","",CHOOSE(WEEKDAY(A384),"日","月","火","水","木","金","土"))</f>
        <v/>
      </c>
      <c r="C384" s="27"/>
      <c r="D384" s="27"/>
      <c r="E384" s="14" t="str">
        <f>IF(F384="","",IFERROR(INDEX(マスター!$F$5:$F$200,MATCH(F384,マスター!$E$5:$E$200,0)),"※マスター未登録"))</f>
        <v/>
      </c>
      <c r="F384" s="27"/>
      <c r="G384" s="27"/>
      <c r="H384" s="27"/>
      <c r="I384" s="27"/>
      <c r="J384" s="27"/>
      <c r="K384" s="27"/>
    </row>
    <row r="385" spans="1:11" x14ac:dyDescent="0.2">
      <c r="A385" s="26"/>
      <c r="B385" s="14" t="str">
        <f>IF(A385="","",CHOOSE(WEEKDAY(A385),"日","月","火","水","木","金","土"))</f>
        <v/>
      </c>
      <c r="C385" s="27"/>
      <c r="D385" s="27"/>
      <c r="E385" s="14" t="str">
        <f>IF(F385="","",IFERROR(INDEX(マスター!$F$5:$F$200,MATCH(F385,マスター!$E$5:$E$200,0)),"※マスター未登録"))</f>
        <v/>
      </c>
      <c r="F385" s="27"/>
      <c r="G385" s="27"/>
      <c r="H385" s="27"/>
      <c r="I385" s="27"/>
      <c r="J385" s="27"/>
      <c r="K385" s="27"/>
    </row>
    <row r="386" spans="1:11" x14ac:dyDescent="0.2">
      <c r="A386" s="26"/>
      <c r="B386" s="14" t="str">
        <f>IF(A386="","",CHOOSE(WEEKDAY(A386),"日","月","火","水","木","金","土"))</f>
        <v/>
      </c>
      <c r="C386" s="27"/>
      <c r="D386" s="27"/>
      <c r="E386" s="14" t="str">
        <f>IF(F386="","",IFERROR(INDEX(マスター!$F$5:$F$200,MATCH(F386,マスター!$E$5:$E$200,0)),"※マスター未登録"))</f>
        <v/>
      </c>
      <c r="F386" s="27"/>
      <c r="G386" s="27"/>
      <c r="H386" s="27"/>
      <c r="I386" s="27"/>
      <c r="J386" s="27"/>
      <c r="K386" s="27"/>
    </row>
    <row r="387" spans="1:11" x14ac:dyDescent="0.2">
      <c r="A387" s="26"/>
      <c r="B387" s="14" t="str">
        <f>IF(A387="","",CHOOSE(WEEKDAY(A387),"日","月","火","水","木","金","土"))</f>
        <v/>
      </c>
      <c r="C387" s="27"/>
      <c r="D387" s="27"/>
      <c r="E387" s="14" t="str">
        <f>IF(F387="","",IFERROR(INDEX(マスター!$F$5:$F$200,MATCH(F387,マスター!$E$5:$E$200,0)),"※マスター未登録"))</f>
        <v/>
      </c>
      <c r="F387" s="27"/>
      <c r="G387" s="27"/>
      <c r="H387" s="27"/>
      <c r="I387" s="27"/>
      <c r="J387" s="27"/>
      <c r="K387" s="27"/>
    </row>
    <row r="388" spans="1:11" x14ac:dyDescent="0.2">
      <c r="A388" s="26"/>
      <c r="B388" s="14" t="str">
        <f>IF(A388="","",CHOOSE(WEEKDAY(A388),"日","月","火","水","木","金","土"))</f>
        <v/>
      </c>
      <c r="C388" s="27"/>
      <c r="D388" s="27"/>
      <c r="E388" s="14" t="str">
        <f>IF(F388="","",IFERROR(INDEX(マスター!$F$5:$F$200,MATCH(F388,マスター!$E$5:$E$200,0)),"※マスター未登録"))</f>
        <v/>
      </c>
      <c r="F388" s="27"/>
      <c r="G388" s="27"/>
      <c r="H388" s="27"/>
      <c r="I388" s="27"/>
      <c r="J388" s="27"/>
      <c r="K388" s="27"/>
    </row>
    <row r="389" spans="1:11" x14ac:dyDescent="0.2">
      <c r="A389" s="26"/>
      <c r="B389" s="14" t="str">
        <f>IF(A389="","",CHOOSE(WEEKDAY(A389),"日","月","火","水","木","金","土"))</f>
        <v/>
      </c>
      <c r="C389" s="27"/>
      <c r="D389" s="27"/>
      <c r="E389" s="14" t="str">
        <f>IF(F389="","",IFERROR(INDEX(マスター!$F$5:$F$200,MATCH(F389,マスター!$E$5:$E$200,0)),"※マスター未登録"))</f>
        <v/>
      </c>
      <c r="F389" s="27"/>
      <c r="G389" s="27"/>
      <c r="H389" s="27"/>
      <c r="I389" s="27"/>
      <c r="J389" s="27"/>
      <c r="K389" s="27"/>
    </row>
    <row r="390" spans="1:11" x14ac:dyDescent="0.2">
      <c r="A390" s="26"/>
      <c r="B390" s="14" t="str">
        <f>IF(A390="","",CHOOSE(WEEKDAY(A390),"日","月","火","水","木","金","土"))</f>
        <v/>
      </c>
      <c r="C390" s="27"/>
      <c r="D390" s="27"/>
      <c r="E390" s="14" t="str">
        <f>IF(F390="","",IFERROR(INDEX(マスター!$F$5:$F$200,MATCH(F390,マスター!$E$5:$E$200,0)),"※マスター未登録"))</f>
        <v/>
      </c>
      <c r="F390" s="27"/>
      <c r="G390" s="27"/>
      <c r="H390" s="27"/>
      <c r="I390" s="27"/>
      <c r="J390" s="27"/>
      <c r="K390" s="27"/>
    </row>
    <row r="391" spans="1:11" x14ac:dyDescent="0.2">
      <c r="A391" s="26"/>
      <c r="B391" s="14" t="str">
        <f>IF(A391="","",CHOOSE(WEEKDAY(A391),"日","月","火","水","木","金","土"))</f>
        <v/>
      </c>
      <c r="C391" s="27"/>
      <c r="D391" s="27"/>
      <c r="E391" s="14" t="str">
        <f>IF(F391="","",IFERROR(INDEX(マスター!$F$5:$F$200,MATCH(F391,マスター!$E$5:$E$200,0)),"※マスター未登録"))</f>
        <v/>
      </c>
      <c r="F391" s="27"/>
      <c r="G391" s="27"/>
      <c r="H391" s="27"/>
      <c r="I391" s="27"/>
      <c r="J391" s="27"/>
      <c r="K391" s="27"/>
    </row>
    <row r="392" spans="1:11" x14ac:dyDescent="0.2">
      <c r="A392" s="26"/>
      <c r="B392" s="14" t="str">
        <f>IF(A392="","",CHOOSE(WEEKDAY(A392),"日","月","火","水","木","金","土"))</f>
        <v/>
      </c>
      <c r="C392" s="27"/>
      <c r="D392" s="27"/>
      <c r="E392" s="14" t="str">
        <f>IF(F392="","",IFERROR(INDEX(マスター!$F$5:$F$200,MATCH(F392,マスター!$E$5:$E$200,0)),"※マスター未登録"))</f>
        <v/>
      </c>
      <c r="F392" s="27"/>
      <c r="G392" s="27"/>
      <c r="H392" s="27"/>
      <c r="I392" s="27"/>
      <c r="J392" s="27"/>
      <c r="K392" s="27"/>
    </row>
    <row r="393" spans="1:11" x14ac:dyDescent="0.2">
      <c r="A393" s="26"/>
      <c r="B393" s="14" t="str">
        <f>IF(A393="","",CHOOSE(WEEKDAY(A393),"日","月","火","水","木","金","土"))</f>
        <v/>
      </c>
      <c r="C393" s="27"/>
      <c r="D393" s="27"/>
      <c r="E393" s="14" t="str">
        <f>IF(F393="","",IFERROR(INDEX(マスター!$F$5:$F$200,MATCH(F393,マスター!$E$5:$E$200,0)),"※マスター未登録"))</f>
        <v/>
      </c>
      <c r="F393" s="27"/>
      <c r="G393" s="27"/>
      <c r="H393" s="27"/>
      <c r="I393" s="27"/>
      <c r="J393" s="27"/>
      <c r="K393" s="27"/>
    </row>
    <row r="394" spans="1:11" x14ac:dyDescent="0.2">
      <c r="A394" s="26"/>
      <c r="B394" s="14" t="str">
        <f>IF(A394="","",CHOOSE(WEEKDAY(A394),"日","月","火","水","木","金","土"))</f>
        <v/>
      </c>
      <c r="C394" s="27"/>
      <c r="D394" s="27"/>
      <c r="E394" s="14" t="str">
        <f>IF(F394="","",IFERROR(INDEX(マスター!$F$5:$F$200,MATCH(F394,マスター!$E$5:$E$200,0)),"※マスター未登録"))</f>
        <v/>
      </c>
      <c r="F394" s="27"/>
      <c r="G394" s="27"/>
      <c r="H394" s="27"/>
      <c r="I394" s="27"/>
      <c r="J394" s="27"/>
      <c r="K394" s="27"/>
    </row>
    <row r="395" spans="1:11" x14ac:dyDescent="0.2">
      <c r="A395" s="26"/>
      <c r="B395" s="14" t="str">
        <f>IF(A395="","",CHOOSE(WEEKDAY(A395),"日","月","火","水","木","金","土"))</f>
        <v/>
      </c>
      <c r="C395" s="27"/>
      <c r="D395" s="27"/>
      <c r="E395" s="14" t="str">
        <f>IF(F395="","",IFERROR(INDEX(マスター!$F$5:$F$200,MATCH(F395,マスター!$E$5:$E$200,0)),"※マスター未登録"))</f>
        <v/>
      </c>
      <c r="F395" s="27"/>
      <c r="G395" s="27"/>
      <c r="H395" s="27"/>
      <c r="I395" s="27"/>
      <c r="J395" s="27"/>
      <c r="K395" s="27"/>
    </row>
    <row r="396" spans="1:11" x14ac:dyDescent="0.2">
      <c r="A396" s="26"/>
      <c r="B396" s="14" t="str">
        <f>IF(A396="","",CHOOSE(WEEKDAY(A396),"日","月","火","水","木","金","土"))</f>
        <v/>
      </c>
      <c r="C396" s="27"/>
      <c r="D396" s="27"/>
      <c r="E396" s="14" t="str">
        <f>IF(F396="","",IFERROR(INDEX(マスター!$F$5:$F$200,MATCH(F396,マスター!$E$5:$E$200,0)),"※マスター未登録"))</f>
        <v/>
      </c>
      <c r="F396" s="27"/>
      <c r="G396" s="27"/>
      <c r="H396" s="27"/>
      <c r="I396" s="27"/>
      <c r="J396" s="27"/>
      <c r="K396" s="27"/>
    </row>
    <row r="397" spans="1:11" x14ac:dyDescent="0.2">
      <c r="A397" s="26"/>
      <c r="B397" s="14" t="str">
        <f>IF(A397="","",CHOOSE(WEEKDAY(A397),"日","月","火","水","木","金","土"))</f>
        <v/>
      </c>
      <c r="C397" s="27"/>
      <c r="D397" s="27"/>
      <c r="E397" s="14" t="str">
        <f>IF(F397="","",IFERROR(INDEX(マスター!$F$5:$F$200,MATCH(F397,マスター!$E$5:$E$200,0)),"※マスター未登録"))</f>
        <v/>
      </c>
      <c r="F397" s="27"/>
      <c r="G397" s="27"/>
      <c r="H397" s="27"/>
      <c r="I397" s="27"/>
      <c r="J397" s="27"/>
      <c r="K397" s="27"/>
    </row>
    <row r="398" spans="1:11" x14ac:dyDescent="0.2">
      <c r="A398" s="26"/>
      <c r="B398" s="14" t="str">
        <f>IF(A398="","",CHOOSE(WEEKDAY(A398),"日","月","火","水","木","金","土"))</f>
        <v/>
      </c>
      <c r="C398" s="27"/>
      <c r="D398" s="27"/>
      <c r="E398" s="14" t="str">
        <f>IF(F398="","",IFERROR(INDEX(マスター!$F$5:$F$200,MATCH(F398,マスター!$E$5:$E$200,0)),"※マスター未登録"))</f>
        <v/>
      </c>
      <c r="F398" s="27"/>
      <c r="G398" s="27"/>
      <c r="H398" s="27"/>
      <c r="I398" s="27"/>
      <c r="J398" s="27"/>
      <c r="K398" s="27"/>
    </row>
    <row r="399" spans="1:11" x14ac:dyDescent="0.2">
      <c r="A399" s="26"/>
      <c r="B399" s="14" t="str">
        <f>IF(A399="","",CHOOSE(WEEKDAY(A399),"日","月","火","水","木","金","土"))</f>
        <v/>
      </c>
      <c r="C399" s="27"/>
      <c r="D399" s="27"/>
      <c r="E399" s="14" t="str">
        <f>IF(F399="","",IFERROR(INDEX(マスター!$F$5:$F$200,MATCH(F399,マスター!$E$5:$E$200,0)),"※マスター未登録"))</f>
        <v/>
      </c>
      <c r="F399" s="27"/>
      <c r="G399" s="27"/>
      <c r="H399" s="27"/>
      <c r="I399" s="27"/>
      <c r="J399" s="27"/>
      <c r="K399" s="27"/>
    </row>
    <row r="400" spans="1:11" x14ac:dyDescent="0.2">
      <c r="A400" s="26"/>
      <c r="B400" s="14" t="str">
        <f>IF(A400="","",CHOOSE(WEEKDAY(A400),"日","月","火","水","木","金","土"))</f>
        <v/>
      </c>
      <c r="C400" s="27"/>
      <c r="D400" s="27"/>
      <c r="E400" s="14" t="str">
        <f>IF(F400="","",IFERROR(INDEX(マスター!$F$5:$F$200,MATCH(F400,マスター!$E$5:$E$200,0)),"※マスター未登録"))</f>
        <v/>
      </c>
      <c r="F400" s="27"/>
      <c r="G400" s="27"/>
      <c r="H400" s="27"/>
      <c r="I400" s="27"/>
      <c r="J400" s="27"/>
      <c r="K400" s="27"/>
    </row>
    <row r="401" spans="1:11" x14ac:dyDescent="0.2">
      <c r="A401" s="26"/>
      <c r="B401" s="14" t="str">
        <f>IF(A401="","",CHOOSE(WEEKDAY(A401),"日","月","火","水","木","金","土"))</f>
        <v/>
      </c>
      <c r="C401" s="27"/>
      <c r="D401" s="27"/>
      <c r="E401" s="14" t="str">
        <f>IF(F401="","",IFERROR(INDEX(マスター!$F$5:$F$200,MATCH(F401,マスター!$E$5:$E$200,0)),"※マスター未登録"))</f>
        <v/>
      </c>
      <c r="F401" s="27"/>
      <c r="G401" s="27"/>
      <c r="H401" s="27"/>
      <c r="I401" s="27"/>
      <c r="J401" s="27"/>
      <c r="K401" s="27"/>
    </row>
    <row r="402" spans="1:11" x14ac:dyDescent="0.2">
      <c r="A402" s="26"/>
      <c r="B402" s="14" t="str">
        <f>IF(A402="","",CHOOSE(WEEKDAY(A402),"日","月","火","水","木","金","土"))</f>
        <v/>
      </c>
      <c r="C402" s="27"/>
      <c r="D402" s="27"/>
      <c r="E402" s="14" t="str">
        <f>IF(F402="","",IFERROR(INDEX(マスター!$F$5:$F$200,MATCH(F402,マスター!$E$5:$E$200,0)),"※マスター未登録"))</f>
        <v/>
      </c>
      <c r="F402" s="27"/>
      <c r="G402" s="27"/>
      <c r="H402" s="27"/>
      <c r="I402" s="27"/>
      <c r="J402" s="27"/>
      <c r="K402" s="27"/>
    </row>
    <row r="403" spans="1:11" x14ac:dyDescent="0.2">
      <c r="A403" s="26"/>
      <c r="B403" s="14" t="str">
        <f>IF(A403="","",CHOOSE(WEEKDAY(A403),"日","月","火","水","木","金","土"))</f>
        <v/>
      </c>
      <c r="C403" s="27"/>
      <c r="D403" s="27"/>
      <c r="E403" s="14" t="str">
        <f>IF(F403="","",IFERROR(INDEX(マスター!$F$5:$F$200,MATCH(F403,マスター!$E$5:$E$200,0)),"※マスター未登録"))</f>
        <v/>
      </c>
      <c r="F403" s="27"/>
      <c r="G403" s="27"/>
      <c r="H403" s="27"/>
      <c r="I403" s="27"/>
      <c r="J403" s="27"/>
      <c r="K403" s="27"/>
    </row>
    <row r="404" spans="1:11" x14ac:dyDescent="0.2">
      <c r="A404" s="26"/>
      <c r="B404" s="14" t="str">
        <f>IF(A404="","",CHOOSE(WEEKDAY(A404),"日","月","火","水","木","金","土"))</f>
        <v/>
      </c>
      <c r="C404" s="27"/>
      <c r="D404" s="27"/>
      <c r="E404" s="14" t="str">
        <f>IF(F404="","",IFERROR(INDEX(マスター!$F$5:$F$200,MATCH(F404,マスター!$E$5:$E$200,0)),"※マスター未登録"))</f>
        <v/>
      </c>
      <c r="F404" s="27"/>
      <c r="G404" s="27"/>
      <c r="H404" s="27"/>
      <c r="I404" s="27"/>
      <c r="J404" s="27"/>
      <c r="K404" s="27"/>
    </row>
    <row r="405" spans="1:11" x14ac:dyDescent="0.2">
      <c r="A405" s="26"/>
      <c r="B405" s="14" t="str">
        <f>IF(A405="","",CHOOSE(WEEKDAY(A405),"日","月","火","水","木","金","土"))</f>
        <v/>
      </c>
      <c r="C405" s="27"/>
      <c r="D405" s="27"/>
      <c r="E405" s="14" t="str">
        <f>IF(F405="","",IFERROR(INDEX(マスター!$F$5:$F$200,MATCH(F405,マスター!$E$5:$E$200,0)),"※マスター未登録"))</f>
        <v/>
      </c>
      <c r="F405" s="27"/>
      <c r="G405" s="27"/>
      <c r="H405" s="27"/>
      <c r="I405" s="27"/>
      <c r="J405" s="27"/>
      <c r="K405" s="27"/>
    </row>
    <row r="406" spans="1:11" x14ac:dyDescent="0.2">
      <c r="A406" s="26"/>
      <c r="B406" s="14" t="str">
        <f>IF(A406="","",CHOOSE(WEEKDAY(A406),"日","月","火","水","木","金","土"))</f>
        <v/>
      </c>
      <c r="C406" s="27"/>
      <c r="D406" s="27"/>
      <c r="E406" s="14" t="str">
        <f>IF(F406="","",IFERROR(INDEX(マスター!$F$5:$F$200,MATCH(F406,マスター!$E$5:$E$200,0)),"※マスター未登録"))</f>
        <v/>
      </c>
      <c r="F406" s="27"/>
      <c r="G406" s="27"/>
      <c r="H406" s="27"/>
      <c r="I406" s="27"/>
      <c r="J406" s="27"/>
      <c r="K406" s="27"/>
    </row>
    <row r="407" spans="1:11" x14ac:dyDescent="0.2">
      <c r="A407" s="26"/>
      <c r="B407" s="14" t="str">
        <f>IF(A407="","",CHOOSE(WEEKDAY(A407),"日","月","火","水","木","金","土"))</f>
        <v/>
      </c>
      <c r="C407" s="27"/>
      <c r="D407" s="27"/>
      <c r="E407" s="14" t="str">
        <f>IF(F407="","",IFERROR(INDEX(マスター!$F$5:$F$200,MATCH(F407,マスター!$E$5:$E$200,0)),"※マスター未登録"))</f>
        <v/>
      </c>
      <c r="F407" s="27"/>
      <c r="G407" s="27"/>
      <c r="H407" s="27"/>
      <c r="I407" s="27"/>
      <c r="J407" s="27"/>
      <c r="K407" s="27"/>
    </row>
    <row r="408" spans="1:11" x14ac:dyDescent="0.2">
      <c r="A408" s="26"/>
      <c r="B408" s="14" t="str">
        <f>IF(A408="","",CHOOSE(WEEKDAY(A408),"日","月","火","水","木","金","土"))</f>
        <v/>
      </c>
      <c r="C408" s="27"/>
      <c r="D408" s="27"/>
      <c r="E408" s="14" t="str">
        <f>IF(F408="","",IFERROR(INDEX(マスター!$F$5:$F$200,MATCH(F408,マスター!$E$5:$E$200,0)),"※マスター未登録"))</f>
        <v/>
      </c>
      <c r="F408" s="27"/>
      <c r="G408" s="27"/>
      <c r="H408" s="27"/>
      <c r="I408" s="27"/>
      <c r="J408" s="27"/>
      <c r="K408" s="27"/>
    </row>
    <row r="409" spans="1:11" x14ac:dyDescent="0.2">
      <c r="A409" s="26"/>
      <c r="B409" s="14" t="str">
        <f>IF(A409="","",CHOOSE(WEEKDAY(A409),"日","月","火","水","木","金","土"))</f>
        <v/>
      </c>
      <c r="C409" s="27"/>
      <c r="D409" s="27"/>
      <c r="E409" s="14" t="str">
        <f>IF(F409="","",IFERROR(INDEX(マスター!$F$5:$F$200,MATCH(F409,マスター!$E$5:$E$200,0)),"※マスター未登録"))</f>
        <v/>
      </c>
      <c r="F409" s="27"/>
      <c r="G409" s="27"/>
      <c r="H409" s="27"/>
      <c r="I409" s="27"/>
      <c r="J409" s="27"/>
      <c r="K409" s="27"/>
    </row>
    <row r="410" spans="1:11" x14ac:dyDescent="0.2">
      <c r="A410" s="26"/>
      <c r="B410" s="14" t="str">
        <f>IF(A410="","",CHOOSE(WEEKDAY(A410),"日","月","火","水","木","金","土"))</f>
        <v/>
      </c>
      <c r="C410" s="27"/>
      <c r="D410" s="27"/>
      <c r="E410" s="14" t="str">
        <f>IF(F410="","",IFERROR(INDEX(マスター!$F$5:$F$200,MATCH(F410,マスター!$E$5:$E$200,0)),"※マスター未登録"))</f>
        <v/>
      </c>
      <c r="F410" s="27"/>
      <c r="G410" s="27"/>
      <c r="H410" s="27"/>
      <c r="I410" s="27"/>
      <c r="J410" s="27"/>
      <c r="K410" s="27"/>
    </row>
    <row r="411" spans="1:11" x14ac:dyDescent="0.2">
      <c r="A411" s="26"/>
      <c r="B411" s="14" t="str">
        <f>IF(A411="","",CHOOSE(WEEKDAY(A411),"日","月","火","水","木","金","土"))</f>
        <v/>
      </c>
      <c r="C411" s="27"/>
      <c r="D411" s="27"/>
      <c r="E411" s="14" t="str">
        <f>IF(F411="","",IFERROR(INDEX(マスター!$F$5:$F$200,MATCH(F411,マスター!$E$5:$E$200,0)),"※マスター未登録"))</f>
        <v/>
      </c>
      <c r="F411" s="27"/>
      <c r="G411" s="27"/>
      <c r="H411" s="27"/>
      <c r="I411" s="27"/>
      <c r="J411" s="27"/>
      <c r="K411" s="27"/>
    </row>
    <row r="412" spans="1:11" x14ac:dyDescent="0.2">
      <c r="A412" s="26"/>
      <c r="B412" s="14" t="str">
        <f>IF(A412="","",CHOOSE(WEEKDAY(A412),"日","月","火","水","木","金","土"))</f>
        <v/>
      </c>
      <c r="C412" s="27"/>
      <c r="D412" s="27"/>
      <c r="E412" s="14" t="str">
        <f>IF(F412="","",IFERROR(INDEX(マスター!$F$5:$F$200,MATCH(F412,マスター!$E$5:$E$200,0)),"※マスター未登録"))</f>
        <v/>
      </c>
      <c r="F412" s="27"/>
      <c r="G412" s="27"/>
      <c r="H412" s="27"/>
      <c r="I412" s="27"/>
      <c r="J412" s="27"/>
      <c r="K412" s="27"/>
    </row>
    <row r="413" spans="1:11" x14ac:dyDescent="0.2">
      <c r="A413" s="26"/>
      <c r="B413" s="14" t="str">
        <f>IF(A413="","",CHOOSE(WEEKDAY(A413),"日","月","火","水","木","金","土"))</f>
        <v/>
      </c>
      <c r="C413" s="27"/>
      <c r="D413" s="27"/>
      <c r="E413" s="14" t="str">
        <f>IF(F413="","",IFERROR(INDEX(マスター!$F$5:$F$200,MATCH(F413,マスター!$E$5:$E$200,0)),"※マスター未登録"))</f>
        <v/>
      </c>
      <c r="F413" s="27"/>
      <c r="G413" s="27"/>
      <c r="H413" s="27"/>
      <c r="I413" s="27"/>
      <c r="J413" s="27"/>
      <c r="K413" s="27"/>
    </row>
    <row r="414" spans="1:11" x14ac:dyDescent="0.2">
      <c r="A414" s="26"/>
      <c r="B414" s="14" t="str">
        <f>IF(A414="","",CHOOSE(WEEKDAY(A414),"日","月","火","水","木","金","土"))</f>
        <v/>
      </c>
      <c r="C414" s="27"/>
      <c r="D414" s="27"/>
      <c r="E414" s="14" t="str">
        <f>IF(F414="","",IFERROR(INDEX(マスター!$F$5:$F$200,MATCH(F414,マスター!$E$5:$E$200,0)),"※マスター未登録"))</f>
        <v/>
      </c>
      <c r="F414" s="27"/>
      <c r="G414" s="27"/>
      <c r="H414" s="27"/>
      <c r="I414" s="27"/>
      <c r="J414" s="27"/>
      <c r="K414" s="27"/>
    </row>
    <row r="415" spans="1:11" x14ac:dyDescent="0.2">
      <c r="A415" s="26"/>
      <c r="B415" s="14" t="str">
        <f>IF(A415="","",CHOOSE(WEEKDAY(A415),"日","月","火","水","木","金","土"))</f>
        <v/>
      </c>
      <c r="C415" s="27"/>
      <c r="D415" s="27"/>
      <c r="E415" s="14" t="str">
        <f>IF(F415="","",IFERROR(INDEX(マスター!$F$5:$F$200,MATCH(F415,マスター!$E$5:$E$200,0)),"※マスター未登録"))</f>
        <v/>
      </c>
      <c r="F415" s="27"/>
      <c r="G415" s="27"/>
      <c r="H415" s="27"/>
      <c r="I415" s="27"/>
      <c r="J415" s="27"/>
      <c r="K415" s="27"/>
    </row>
    <row r="416" spans="1:11" x14ac:dyDescent="0.2">
      <c r="A416" s="26"/>
      <c r="B416" s="14" t="str">
        <f>IF(A416="","",CHOOSE(WEEKDAY(A416),"日","月","火","水","木","金","土"))</f>
        <v/>
      </c>
      <c r="C416" s="27"/>
      <c r="D416" s="27"/>
      <c r="E416" s="14" t="str">
        <f>IF(F416="","",IFERROR(INDEX(マスター!$F$5:$F$200,MATCH(F416,マスター!$E$5:$E$200,0)),"※マスター未登録"))</f>
        <v/>
      </c>
      <c r="F416" s="27"/>
      <c r="G416" s="27"/>
      <c r="H416" s="27"/>
      <c r="I416" s="27"/>
      <c r="J416" s="27"/>
      <c r="K416" s="27"/>
    </row>
    <row r="417" spans="1:11" x14ac:dyDescent="0.2">
      <c r="A417" s="26"/>
      <c r="B417" s="14" t="str">
        <f>IF(A417="","",CHOOSE(WEEKDAY(A417),"日","月","火","水","木","金","土"))</f>
        <v/>
      </c>
      <c r="C417" s="27"/>
      <c r="D417" s="27"/>
      <c r="E417" s="14" t="str">
        <f>IF(F417="","",IFERROR(INDEX(マスター!$F$5:$F$200,MATCH(F417,マスター!$E$5:$E$200,0)),"※マスター未登録"))</f>
        <v/>
      </c>
      <c r="F417" s="27"/>
      <c r="G417" s="27"/>
      <c r="H417" s="27"/>
      <c r="I417" s="27"/>
      <c r="J417" s="27"/>
      <c r="K417" s="27"/>
    </row>
    <row r="418" spans="1:11" x14ac:dyDescent="0.2">
      <c r="A418" s="26"/>
      <c r="B418" s="14" t="str">
        <f>IF(A418="","",CHOOSE(WEEKDAY(A418),"日","月","火","水","木","金","土"))</f>
        <v/>
      </c>
      <c r="C418" s="27"/>
      <c r="D418" s="27"/>
      <c r="E418" s="14" t="str">
        <f>IF(F418="","",IFERROR(INDEX(マスター!$F$5:$F$200,MATCH(F418,マスター!$E$5:$E$200,0)),"※マスター未登録"))</f>
        <v/>
      </c>
      <c r="F418" s="27"/>
      <c r="G418" s="27"/>
      <c r="H418" s="27"/>
      <c r="I418" s="27"/>
      <c r="J418" s="27"/>
      <c r="K418" s="27"/>
    </row>
    <row r="419" spans="1:11" x14ac:dyDescent="0.2">
      <c r="A419" s="26"/>
      <c r="B419" s="14" t="str">
        <f>IF(A419="","",CHOOSE(WEEKDAY(A419),"日","月","火","水","木","金","土"))</f>
        <v/>
      </c>
      <c r="C419" s="27"/>
      <c r="D419" s="27"/>
      <c r="E419" s="14" t="str">
        <f>IF(F419="","",IFERROR(INDEX(マスター!$F$5:$F$200,MATCH(F419,マスター!$E$5:$E$200,0)),"※マスター未登録"))</f>
        <v/>
      </c>
      <c r="F419" s="27"/>
      <c r="G419" s="27"/>
      <c r="H419" s="27"/>
      <c r="I419" s="27"/>
      <c r="J419" s="27"/>
      <c r="K419" s="27"/>
    </row>
    <row r="420" spans="1:11" x14ac:dyDescent="0.2">
      <c r="A420" s="26"/>
      <c r="B420" s="14" t="str">
        <f>IF(A420="","",CHOOSE(WEEKDAY(A420),"日","月","火","水","木","金","土"))</f>
        <v/>
      </c>
      <c r="C420" s="27"/>
      <c r="D420" s="27"/>
      <c r="E420" s="14" t="str">
        <f>IF(F420="","",IFERROR(INDEX(マスター!$F$5:$F$200,MATCH(F420,マスター!$E$5:$E$200,0)),"※マスター未登録"))</f>
        <v/>
      </c>
      <c r="F420" s="27"/>
      <c r="G420" s="27"/>
      <c r="H420" s="27"/>
      <c r="I420" s="27"/>
      <c r="J420" s="27"/>
      <c r="K420" s="27"/>
    </row>
    <row r="421" spans="1:11" x14ac:dyDescent="0.2">
      <c r="A421" s="26"/>
      <c r="B421" s="14" t="str">
        <f>IF(A421="","",CHOOSE(WEEKDAY(A421),"日","月","火","水","木","金","土"))</f>
        <v/>
      </c>
      <c r="C421" s="27"/>
      <c r="D421" s="27"/>
      <c r="E421" s="14" t="str">
        <f>IF(F421="","",IFERROR(INDEX(マスター!$F$5:$F$200,MATCH(F421,マスター!$E$5:$E$200,0)),"※マスター未登録"))</f>
        <v/>
      </c>
      <c r="F421" s="27"/>
      <c r="G421" s="27"/>
      <c r="H421" s="27"/>
      <c r="I421" s="27"/>
      <c r="J421" s="27"/>
      <c r="K421" s="27"/>
    </row>
    <row r="422" spans="1:11" x14ac:dyDescent="0.2">
      <c r="A422" s="26"/>
      <c r="B422" s="14" t="str">
        <f>IF(A422="","",CHOOSE(WEEKDAY(A422),"日","月","火","水","木","金","土"))</f>
        <v/>
      </c>
      <c r="C422" s="27"/>
      <c r="D422" s="27"/>
      <c r="E422" s="14" t="str">
        <f>IF(F422="","",IFERROR(INDEX(マスター!$F$5:$F$200,MATCH(F422,マスター!$E$5:$E$200,0)),"※マスター未登録"))</f>
        <v/>
      </c>
      <c r="F422" s="27"/>
      <c r="G422" s="27"/>
      <c r="H422" s="27"/>
      <c r="I422" s="27"/>
      <c r="J422" s="27"/>
      <c r="K422" s="27"/>
    </row>
    <row r="423" spans="1:11" x14ac:dyDescent="0.2">
      <c r="A423" s="26"/>
      <c r="B423" s="14" t="str">
        <f>IF(A423="","",CHOOSE(WEEKDAY(A423),"日","月","火","水","木","金","土"))</f>
        <v/>
      </c>
      <c r="C423" s="27"/>
      <c r="D423" s="27"/>
      <c r="E423" s="14" t="str">
        <f>IF(F423="","",IFERROR(INDEX(マスター!$F$5:$F$200,MATCH(F423,マスター!$E$5:$E$200,0)),"※マスター未登録"))</f>
        <v/>
      </c>
      <c r="F423" s="27"/>
      <c r="G423" s="27"/>
      <c r="H423" s="27"/>
      <c r="I423" s="27"/>
      <c r="J423" s="27"/>
      <c r="K423" s="27"/>
    </row>
    <row r="424" spans="1:11" x14ac:dyDescent="0.2">
      <c r="A424" s="26"/>
      <c r="B424" s="14" t="str">
        <f>IF(A424="","",CHOOSE(WEEKDAY(A424),"日","月","火","水","木","金","土"))</f>
        <v/>
      </c>
      <c r="C424" s="27"/>
      <c r="D424" s="27"/>
      <c r="E424" s="14" t="str">
        <f>IF(F424="","",IFERROR(INDEX(マスター!$F$5:$F$200,MATCH(F424,マスター!$E$5:$E$200,0)),"※マスター未登録"))</f>
        <v/>
      </c>
      <c r="F424" s="27"/>
      <c r="G424" s="27"/>
      <c r="H424" s="27"/>
      <c r="I424" s="27"/>
      <c r="J424" s="27"/>
      <c r="K424" s="27"/>
    </row>
    <row r="425" spans="1:11" x14ac:dyDescent="0.2">
      <c r="A425" s="26"/>
      <c r="B425" s="14" t="str">
        <f>IF(A425="","",CHOOSE(WEEKDAY(A425),"日","月","火","水","木","金","土"))</f>
        <v/>
      </c>
      <c r="C425" s="27"/>
      <c r="D425" s="27"/>
      <c r="E425" s="14" t="str">
        <f>IF(F425="","",IFERROR(INDEX(マスター!$F$5:$F$200,MATCH(F425,マスター!$E$5:$E$200,0)),"※マスター未登録"))</f>
        <v/>
      </c>
      <c r="F425" s="27"/>
      <c r="G425" s="27"/>
      <c r="H425" s="27"/>
      <c r="I425" s="27"/>
      <c r="J425" s="27"/>
      <c r="K425" s="27"/>
    </row>
    <row r="426" spans="1:11" x14ac:dyDescent="0.2">
      <c r="A426" s="26"/>
      <c r="B426" s="14" t="str">
        <f>IF(A426="","",CHOOSE(WEEKDAY(A426),"日","月","火","水","木","金","土"))</f>
        <v/>
      </c>
      <c r="C426" s="27"/>
      <c r="D426" s="27"/>
      <c r="E426" s="14" t="str">
        <f>IF(F426="","",IFERROR(INDEX(マスター!$F$5:$F$200,MATCH(F426,マスター!$E$5:$E$200,0)),"※マスター未登録"))</f>
        <v/>
      </c>
      <c r="F426" s="27"/>
      <c r="G426" s="27"/>
      <c r="H426" s="27"/>
      <c r="I426" s="27"/>
      <c r="J426" s="27"/>
      <c r="K426" s="27"/>
    </row>
    <row r="427" spans="1:11" x14ac:dyDescent="0.2">
      <c r="A427" s="26"/>
      <c r="B427" s="14" t="str">
        <f>IF(A427="","",CHOOSE(WEEKDAY(A427),"日","月","火","水","木","金","土"))</f>
        <v/>
      </c>
      <c r="C427" s="27"/>
      <c r="D427" s="27"/>
      <c r="E427" s="14" t="str">
        <f>IF(F427="","",IFERROR(INDEX(マスター!$F$5:$F$200,MATCH(F427,マスター!$E$5:$E$200,0)),"※マスター未登録"))</f>
        <v/>
      </c>
      <c r="F427" s="27"/>
      <c r="G427" s="27"/>
      <c r="H427" s="27"/>
      <c r="I427" s="27"/>
      <c r="J427" s="27"/>
      <c r="K427" s="27"/>
    </row>
    <row r="428" spans="1:11" x14ac:dyDescent="0.2">
      <c r="A428" s="26"/>
      <c r="B428" s="14" t="str">
        <f>IF(A428="","",CHOOSE(WEEKDAY(A428),"日","月","火","水","木","金","土"))</f>
        <v/>
      </c>
      <c r="C428" s="27"/>
      <c r="D428" s="27"/>
      <c r="E428" s="14" t="str">
        <f>IF(F428="","",IFERROR(INDEX(マスター!$F$5:$F$200,MATCH(F428,マスター!$E$5:$E$200,0)),"※マスター未登録"))</f>
        <v/>
      </c>
      <c r="F428" s="27"/>
      <c r="G428" s="27"/>
      <c r="H428" s="27"/>
      <c r="I428" s="27"/>
      <c r="J428" s="27"/>
      <c r="K428" s="27"/>
    </row>
    <row r="429" spans="1:11" x14ac:dyDescent="0.2">
      <c r="A429" s="26"/>
      <c r="B429" s="14" t="str">
        <f>IF(A429="","",CHOOSE(WEEKDAY(A429),"日","月","火","水","木","金","土"))</f>
        <v/>
      </c>
      <c r="C429" s="27"/>
      <c r="D429" s="27"/>
      <c r="E429" s="14" t="str">
        <f>IF(F429="","",IFERROR(INDEX(マスター!$F$5:$F$200,MATCH(F429,マスター!$E$5:$E$200,0)),"※マスター未登録"))</f>
        <v/>
      </c>
      <c r="F429" s="27"/>
      <c r="G429" s="27"/>
      <c r="H429" s="27"/>
      <c r="I429" s="27"/>
      <c r="J429" s="27"/>
      <c r="K429" s="27"/>
    </row>
    <row r="430" spans="1:11" x14ac:dyDescent="0.2">
      <c r="A430" s="26"/>
      <c r="B430" s="14" t="str">
        <f>IF(A430="","",CHOOSE(WEEKDAY(A430),"日","月","火","水","木","金","土"))</f>
        <v/>
      </c>
      <c r="C430" s="27"/>
      <c r="D430" s="27"/>
      <c r="E430" s="14" t="str">
        <f>IF(F430="","",IFERROR(INDEX(マスター!$F$5:$F$200,MATCH(F430,マスター!$E$5:$E$200,0)),"※マスター未登録"))</f>
        <v/>
      </c>
      <c r="F430" s="27"/>
      <c r="G430" s="27"/>
      <c r="H430" s="27"/>
      <c r="I430" s="27"/>
      <c r="J430" s="27"/>
      <c r="K430" s="27"/>
    </row>
    <row r="431" spans="1:11" x14ac:dyDescent="0.2">
      <c r="A431" s="26"/>
      <c r="B431" s="14" t="str">
        <f>IF(A431="","",CHOOSE(WEEKDAY(A431),"日","月","火","水","木","金","土"))</f>
        <v/>
      </c>
      <c r="C431" s="27"/>
      <c r="D431" s="27"/>
      <c r="E431" s="14" t="str">
        <f>IF(F431="","",IFERROR(INDEX(マスター!$F$5:$F$200,MATCH(F431,マスター!$E$5:$E$200,0)),"※マスター未登録"))</f>
        <v/>
      </c>
      <c r="F431" s="27"/>
      <c r="G431" s="27"/>
      <c r="H431" s="27"/>
      <c r="I431" s="27"/>
      <c r="J431" s="27"/>
      <c r="K431" s="27"/>
    </row>
    <row r="432" spans="1:11" x14ac:dyDescent="0.2">
      <c r="A432" s="26"/>
      <c r="B432" s="14" t="str">
        <f>IF(A432="","",CHOOSE(WEEKDAY(A432),"日","月","火","水","木","金","土"))</f>
        <v/>
      </c>
      <c r="C432" s="27"/>
      <c r="D432" s="27"/>
      <c r="E432" s="14" t="str">
        <f>IF(F432="","",IFERROR(INDEX(マスター!$F$5:$F$200,MATCH(F432,マスター!$E$5:$E$200,0)),"※マスター未登録"))</f>
        <v/>
      </c>
      <c r="F432" s="27"/>
      <c r="G432" s="27"/>
      <c r="H432" s="27"/>
      <c r="I432" s="27"/>
      <c r="J432" s="27"/>
      <c r="K432" s="27"/>
    </row>
    <row r="433" spans="1:11" x14ac:dyDescent="0.2">
      <c r="A433" s="26"/>
      <c r="B433" s="14" t="str">
        <f>IF(A433="","",CHOOSE(WEEKDAY(A433),"日","月","火","水","木","金","土"))</f>
        <v/>
      </c>
      <c r="C433" s="27"/>
      <c r="D433" s="27"/>
      <c r="E433" s="14" t="str">
        <f>IF(F433="","",IFERROR(INDEX(マスター!$F$5:$F$200,MATCH(F433,マスター!$E$5:$E$200,0)),"※マスター未登録"))</f>
        <v/>
      </c>
      <c r="F433" s="27"/>
      <c r="G433" s="27"/>
      <c r="H433" s="27"/>
      <c r="I433" s="27"/>
      <c r="J433" s="27"/>
      <c r="K433" s="27"/>
    </row>
    <row r="434" spans="1:11" x14ac:dyDescent="0.2">
      <c r="A434" s="26"/>
      <c r="B434" s="14" t="str">
        <f>IF(A434="","",CHOOSE(WEEKDAY(A434),"日","月","火","水","木","金","土"))</f>
        <v/>
      </c>
      <c r="C434" s="27"/>
      <c r="D434" s="27"/>
      <c r="E434" s="14" t="str">
        <f>IF(F434="","",IFERROR(INDEX(マスター!$F$5:$F$200,MATCH(F434,マスター!$E$5:$E$200,0)),"※マスター未登録"))</f>
        <v/>
      </c>
      <c r="F434" s="27"/>
      <c r="G434" s="27"/>
      <c r="H434" s="27"/>
      <c r="I434" s="27"/>
      <c r="J434" s="27"/>
      <c r="K434" s="27"/>
    </row>
    <row r="435" spans="1:11" x14ac:dyDescent="0.2">
      <c r="A435" s="26"/>
      <c r="B435" s="14" t="str">
        <f>IF(A435="","",CHOOSE(WEEKDAY(A435),"日","月","火","水","木","金","土"))</f>
        <v/>
      </c>
      <c r="C435" s="27"/>
      <c r="D435" s="27"/>
      <c r="E435" s="14" t="str">
        <f>IF(F435="","",IFERROR(INDEX(マスター!$F$5:$F$200,MATCH(F435,マスター!$E$5:$E$200,0)),"※マスター未登録"))</f>
        <v/>
      </c>
      <c r="F435" s="27"/>
      <c r="G435" s="27"/>
      <c r="H435" s="27"/>
      <c r="I435" s="27"/>
      <c r="J435" s="27"/>
      <c r="K435" s="27"/>
    </row>
    <row r="436" spans="1:11" x14ac:dyDescent="0.2">
      <c r="A436" s="26"/>
      <c r="B436" s="14" t="str">
        <f>IF(A436="","",CHOOSE(WEEKDAY(A436),"日","月","火","水","木","金","土"))</f>
        <v/>
      </c>
      <c r="C436" s="27"/>
      <c r="D436" s="27"/>
      <c r="E436" s="14" t="str">
        <f>IF(F436="","",IFERROR(INDEX(マスター!$F$5:$F$200,MATCH(F436,マスター!$E$5:$E$200,0)),"※マスター未登録"))</f>
        <v/>
      </c>
      <c r="F436" s="27"/>
      <c r="G436" s="27"/>
      <c r="H436" s="27"/>
      <c r="I436" s="27"/>
      <c r="J436" s="27"/>
      <c r="K436" s="27"/>
    </row>
    <row r="437" spans="1:11" x14ac:dyDescent="0.2">
      <c r="A437" s="26"/>
      <c r="B437" s="14" t="str">
        <f>IF(A437="","",CHOOSE(WEEKDAY(A437),"日","月","火","水","木","金","土"))</f>
        <v/>
      </c>
      <c r="C437" s="27"/>
      <c r="D437" s="27"/>
      <c r="E437" s="14" t="str">
        <f>IF(F437="","",IFERROR(INDEX(マスター!$F$5:$F$200,MATCH(F437,マスター!$E$5:$E$200,0)),"※マスター未登録"))</f>
        <v/>
      </c>
      <c r="F437" s="27"/>
      <c r="G437" s="27"/>
      <c r="H437" s="27"/>
      <c r="I437" s="27"/>
      <c r="J437" s="27"/>
      <c r="K437" s="27"/>
    </row>
    <row r="438" spans="1:11" x14ac:dyDescent="0.2">
      <c r="A438" s="26"/>
      <c r="B438" s="14" t="str">
        <f>IF(A438="","",CHOOSE(WEEKDAY(A438),"日","月","火","水","木","金","土"))</f>
        <v/>
      </c>
      <c r="C438" s="27"/>
      <c r="D438" s="27"/>
      <c r="E438" s="14" t="str">
        <f>IF(F438="","",IFERROR(INDEX(マスター!$F$5:$F$200,MATCH(F438,マスター!$E$5:$E$200,0)),"※マスター未登録"))</f>
        <v/>
      </c>
      <c r="F438" s="27"/>
      <c r="G438" s="27"/>
      <c r="H438" s="27"/>
      <c r="I438" s="27"/>
      <c r="J438" s="27"/>
      <c r="K438" s="27"/>
    </row>
    <row r="439" spans="1:11" x14ac:dyDescent="0.2">
      <c r="A439" s="26"/>
      <c r="B439" s="14" t="str">
        <f>IF(A439="","",CHOOSE(WEEKDAY(A439),"日","月","火","水","木","金","土"))</f>
        <v/>
      </c>
      <c r="C439" s="27"/>
      <c r="D439" s="27"/>
      <c r="E439" s="14" t="str">
        <f>IF(F439="","",IFERROR(INDEX(マスター!$F$5:$F$200,MATCH(F439,マスター!$E$5:$E$200,0)),"※マスター未登録"))</f>
        <v/>
      </c>
      <c r="F439" s="27"/>
      <c r="G439" s="27"/>
      <c r="H439" s="27"/>
      <c r="I439" s="27"/>
      <c r="J439" s="27"/>
      <c r="K439" s="27"/>
    </row>
    <row r="440" spans="1:11" x14ac:dyDescent="0.2">
      <c r="A440" s="26"/>
      <c r="B440" s="14" t="str">
        <f>IF(A440="","",CHOOSE(WEEKDAY(A440),"日","月","火","水","木","金","土"))</f>
        <v/>
      </c>
      <c r="C440" s="27"/>
      <c r="D440" s="27"/>
      <c r="E440" s="14" t="str">
        <f>IF(F440="","",IFERROR(INDEX(マスター!$F$5:$F$200,MATCH(F440,マスター!$E$5:$E$200,0)),"※マスター未登録"))</f>
        <v/>
      </c>
      <c r="F440" s="27"/>
      <c r="G440" s="27"/>
      <c r="H440" s="27"/>
      <c r="I440" s="27"/>
      <c r="J440" s="27"/>
      <c r="K440" s="27"/>
    </row>
    <row r="441" spans="1:11" x14ac:dyDescent="0.2">
      <c r="A441" s="26"/>
      <c r="B441" s="14" t="str">
        <f>IF(A441="","",CHOOSE(WEEKDAY(A441),"日","月","火","水","木","金","土"))</f>
        <v/>
      </c>
      <c r="C441" s="27"/>
      <c r="D441" s="27"/>
      <c r="E441" s="14" t="str">
        <f>IF(F441="","",IFERROR(INDEX(マスター!$F$5:$F$200,MATCH(F441,マスター!$E$5:$E$200,0)),"※マスター未登録"))</f>
        <v/>
      </c>
      <c r="F441" s="27"/>
      <c r="G441" s="27"/>
      <c r="H441" s="27"/>
      <c r="I441" s="27"/>
      <c r="J441" s="27"/>
      <c r="K441" s="27"/>
    </row>
    <row r="442" spans="1:11" x14ac:dyDescent="0.2">
      <c r="A442" s="26"/>
      <c r="B442" s="14" t="str">
        <f>IF(A442="","",CHOOSE(WEEKDAY(A442),"日","月","火","水","木","金","土"))</f>
        <v/>
      </c>
      <c r="C442" s="27"/>
      <c r="D442" s="27"/>
      <c r="E442" s="14" t="str">
        <f>IF(F442="","",IFERROR(INDEX(マスター!$F$5:$F$200,MATCH(F442,マスター!$E$5:$E$200,0)),"※マスター未登録"))</f>
        <v/>
      </c>
      <c r="F442" s="27"/>
      <c r="G442" s="27"/>
      <c r="H442" s="27"/>
      <c r="I442" s="27"/>
      <c r="J442" s="27"/>
      <c r="K442" s="27"/>
    </row>
    <row r="443" spans="1:11" x14ac:dyDescent="0.2">
      <c r="A443" s="26"/>
      <c r="B443" s="14" t="str">
        <f>IF(A443="","",CHOOSE(WEEKDAY(A443),"日","月","火","水","木","金","土"))</f>
        <v/>
      </c>
      <c r="C443" s="27"/>
      <c r="D443" s="27"/>
      <c r="E443" s="14" t="str">
        <f>IF(F443="","",IFERROR(INDEX(マスター!$F$5:$F$200,MATCH(F443,マスター!$E$5:$E$200,0)),"※マスター未登録"))</f>
        <v/>
      </c>
      <c r="F443" s="27"/>
      <c r="G443" s="27"/>
      <c r="H443" s="27"/>
      <c r="I443" s="27"/>
      <c r="J443" s="27"/>
      <c r="K443" s="27"/>
    </row>
    <row r="444" spans="1:11" x14ac:dyDescent="0.2">
      <c r="A444" s="26"/>
      <c r="B444" s="14" t="str">
        <f>IF(A444="","",CHOOSE(WEEKDAY(A444),"日","月","火","水","木","金","土"))</f>
        <v/>
      </c>
      <c r="C444" s="27"/>
      <c r="D444" s="27"/>
      <c r="E444" s="14" t="str">
        <f>IF(F444="","",IFERROR(INDEX(マスター!$F$5:$F$200,MATCH(F444,マスター!$E$5:$E$200,0)),"※マスター未登録"))</f>
        <v/>
      </c>
      <c r="F444" s="27"/>
      <c r="G444" s="27"/>
      <c r="H444" s="27"/>
      <c r="I444" s="27"/>
      <c r="J444" s="27"/>
      <c r="K444" s="27"/>
    </row>
    <row r="445" spans="1:11" x14ac:dyDescent="0.2">
      <c r="A445" s="26"/>
      <c r="B445" s="14" t="str">
        <f>IF(A445="","",CHOOSE(WEEKDAY(A445),"日","月","火","水","木","金","土"))</f>
        <v/>
      </c>
      <c r="C445" s="27"/>
      <c r="D445" s="27"/>
      <c r="E445" s="14" t="str">
        <f>IF(F445="","",IFERROR(INDEX(マスター!$F$5:$F$200,MATCH(F445,マスター!$E$5:$E$200,0)),"※マスター未登録"))</f>
        <v/>
      </c>
      <c r="F445" s="27"/>
      <c r="G445" s="27"/>
      <c r="H445" s="27"/>
      <c r="I445" s="27"/>
      <c r="J445" s="27"/>
      <c r="K445" s="27"/>
    </row>
    <row r="446" spans="1:11" x14ac:dyDescent="0.2">
      <c r="A446" s="26"/>
      <c r="B446" s="14" t="str">
        <f>IF(A446="","",CHOOSE(WEEKDAY(A446),"日","月","火","水","木","金","土"))</f>
        <v/>
      </c>
      <c r="C446" s="27"/>
      <c r="D446" s="27"/>
      <c r="E446" s="14" t="str">
        <f>IF(F446="","",IFERROR(INDEX(マスター!$F$5:$F$200,MATCH(F446,マスター!$E$5:$E$200,0)),"※マスター未登録"))</f>
        <v/>
      </c>
      <c r="F446" s="27"/>
      <c r="G446" s="27"/>
      <c r="H446" s="27"/>
      <c r="I446" s="27"/>
      <c r="J446" s="27"/>
      <c r="K446" s="27"/>
    </row>
    <row r="447" spans="1:11" x14ac:dyDescent="0.2">
      <c r="A447" s="26"/>
      <c r="B447" s="14" t="str">
        <f>IF(A447="","",CHOOSE(WEEKDAY(A447),"日","月","火","水","木","金","土"))</f>
        <v/>
      </c>
      <c r="C447" s="27"/>
      <c r="D447" s="27"/>
      <c r="E447" s="14" t="str">
        <f>IF(F447="","",IFERROR(INDEX(マスター!$F$5:$F$200,MATCH(F447,マスター!$E$5:$E$200,0)),"※マスター未登録"))</f>
        <v/>
      </c>
      <c r="F447" s="27"/>
      <c r="G447" s="27"/>
      <c r="H447" s="27"/>
      <c r="I447" s="27"/>
      <c r="J447" s="27"/>
      <c r="K447" s="27"/>
    </row>
    <row r="448" spans="1:11" x14ac:dyDescent="0.2">
      <c r="A448" s="26"/>
      <c r="B448" s="14" t="str">
        <f>IF(A448="","",CHOOSE(WEEKDAY(A448),"日","月","火","水","木","金","土"))</f>
        <v/>
      </c>
      <c r="C448" s="27"/>
      <c r="D448" s="27"/>
      <c r="E448" s="14" t="str">
        <f>IF(F448="","",IFERROR(INDEX(マスター!$F$5:$F$200,MATCH(F448,マスター!$E$5:$E$200,0)),"※マスター未登録"))</f>
        <v/>
      </c>
      <c r="F448" s="27"/>
      <c r="G448" s="27"/>
      <c r="H448" s="27"/>
      <c r="I448" s="27"/>
      <c r="J448" s="27"/>
      <c r="K448" s="27"/>
    </row>
    <row r="449" spans="1:11" x14ac:dyDescent="0.2">
      <c r="A449" s="26"/>
      <c r="B449" s="14" t="str">
        <f>IF(A449="","",CHOOSE(WEEKDAY(A449),"日","月","火","水","木","金","土"))</f>
        <v/>
      </c>
      <c r="C449" s="27"/>
      <c r="D449" s="27"/>
      <c r="E449" s="14" t="str">
        <f>IF(F449="","",IFERROR(INDEX(マスター!$F$5:$F$200,MATCH(F449,マスター!$E$5:$E$200,0)),"※マスター未登録"))</f>
        <v/>
      </c>
      <c r="F449" s="27"/>
      <c r="G449" s="27"/>
      <c r="H449" s="27"/>
      <c r="I449" s="27"/>
      <c r="J449" s="27"/>
      <c r="K449" s="27"/>
    </row>
    <row r="450" spans="1:11" x14ac:dyDescent="0.2">
      <c r="A450" s="26"/>
      <c r="B450" s="14" t="str">
        <f>IF(A450="","",CHOOSE(WEEKDAY(A450),"日","月","火","水","木","金","土"))</f>
        <v/>
      </c>
      <c r="C450" s="27"/>
      <c r="D450" s="27"/>
      <c r="E450" s="14" t="str">
        <f>IF(F450="","",IFERROR(INDEX(マスター!$F$5:$F$200,MATCH(F450,マスター!$E$5:$E$200,0)),"※マスター未登録"))</f>
        <v/>
      </c>
      <c r="F450" s="27"/>
      <c r="G450" s="27"/>
      <c r="H450" s="27"/>
      <c r="I450" s="27"/>
      <c r="J450" s="27"/>
      <c r="K450" s="27"/>
    </row>
    <row r="451" spans="1:11" x14ac:dyDescent="0.2">
      <c r="A451" s="26"/>
      <c r="B451" s="14" t="str">
        <f>IF(A451="","",CHOOSE(WEEKDAY(A451),"日","月","火","水","木","金","土"))</f>
        <v/>
      </c>
      <c r="C451" s="27"/>
      <c r="D451" s="27"/>
      <c r="E451" s="14" t="str">
        <f>IF(F451="","",IFERROR(INDEX(マスター!$F$5:$F$200,MATCH(F451,マスター!$E$5:$E$200,0)),"※マスター未登録"))</f>
        <v/>
      </c>
      <c r="F451" s="27"/>
      <c r="G451" s="27"/>
      <c r="H451" s="27"/>
      <c r="I451" s="27"/>
      <c r="J451" s="27"/>
      <c r="K451" s="27"/>
    </row>
    <row r="452" spans="1:11" x14ac:dyDescent="0.2">
      <c r="A452" s="26"/>
      <c r="B452" s="14" t="str">
        <f>IF(A452="","",CHOOSE(WEEKDAY(A452),"日","月","火","水","木","金","土"))</f>
        <v/>
      </c>
      <c r="C452" s="27"/>
      <c r="D452" s="27"/>
      <c r="E452" s="14" t="str">
        <f>IF(F452="","",IFERROR(INDEX(マスター!$F$5:$F$200,MATCH(F452,マスター!$E$5:$E$200,0)),"※マスター未登録"))</f>
        <v/>
      </c>
      <c r="F452" s="27"/>
      <c r="G452" s="27"/>
      <c r="H452" s="27"/>
      <c r="I452" s="27"/>
      <c r="J452" s="27"/>
      <c r="K452" s="27"/>
    </row>
    <row r="453" spans="1:11" x14ac:dyDescent="0.2">
      <c r="A453" s="26"/>
      <c r="B453" s="14" t="str">
        <f>IF(A453="","",CHOOSE(WEEKDAY(A453),"日","月","火","水","木","金","土"))</f>
        <v/>
      </c>
      <c r="C453" s="27"/>
      <c r="D453" s="27"/>
      <c r="E453" s="14" t="str">
        <f>IF(F453="","",IFERROR(INDEX(マスター!$F$5:$F$200,MATCH(F453,マスター!$E$5:$E$200,0)),"※マスター未登録"))</f>
        <v/>
      </c>
      <c r="F453" s="27"/>
      <c r="G453" s="27"/>
      <c r="H453" s="27"/>
      <c r="I453" s="27"/>
      <c r="J453" s="27"/>
      <c r="K453" s="27"/>
    </row>
    <row r="454" spans="1:11" x14ac:dyDescent="0.2">
      <c r="A454" s="26"/>
      <c r="B454" s="14" t="str">
        <f>IF(A454="","",CHOOSE(WEEKDAY(A454),"日","月","火","水","木","金","土"))</f>
        <v/>
      </c>
      <c r="C454" s="27"/>
      <c r="D454" s="27"/>
      <c r="E454" s="14" t="str">
        <f>IF(F454="","",IFERROR(INDEX(マスター!$F$5:$F$200,MATCH(F454,マスター!$E$5:$E$200,0)),"※マスター未登録"))</f>
        <v/>
      </c>
      <c r="F454" s="27"/>
      <c r="G454" s="27"/>
      <c r="H454" s="27"/>
      <c r="I454" s="27"/>
      <c r="J454" s="27"/>
      <c r="K454" s="27"/>
    </row>
    <row r="455" spans="1:11" x14ac:dyDescent="0.2">
      <c r="A455" s="26"/>
      <c r="B455" s="14" t="str">
        <f>IF(A455="","",CHOOSE(WEEKDAY(A455),"日","月","火","水","木","金","土"))</f>
        <v/>
      </c>
      <c r="C455" s="27"/>
      <c r="D455" s="27"/>
      <c r="E455" s="14" t="str">
        <f>IF(F455="","",IFERROR(INDEX(マスター!$F$5:$F$200,MATCH(F455,マスター!$E$5:$E$200,0)),"※マスター未登録"))</f>
        <v/>
      </c>
      <c r="F455" s="27"/>
      <c r="G455" s="27"/>
      <c r="H455" s="27"/>
      <c r="I455" s="27"/>
      <c r="J455" s="27"/>
      <c r="K455" s="27"/>
    </row>
    <row r="456" spans="1:11" x14ac:dyDescent="0.2">
      <c r="A456" s="26"/>
      <c r="B456" s="14" t="str">
        <f>IF(A456="","",CHOOSE(WEEKDAY(A456),"日","月","火","水","木","金","土"))</f>
        <v/>
      </c>
      <c r="C456" s="27"/>
      <c r="D456" s="27"/>
      <c r="E456" s="14" t="str">
        <f>IF(F456="","",IFERROR(INDEX(マスター!$F$5:$F$200,MATCH(F456,マスター!$E$5:$E$200,0)),"※マスター未登録"))</f>
        <v/>
      </c>
      <c r="F456" s="27"/>
      <c r="G456" s="27"/>
      <c r="H456" s="27"/>
      <c r="I456" s="27"/>
      <c r="J456" s="27"/>
      <c r="K456" s="27"/>
    </row>
    <row r="457" spans="1:11" x14ac:dyDescent="0.2">
      <c r="A457" s="26"/>
      <c r="B457" s="14" t="str">
        <f>IF(A457="","",CHOOSE(WEEKDAY(A457),"日","月","火","水","木","金","土"))</f>
        <v/>
      </c>
      <c r="C457" s="27"/>
      <c r="D457" s="27"/>
      <c r="E457" s="14" t="str">
        <f>IF(F457="","",IFERROR(INDEX(マスター!$F$5:$F$200,MATCH(F457,マスター!$E$5:$E$200,0)),"※マスター未登録"))</f>
        <v/>
      </c>
      <c r="F457" s="27"/>
      <c r="G457" s="27"/>
      <c r="H457" s="27"/>
      <c r="I457" s="27"/>
      <c r="J457" s="27"/>
      <c r="K457" s="27"/>
    </row>
    <row r="458" spans="1:11" x14ac:dyDescent="0.2">
      <c r="A458" s="26"/>
      <c r="B458" s="14" t="str">
        <f>IF(A458="","",CHOOSE(WEEKDAY(A458),"日","月","火","水","木","金","土"))</f>
        <v/>
      </c>
      <c r="C458" s="27"/>
      <c r="D458" s="27"/>
      <c r="E458" s="14" t="str">
        <f>IF(F458="","",IFERROR(INDEX(マスター!$F$5:$F$200,MATCH(F458,マスター!$E$5:$E$200,0)),"※マスター未登録"))</f>
        <v/>
      </c>
      <c r="F458" s="27"/>
      <c r="G458" s="27"/>
      <c r="H458" s="27"/>
      <c r="I458" s="27"/>
      <c r="J458" s="27"/>
      <c r="K458" s="27"/>
    </row>
    <row r="459" spans="1:11" x14ac:dyDescent="0.2">
      <c r="A459" s="26"/>
      <c r="B459" s="14" t="str">
        <f>IF(A459="","",CHOOSE(WEEKDAY(A459),"日","月","火","水","木","金","土"))</f>
        <v/>
      </c>
      <c r="C459" s="27"/>
      <c r="D459" s="27"/>
      <c r="E459" s="14" t="str">
        <f>IF(F459="","",IFERROR(INDEX(マスター!$F$5:$F$200,MATCH(F459,マスター!$E$5:$E$200,0)),"※マスター未登録"))</f>
        <v/>
      </c>
      <c r="F459" s="27"/>
      <c r="G459" s="27"/>
      <c r="H459" s="27"/>
      <c r="I459" s="27"/>
      <c r="J459" s="27"/>
      <c r="K459" s="27"/>
    </row>
    <row r="460" spans="1:11" x14ac:dyDescent="0.2">
      <c r="A460" s="26"/>
      <c r="B460" s="14" t="str">
        <f>IF(A460="","",CHOOSE(WEEKDAY(A460),"日","月","火","水","木","金","土"))</f>
        <v/>
      </c>
      <c r="C460" s="27"/>
      <c r="D460" s="27"/>
      <c r="E460" s="14" t="str">
        <f>IF(F460="","",IFERROR(INDEX(マスター!$F$5:$F$200,MATCH(F460,マスター!$E$5:$E$200,0)),"※マスター未登録"))</f>
        <v/>
      </c>
      <c r="F460" s="27"/>
      <c r="G460" s="27"/>
      <c r="H460" s="27"/>
      <c r="I460" s="27"/>
      <c r="J460" s="27"/>
      <c r="K460" s="27"/>
    </row>
    <row r="461" spans="1:11" x14ac:dyDescent="0.2">
      <c r="A461" s="26"/>
      <c r="B461" s="14" t="str">
        <f>IF(A461="","",CHOOSE(WEEKDAY(A461),"日","月","火","水","木","金","土"))</f>
        <v/>
      </c>
      <c r="C461" s="27"/>
      <c r="D461" s="27"/>
      <c r="E461" s="14" t="str">
        <f>IF(F461="","",IFERROR(INDEX(マスター!$F$5:$F$200,MATCH(F461,マスター!$E$5:$E$200,0)),"※マスター未登録"))</f>
        <v/>
      </c>
      <c r="F461" s="27"/>
      <c r="G461" s="27"/>
      <c r="H461" s="27"/>
      <c r="I461" s="27"/>
      <c r="J461" s="27"/>
      <c r="K461" s="27"/>
    </row>
    <row r="462" spans="1:11" x14ac:dyDescent="0.2">
      <c r="A462" s="26"/>
      <c r="B462" s="14" t="str">
        <f>IF(A462="","",CHOOSE(WEEKDAY(A462),"日","月","火","水","木","金","土"))</f>
        <v/>
      </c>
      <c r="C462" s="27"/>
      <c r="D462" s="27"/>
      <c r="E462" s="14" t="str">
        <f>IF(F462="","",IFERROR(INDEX(マスター!$F$5:$F$200,MATCH(F462,マスター!$E$5:$E$200,0)),"※マスター未登録"))</f>
        <v/>
      </c>
      <c r="F462" s="27"/>
      <c r="G462" s="27"/>
      <c r="H462" s="27"/>
      <c r="I462" s="27"/>
      <c r="J462" s="27"/>
      <c r="K462" s="27"/>
    </row>
    <row r="463" spans="1:11" x14ac:dyDescent="0.2">
      <c r="A463" s="26"/>
      <c r="B463" s="14" t="str">
        <f>IF(A463="","",CHOOSE(WEEKDAY(A463),"日","月","火","水","木","金","土"))</f>
        <v/>
      </c>
      <c r="C463" s="27"/>
      <c r="D463" s="27"/>
      <c r="E463" s="14" t="str">
        <f>IF(F463="","",IFERROR(INDEX(マスター!$F$5:$F$200,MATCH(F463,マスター!$E$5:$E$200,0)),"※マスター未登録"))</f>
        <v/>
      </c>
      <c r="F463" s="27"/>
      <c r="G463" s="27"/>
      <c r="H463" s="27"/>
      <c r="I463" s="27"/>
      <c r="J463" s="27"/>
      <c r="K463" s="27"/>
    </row>
    <row r="464" spans="1:11" x14ac:dyDescent="0.2">
      <c r="A464" s="26"/>
      <c r="B464" s="14" t="str">
        <f>IF(A464="","",CHOOSE(WEEKDAY(A464),"日","月","火","水","木","金","土"))</f>
        <v/>
      </c>
      <c r="C464" s="27"/>
      <c r="D464" s="27"/>
      <c r="E464" s="14" t="str">
        <f>IF(F464="","",IFERROR(INDEX(マスター!$F$5:$F$200,MATCH(F464,マスター!$E$5:$E$200,0)),"※マスター未登録"))</f>
        <v/>
      </c>
      <c r="F464" s="27"/>
      <c r="G464" s="27"/>
      <c r="H464" s="27"/>
      <c r="I464" s="27"/>
      <c r="J464" s="27"/>
      <c r="K464" s="27"/>
    </row>
    <row r="465" spans="1:11" x14ac:dyDescent="0.2">
      <c r="A465" s="26"/>
      <c r="B465" s="14" t="str">
        <f>IF(A465="","",CHOOSE(WEEKDAY(A465),"日","月","火","水","木","金","土"))</f>
        <v/>
      </c>
      <c r="C465" s="27"/>
      <c r="D465" s="27"/>
      <c r="E465" s="14" t="str">
        <f>IF(F465="","",IFERROR(INDEX(マスター!$F$5:$F$200,MATCH(F465,マスター!$E$5:$E$200,0)),"※マスター未登録"))</f>
        <v/>
      </c>
      <c r="F465" s="27"/>
      <c r="G465" s="27"/>
      <c r="H465" s="27"/>
      <c r="I465" s="27"/>
      <c r="J465" s="27"/>
      <c r="K465" s="27"/>
    </row>
    <row r="466" spans="1:11" x14ac:dyDescent="0.2">
      <c r="A466" s="26"/>
      <c r="B466" s="14" t="str">
        <f>IF(A466="","",CHOOSE(WEEKDAY(A466),"日","月","火","水","木","金","土"))</f>
        <v/>
      </c>
      <c r="C466" s="27"/>
      <c r="D466" s="27"/>
      <c r="E466" s="14" t="str">
        <f>IF(F466="","",IFERROR(INDEX(マスター!$F$5:$F$200,MATCH(F466,マスター!$E$5:$E$200,0)),"※マスター未登録"))</f>
        <v/>
      </c>
      <c r="F466" s="27"/>
      <c r="G466" s="27"/>
      <c r="H466" s="27"/>
      <c r="I466" s="27"/>
      <c r="J466" s="27"/>
      <c r="K466" s="27"/>
    </row>
    <row r="467" spans="1:11" x14ac:dyDescent="0.2">
      <c r="A467" s="26"/>
      <c r="B467" s="14" t="str">
        <f>IF(A467="","",CHOOSE(WEEKDAY(A467),"日","月","火","水","木","金","土"))</f>
        <v/>
      </c>
      <c r="C467" s="27"/>
      <c r="D467" s="27"/>
      <c r="E467" s="14" t="str">
        <f>IF(F467="","",IFERROR(INDEX(マスター!$F$5:$F$200,MATCH(F467,マスター!$E$5:$E$200,0)),"※マスター未登録"))</f>
        <v/>
      </c>
      <c r="F467" s="27"/>
      <c r="G467" s="27"/>
      <c r="H467" s="27"/>
      <c r="I467" s="27"/>
      <c r="J467" s="27"/>
      <c r="K467" s="27"/>
    </row>
    <row r="468" spans="1:11" x14ac:dyDescent="0.2">
      <c r="A468" s="26"/>
      <c r="B468" s="14" t="str">
        <f>IF(A468="","",CHOOSE(WEEKDAY(A468),"日","月","火","水","木","金","土"))</f>
        <v/>
      </c>
      <c r="C468" s="27"/>
      <c r="D468" s="27"/>
      <c r="E468" s="14" t="str">
        <f>IF(F468="","",IFERROR(INDEX(マスター!$F$5:$F$200,MATCH(F468,マスター!$E$5:$E$200,0)),"※マスター未登録"))</f>
        <v/>
      </c>
      <c r="F468" s="27"/>
      <c r="G468" s="27"/>
      <c r="H468" s="27"/>
      <c r="I468" s="27"/>
      <c r="J468" s="27"/>
      <c r="K468" s="27"/>
    </row>
    <row r="469" spans="1:11" x14ac:dyDescent="0.2">
      <c r="A469" s="26"/>
      <c r="B469" s="14" t="str">
        <f>IF(A469="","",CHOOSE(WEEKDAY(A469),"日","月","火","水","木","金","土"))</f>
        <v/>
      </c>
      <c r="C469" s="27"/>
      <c r="D469" s="27"/>
      <c r="E469" s="14" t="str">
        <f>IF(F469="","",IFERROR(INDEX(マスター!$F$5:$F$200,MATCH(F469,マスター!$E$5:$E$200,0)),"※マスター未登録"))</f>
        <v/>
      </c>
      <c r="F469" s="27"/>
      <c r="G469" s="27"/>
      <c r="H469" s="27"/>
      <c r="I469" s="27"/>
      <c r="J469" s="27"/>
      <c r="K469" s="27"/>
    </row>
    <row r="470" spans="1:11" x14ac:dyDescent="0.2">
      <c r="A470" s="26"/>
      <c r="B470" s="14" t="str">
        <f>IF(A470="","",CHOOSE(WEEKDAY(A470),"日","月","火","水","木","金","土"))</f>
        <v/>
      </c>
      <c r="C470" s="27"/>
      <c r="D470" s="27"/>
      <c r="E470" s="14" t="str">
        <f>IF(F470="","",IFERROR(INDEX(マスター!$F$5:$F$200,MATCH(F470,マスター!$E$5:$E$200,0)),"※マスター未登録"))</f>
        <v/>
      </c>
      <c r="F470" s="27"/>
      <c r="G470" s="27"/>
      <c r="H470" s="27"/>
      <c r="I470" s="27"/>
      <c r="J470" s="27"/>
      <c r="K470" s="27"/>
    </row>
    <row r="471" spans="1:11" x14ac:dyDescent="0.2">
      <c r="A471" s="26"/>
      <c r="B471" s="14" t="str">
        <f>IF(A471="","",CHOOSE(WEEKDAY(A471),"日","月","火","水","木","金","土"))</f>
        <v/>
      </c>
      <c r="C471" s="27"/>
      <c r="D471" s="27"/>
      <c r="E471" s="14" t="str">
        <f>IF(F471="","",IFERROR(INDEX(マスター!$F$5:$F$200,MATCH(F471,マスター!$E$5:$E$200,0)),"※マスター未登録"))</f>
        <v/>
      </c>
      <c r="F471" s="27"/>
      <c r="G471" s="27"/>
      <c r="H471" s="27"/>
      <c r="I471" s="27"/>
      <c r="J471" s="27"/>
      <c r="K471" s="27"/>
    </row>
    <row r="472" spans="1:11" x14ac:dyDescent="0.2">
      <c r="A472" s="26"/>
      <c r="B472" s="14" t="str">
        <f>IF(A472="","",CHOOSE(WEEKDAY(A472),"日","月","火","水","木","金","土"))</f>
        <v/>
      </c>
      <c r="C472" s="27"/>
      <c r="D472" s="27"/>
      <c r="E472" s="14" t="str">
        <f>IF(F472="","",IFERROR(INDEX(マスター!$F$5:$F$200,MATCH(F472,マスター!$E$5:$E$200,0)),"※マスター未登録"))</f>
        <v/>
      </c>
      <c r="F472" s="27"/>
      <c r="G472" s="27"/>
      <c r="H472" s="27"/>
      <c r="I472" s="27"/>
      <c r="J472" s="27"/>
      <c r="K472" s="27"/>
    </row>
    <row r="473" spans="1:11" x14ac:dyDescent="0.2">
      <c r="A473" s="26"/>
      <c r="B473" s="14" t="str">
        <f>IF(A473="","",CHOOSE(WEEKDAY(A473),"日","月","火","水","木","金","土"))</f>
        <v/>
      </c>
      <c r="C473" s="27"/>
      <c r="D473" s="27"/>
      <c r="E473" s="14" t="str">
        <f>IF(F473="","",IFERROR(INDEX(マスター!$F$5:$F$200,MATCH(F473,マスター!$E$5:$E$200,0)),"※マスター未登録"))</f>
        <v/>
      </c>
      <c r="F473" s="27"/>
      <c r="G473" s="27"/>
      <c r="H473" s="27"/>
      <c r="I473" s="27"/>
      <c r="J473" s="27"/>
      <c r="K473" s="27"/>
    </row>
    <row r="474" spans="1:11" x14ac:dyDescent="0.2">
      <c r="A474" s="26"/>
      <c r="B474" s="14" t="str">
        <f>IF(A474="","",CHOOSE(WEEKDAY(A474),"日","月","火","水","木","金","土"))</f>
        <v/>
      </c>
      <c r="C474" s="27"/>
      <c r="D474" s="27"/>
      <c r="E474" s="14" t="str">
        <f>IF(F474="","",IFERROR(INDEX(マスター!$F$5:$F$200,MATCH(F474,マスター!$E$5:$E$200,0)),"※マスター未登録"))</f>
        <v/>
      </c>
      <c r="F474" s="27"/>
      <c r="G474" s="27"/>
      <c r="H474" s="27"/>
      <c r="I474" s="27"/>
      <c r="J474" s="27"/>
      <c r="K474" s="27"/>
    </row>
    <row r="475" spans="1:11" x14ac:dyDescent="0.2">
      <c r="A475" s="26"/>
      <c r="B475" s="14" t="str">
        <f>IF(A475="","",CHOOSE(WEEKDAY(A475),"日","月","火","水","木","金","土"))</f>
        <v/>
      </c>
      <c r="C475" s="27"/>
      <c r="D475" s="27"/>
      <c r="E475" s="14" t="str">
        <f>IF(F475="","",IFERROR(INDEX(マスター!$F$5:$F$200,MATCH(F475,マスター!$E$5:$E$200,0)),"※マスター未登録"))</f>
        <v/>
      </c>
      <c r="F475" s="27"/>
      <c r="G475" s="27"/>
      <c r="H475" s="27"/>
      <c r="I475" s="27"/>
      <c r="J475" s="27"/>
      <c r="K475" s="27"/>
    </row>
    <row r="476" spans="1:11" x14ac:dyDescent="0.2">
      <c r="A476" s="26"/>
      <c r="B476" s="14" t="str">
        <f>IF(A476="","",CHOOSE(WEEKDAY(A476),"日","月","火","水","木","金","土"))</f>
        <v/>
      </c>
      <c r="C476" s="27"/>
      <c r="D476" s="27"/>
      <c r="E476" s="14" t="str">
        <f>IF(F476="","",IFERROR(INDEX(マスター!$F$5:$F$200,MATCH(F476,マスター!$E$5:$E$200,0)),"※マスター未登録"))</f>
        <v/>
      </c>
      <c r="F476" s="27"/>
      <c r="G476" s="27"/>
      <c r="H476" s="27"/>
      <c r="I476" s="27"/>
      <c r="J476" s="27"/>
      <c r="K476" s="27"/>
    </row>
    <row r="477" spans="1:11" x14ac:dyDescent="0.2">
      <c r="A477" s="26"/>
      <c r="B477" s="14" t="str">
        <f>IF(A477="","",CHOOSE(WEEKDAY(A477),"日","月","火","水","木","金","土"))</f>
        <v/>
      </c>
      <c r="C477" s="27"/>
      <c r="D477" s="27"/>
      <c r="E477" s="14" t="str">
        <f>IF(F477="","",IFERROR(INDEX(マスター!$F$5:$F$200,MATCH(F477,マスター!$E$5:$E$200,0)),"※マスター未登録"))</f>
        <v/>
      </c>
      <c r="F477" s="27"/>
      <c r="G477" s="27"/>
      <c r="H477" s="27"/>
      <c r="I477" s="27"/>
      <c r="J477" s="27"/>
      <c r="K477" s="27"/>
    </row>
    <row r="478" spans="1:11" x14ac:dyDescent="0.2">
      <c r="A478" s="26"/>
      <c r="B478" s="14" t="str">
        <f>IF(A478="","",CHOOSE(WEEKDAY(A478),"日","月","火","水","木","金","土"))</f>
        <v/>
      </c>
      <c r="C478" s="27"/>
      <c r="D478" s="27"/>
      <c r="E478" s="14" t="str">
        <f>IF(F478="","",IFERROR(INDEX(マスター!$F$5:$F$200,MATCH(F478,マスター!$E$5:$E$200,0)),"※マスター未登録"))</f>
        <v/>
      </c>
      <c r="F478" s="27"/>
      <c r="G478" s="27"/>
      <c r="H478" s="27"/>
      <c r="I478" s="27"/>
      <c r="J478" s="27"/>
      <c r="K478" s="27"/>
    </row>
    <row r="479" spans="1:11" x14ac:dyDescent="0.2">
      <c r="A479" s="26"/>
      <c r="B479" s="14" t="str">
        <f>IF(A479="","",CHOOSE(WEEKDAY(A479),"日","月","火","水","木","金","土"))</f>
        <v/>
      </c>
      <c r="C479" s="27"/>
      <c r="D479" s="27"/>
      <c r="E479" s="14" t="str">
        <f>IF(F479="","",IFERROR(INDEX(マスター!$F$5:$F$200,MATCH(F479,マスター!$E$5:$E$200,0)),"※マスター未登録"))</f>
        <v/>
      </c>
      <c r="F479" s="27"/>
      <c r="G479" s="27"/>
      <c r="H479" s="27"/>
      <c r="I479" s="27"/>
      <c r="J479" s="27"/>
      <c r="K479" s="27"/>
    </row>
    <row r="480" spans="1:11" x14ac:dyDescent="0.2">
      <c r="A480" s="26"/>
      <c r="B480" s="14" t="str">
        <f>IF(A480="","",CHOOSE(WEEKDAY(A480),"日","月","火","水","木","金","土"))</f>
        <v/>
      </c>
      <c r="C480" s="27"/>
      <c r="D480" s="27"/>
      <c r="E480" s="14" t="str">
        <f>IF(F480="","",IFERROR(INDEX(マスター!$F$5:$F$200,MATCH(F480,マスター!$E$5:$E$200,0)),"※マスター未登録"))</f>
        <v/>
      </c>
      <c r="F480" s="27"/>
      <c r="G480" s="27"/>
      <c r="H480" s="27"/>
      <c r="I480" s="27"/>
      <c r="J480" s="27"/>
      <c r="K480" s="27"/>
    </row>
    <row r="481" spans="1:11" x14ac:dyDescent="0.2">
      <c r="A481" s="26"/>
      <c r="B481" s="14" t="str">
        <f>IF(A481="","",CHOOSE(WEEKDAY(A481),"日","月","火","水","木","金","土"))</f>
        <v/>
      </c>
      <c r="C481" s="27"/>
      <c r="D481" s="27"/>
      <c r="E481" s="14" t="str">
        <f>IF(F481="","",IFERROR(INDEX(マスター!$F$5:$F$200,MATCH(F481,マスター!$E$5:$E$200,0)),"※マスター未登録"))</f>
        <v/>
      </c>
      <c r="F481" s="27"/>
      <c r="G481" s="27"/>
      <c r="H481" s="27"/>
      <c r="I481" s="27"/>
      <c r="J481" s="27"/>
      <c r="K481" s="27"/>
    </row>
    <row r="482" spans="1:11" x14ac:dyDescent="0.2">
      <c r="A482" s="26"/>
      <c r="B482" s="14" t="str">
        <f>IF(A482="","",CHOOSE(WEEKDAY(A482),"日","月","火","水","木","金","土"))</f>
        <v/>
      </c>
      <c r="C482" s="27"/>
      <c r="D482" s="27"/>
      <c r="E482" s="14" t="str">
        <f>IF(F482="","",IFERROR(INDEX(マスター!$F$5:$F$200,MATCH(F482,マスター!$E$5:$E$200,0)),"※マスター未登録"))</f>
        <v/>
      </c>
      <c r="F482" s="27"/>
      <c r="G482" s="27"/>
      <c r="H482" s="27"/>
      <c r="I482" s="27"/>
      <c r="J482" s="27"/>
      <c r="K482" s="27"/>
    </row>
    <row r="483" spans="1:11" x14ac:dyDescent="0.2">
      <c r="A483" s="26"/>
      <c r="B483" s="14" t="str">
        <f>IF(A483="","",CHOOSE(WEEKDAY(A483),"日","月","火","水","木","金","土"))</f>
        <v/>
      </c>
      <c r="C483" s="27"/>
      <c r="D483" s="27"/>
      <c r="E483" s="14" t="str">
        <f>IF(F483="","",IFERROR(INDEX(マスター!$F$5:$F$200,MATCH(F483,マスター!$E$5:$E$200,0)),"※マスター未登録"))</f>
        <v/>
      </c>
      <c r="F483" s="27"/>
      <c r="G483" s="27"/>
      <c r="H483" s="27"/>
      <c r="I483" s="27"/>
      <c r="J483" s="27"/>
      <c r="K483" s="27"/>
    </row>
    <row r="484" spans="1:11" x14ac:dyDescent="0.2">
      <c r="A484" s="26"/>
      <c r="B484" s="14" t="str">
        <f>IF(A484="","",CHOOSE(WEEKDAY(A484),"日","月","火","水","木","金","土"))</f>
        <v/>
      </c>
      <c r="C484" s="27"/>
      <c r="D484" s="27"/>
      <c r="E484" s="14" t="str">
        <f>IF(F484="","",IFERROR(INDEX(マスター!$F$5:$F$200,MATCH(F484,マスター!$E$5:$E$200,0)),"※マスター未登録"))</f>
        <v/>
      </c>
      <c r="F484" s="27"/>
      <c r="G484" s="27"/>
      <c r="H484" s="27"/>
      <c r="I484" s="27"/>
      <c r="J484" s="27"/>
      <c r="K484" s="27"/>
    </row>
    <row r="485" spans="1:11" x14ac:dyDescent="0.2">
      <c r="A485" s="26"/>
      <c r="B485" s="14" t="str">
        <f>IF(A485="","",CHOOSE(WEEKDAY(A485),"日","月","火","水","木","金","土"))</f>
        <v/>
      </c>
      <c r="C485" s="27"/>
      <c r="D485" s="27"/>
      <c r="E485" s="14" t="str">
        <f>IF(F485="","",IFERROR(INDEX(マスター!$F$5:$F$200,MATCH(F485,マスター!$E$5:$E$200,0)),"※マスター未登録"))</f>
        <v/>
      </c>
      <c r="F485" s="27"/>
      <c r="G485" s="27"/>
      <c r="H485" s="27"/>
      <c r="I485" s="27"/>
      <c r="J485" s="27"/>
      <c r="K485" s="27"/>
    </row>
    <row r="486" spans="1:11" x14ac:dyDescent="0.2">
      <c r="A486" s="26"/>
      <c r="B486" s="14" t="str">
        <f>IF(A486="","",CHOOSE(WEEKDAY(A486),"日","月","火","水","木","金","土"))</f>
        <v/>
      </c>
      <c r="C486" s="27"/>
      <c r="D486" s="27"/>
      <c r="E486" s="14" t="str">
        <f>IF(F486="","",IFERROR(INDEX(マスター!$F$5:$F$200,MATCH(F486,マスター!$E$5:$E$200,0)),"※マスター未登録"))</f>
        <v/>
      </c>
      <c r="F486" s="27"/>
      <c r="G486" s="27"/>
      <c r="H486" s="27"/>
      <c r="I486" s="27"/>
      <c r="J486" s="27"/>
      <c r="K486" s="27"/>
    </row>
    <row r="487" spans="1:11" x14ac:dyDescent="0.2">
      <c r="A487" s="26"/>
      <c r="B487" s="14" t="str">
        <f>IF(A487="","",CHOOSE(WEEKDAY(A487),"日","月","火","水","木","金","土"))</f>
        <v/>
      </c>
      <c r="C487" s="27"/>
      <c r="D487" s="27"/>
      <c r="E487" s="14" t="str">
        <f>IF(F487="","",IFERROR(INDEX(マスター!$F$5:$F$200,MATCH(F487,マスター!$E$5:$E$200,0)),"※マスター未登録"))</f>
        <v/>
      </c>
      <c r="F487" s="27"/>
      <c r="G487" s="27"/>
      <c r="H487" s="27"/>
      <c r="I487" s="27"/>
      <c r="J487" s="27"/>
      <c r="K487" s="27"/>
    </row>
    <row r="488" spans="1:11" x14ac:dyDescent="0.2">
      <c r="A488" s="26"/>
      <c r="B488" s="14" t="str">
        <f>IF(A488="","",CHOOSE(WEEKDAY(A488),"日","月","火","水","木","金","土"))</f>
        <v/>
      </c>
      <c r="C488" s="27"/>
      <c r="D488" s="27"/>
      <c r="E488" s="14" t="str">
        <f>IF(F488="","",IFERROR(INDEX(マスター!$F$5:$F$200,MATCH(F488,マスター!$E$5:$E$200,0)),"※マスター未登録"))</f>
        <v/>
      </c>
      <c r="F488" s="27"/>
      <c r="G488" s="27"/>
      <c r="H488" s="27"/>
      <c r="I488" s="27"/>
      <c r="J488" s="27"/>
      <c r="K488" s="27"/>
    </row>
    <row r="489" spans="1:11" x14ac:dyDescent="0.2">
      <c r="A489" s="26"/>
      <c r="B489" s="14" t="str">
        <f>IF(A489="","",CHOOSE(WEEKDAY(A489),"日","月","火","水","木","金","土"))</f>
        <v/>
      </c>
      <c r="C489" s="27"/>
      <c r="D489" s="27"/>
      <c r="E489" s="14" t="str">
        <f>IF(F489="","",IFERROR(INDEX(マスター!$F$5:$F$200,MATCH(F489,マスター!$E$5:$E$200,0)),"※マスター未登録"))</f>
        <v/>
      </c>
      <c r="F489" s="27"/>
      <c r="G489" s="27"/>
      <c r="H489" s="27"/>
      <c r="I489" s="27"/>
      <c r="J489" s="27"/>
      <c r="K489" s="27"/>
    </row>
    <row r="490" spans="1:11" x14ac:dyDescent="0.2">
      <c r="A490" s="26"/>
      <c r="B490" s="14" t="str">
        <f>IF(A490="","",CHOOSE(WEEKDAY(A490),"日","月","火","水","木","金","土"))</f>
        <v/>
      </c>
      <c r="C490" s="27"/>
      <c r="D490" s="27"/>
      <c r="E490" s="14" t="str">
        <f>IF(F490="","",IFERROR(INDEX(マスター!$F$5:$F$200,MATCH(F490,マスター!$E$5:$E$200,0)),"※マスター未登録"))</f>
        <v/>
      </c>
      <c r="F490" s="27"/>
      <c r="G490" s="27"/>
      <c r="H490" s="27"/>
      <c r="I490" s="27"/>
      <c r="J490" s="27"/>
      <c r="K490" s="27"/>
    </row>
    <row r="491" spans="1:11" x14ac:dyDescent="0.2">
      <c r="A491" s="26"/>
      <c r="B491" s="14" t="str">
        <f>IF(A491="","",CHOOSE(WEEKDAY(A491),"日","月","火","水","木","金","土"))</f>
        <v/>
      </c>
      <c r="C491" s="27"/>
      <c r="D491" s="27"/>
      <c r="E491" s="14" t="str">
        <f>IF(F491="","",IFERROR(INDEX(マスター!$F$5:$F$200,MATCH(F491,マスター!$E$5:$E$200,0)),"※マスター未登録"))</f>
        <v/>
      </c>
      <c r="F491" s="27"/>
      <c r="G491" s="27"/>
      <c r="H491" s="27"/>
      <c r="I491" s="27"/>
      <c r="J491" s="27"/>
      <c r="K491" s="27"/>
    </row>
    <row r="492" spans="1:11" x14ac:dyDescent="0.2">
      <c r="A492" s="26"/>
      <c r="B492" s="14" t="str">
        <f>IF(A492="","",CHOOSE(WEEKDAY(A492),"日","月","火","水","木","金","土"))</f>
        <v/>
      </c>
      <c r="C492" s="27"/>
      <c r="D492" s="27"/>
      <c r="E492" s="14" t="str">
        <f>IF(F492="","",IFERROR(INDEX(マスター!$F$5:$F$200,MATCH(F492,マスター!$E$5:$E$200,0)),"※マスター未登録"))</f>
        <v/>
      </c>
      <c r="F492" s="27"/>
      <c r="G492" s="27"/>
      <c r="H492" s="27"/>
      <c r="I492" s="27"/>
      <c r="J492" s="27"/>
      <c r="K492" s="27"/>
    </row>
    <row r="493" spans="1:11" x14ac:dyDescent="0.2">
      <c r="A493" s="26"/>
      <c r="B493" s="14" t="str">
        <f>IF(A493="","",CHOOSE(WEEKDAY(A493),"日","月","火","水","木","金","土"))</f>
        <v/>
      </c>
      <c r="C493" s="27"/>
      <c r="D493" s="27"/>
      <c r="E493" s="14" t="str">
        <f>IF(F493="","",IFERROR(INDEX(マスター!$F$5:$F$200,MATCH(F493,マスター!$E$5:$E$200,0)),"※マスター未登録"))</f>
        <v/>
      </c>
      <c r="F493" s="27"/>
      <c r="G493" s="27"/>
      <c r="H493" s="27"/>
      <c r="I493" s="27"/>
      <c r="J493" s="27"/>
      <c r="K493" s="27"/>
    </row>
    <row r="494" spans="1:11" x14ac:dyDescent="0.2">
      <c r="A494" s="26"/>
      <c r="B494" s="14" t="str">
        <f>IF(A494="","",CHOOSE(WEEKDAY(A494),"日","月","火","水","木","金","土"))</f>
        <v/>
      </c>
      <c r="C494" s="27"/>
      <c r="D494" s="27"/>
      <c r="E494" s="14" t="str">
        <f>IF(F494="","",IFERROR(INDEX(マスター!$F$5:$F$200,MATCH(F494,マスター!$E$5:$E$200,0)),"※マスター未登録"))</f>
        <v/>
      </c>
      <c r="F494" s="27"/>
      <c r="G494" s="27"/>
      <c r="H494" s="27"/>
      <c r="I494" s="27"/>
      <c r="J494" s="27"/>
      <c r="K494" s="27"/>
    </row>
    <row r="495" spans="1:11" x14ac:dyDescent="0.2">
      <c r="A495" s="26"/>
      <c r="B495" s="14" t="str">
        <f>IF(A495="","",CHOOSE(WEEKDAY(A495),"日","月","火","水","木","金","土"))</f>
        <v/>
      </c>
      <c r="C495" s="27"/>
      <c r="D495" s="27"/>
      <c r="E495" s="14" t="str">
        <f>IF(F495="","",IFERROR(INDEX(マスター!$F$5:$F$200,MATCH(F495,マスター!$E$5:$E$200,0)),"※マスター未登録"))</f>
        <v/>
      </c>
      <c r="F495" s="27"/>
      <c r="G495" s="27"/>
      <c r="H495" s="27"/>
      <c r="I495" s="27"/>
      <c r="J495" s="27"/>
      <c r="K495" s="27"/>
    </row>
    <row r="496" spans="1:11" x14ac:dyDescent="0.2">
      <c r="A496" s="26"/>
      <c r="B496" s="14" t="str">
        <f>IF(A496="","",CHOOSE(WEEKDAY(A496),"日","月","火","水","木","金","土"))</f>
        <v/>
      </c>
      <c r="C496" s="27"/>
      <c r="D496" s="27"/>
      <c r="E496" s="14" t="str">
        <f>IF(F496="","",IFERROR(INDEX(マスター!$F$5:$F$200,MATCH(F496,マスター!$E$5:$E$200,0)),"※マスター未登録"))</f>
        <v/>
      </c>
      <c r="F496" s="27"/>
      <c r="G496" s="27"/>
      <c r="H496" s="27"/>
      <c r="I496" s="27"/>
      <c r="J496" s="27"/>
      <c r="K496" s="27"/>
    </row>
    <row r="497" spans="1:11" x14ac:dyDescent="0.2">
      <c r="A497" s="26"/>
      <c r="B497" s="14" t="str">
        <f>IF(A497="","",CHOOSE(WEEKDAY(A497),"日","月","火","水","木","金","土"))</f>
        <v/>
      </c>
      <c r="C497" s="27"/>
      <c r="D497" s="27"/>
      <c r="E497" s="14" t="str">
        <f>IF(F497="","",IFERROR(INDEX(マスター!$F$5:$F$200,MATCH(F497,マスター!$E$5:$E$200,0)),"※マスター未登録"))</f>
        <v/>
      </c>
      <c r="F497" s="27"/>
      <c r="G497" s="27"/>
      <c r="H497" s="27"/>
      <c r="I497" s="27"/>
      <c r="J497" s="27"/>
      <c r="K497" s="27"/>
    </row>
    <row r="498" spans="1:11" x14ac:dyDescent="0.2">
      <c r="A498" s="26"/>
      <c r="B498" s="14" t="str">
        <f>IF(A498="","",CHOOSE(WEEKDAY(A498),"日","月","火","水","木","金","土"))</f>
        <v/>
      </c>
      <c r="C498" s="27"/>
      <c r="D498" s="27"/>
      <c r="E498" s="14" t="str">
        <f>IF(F498="","",IFERROR(INDEX(マスター!$F$5:$F$200,MATCH(F498,マスター!$E$5:$E$200,0)),"※マスター未登録"))</f>
        <v/>
      </c>
      <c r="F498" s="27"/>
      <c r="G498" s="27"/>
      <c r="H498" s="27"/>
      <c r="I498" s="27"/>
      <c r="J498" s="27"/>
      <c r="K498" s="27"/>
    </row>
    <row r="499" spans="1:11" x14ac:dyDescent="0.2">
      <c r="A499" s="26"/>
      <c r="B499" s="14" t="str">
        <f>IF(A499="","",CHOOSE(WEEKDAY(A499),"日","月","火","水","木","金","土"))</f>
        <v/>
      </c>
      <c r="C499" s="27"/>
      <c r="D499" s="27"/>
      <c r="E499" s="14" t="str">
        <f>IF(F499="","",IFERROR(INDEX(マスター!$F$5:$F$200,MATCH(F499,マスター!$E$5:$E$200,0)),"※マスター未登録"))</f>
        <v/>
      </c>
      <c r="F499" s="27"/>
      <c r="G499" s="27"/>
      <c r="H499" s="27"/>
      <c r="I499" s="27"/>
      <c r="J499" s="27"/>
      <c r="K499" s="27"/>
    </row>
    <row r="500" spans="1:11" x14ac:dyDescent="0.2">
      <c r="A500" s="26"/>
      <c r="B500" s="14" t="str">
        <f>IF(A500="","",CHOOSE(WEEKDAY(A500),"日","月","火","水","木","金","土"))</f>
        <v/>
      </c>
      <c r="C500" s="27"/>
      <c r="D500" s="27"/>
      <c r="E500" s="14" t="str">
        <f>IF(F500="","",IFERROR(INDEX(マスター!$F$5:$F$200,MATCH(F500,マスター!$E$5:$E$200,0)),"※マスター未登録"))</f>
        <v/>
      </c>
      <c r="F500" s="27"/>
      <c r="G500" s="27"/>
      <c r="H500" s="27"/>
      <c r="I500" s="27"/>
      <c r="J500" s="27"/>
      <c r="K500" s="27"/>
    </row>
    <row r="501" spans="1:11" x14ac:dyDescent="0.2">
      <c r="A501" s="26"/>
      <c r="B501" s="14" t="str">
        <f>IF(A501="","",CHOOSE(WEEKDAY(A501),"日","月","火","水","木","金","土"))</f>
        <v/>
      </c>
      <c r="C501" s="27"/>
      <c r="D501" s="27"/>
      <c r="E501" s="14" t="str">
        <f>IF(F501="","",IFERROR(INDEX(マスター!$F$5:$F$200,MATCH(F501,マスター!$E$5:$E$200,0)),"※マスター未登録"))</f>
        <v/>
      </c>
      <c r="F501" s="27"/>
      <c r="G501" s="27"/>
      <c r="H501" s="27"/>
      <c r="I501" s="27"/>
      <c r="J501" s="27"/>
      <c r="K501" s="27"/>
    </row>
    <row r="502" spans="1:11" x14ac:dyDescent="0.2">
      <c r="A502" s="26"/>
      <c r="B502" s="14" t="str">
        <f>IF(A502="","",CHOOSE(WEEKDAY(A502),"日","月","火","水","木","金","土"))</f>
        <v/>
      </c>
      <c r="C502" s="27"/>
      <c r="D502" s="27"/>
      <c r="E502" s="14" t="str">
        <f>IF(F502="","",IFERROR(INDEX(マスター!$F$5:$F$200,MATCH(F502,マスター!$E$5:$E$200,0)),"※マスター未登録"))</f>
        <v/>
      </c>
      <c r="F502" s="27"/>
      <c r="G502" s="27"/>
      <c r="H502" s="27"/>
      <c r="I502" s="27"/>
      <c r="J502" s="27"/>
      <c r="K502" s="27"/>
    </row>
    <row r="503" spans="1:11" x14ac:dyDescent="0.2">
      <c r="A503" s="26"/>
      <c r="B503" s="14" t="str">
        <f>IF(A503="","",CHOOSE(WEEKDAY(A503),"日","月","火","水","木","金","土"))</f>
        <v/>
      </c>
      <c r="C503" s="27"/>
      <c r="D503" s="27"/>
      <c r="E503" s="14" t="str">
        <f>IF(F503="","",IFERROR(INDEX(マスター!$F$5:$F$200,MATCH(F503,マスター!$E$5:$E$200,0)),"※マスター未登録"))</f>
        <v/>
      </c>
      <c r="F503" s="27"/>
      <c r="G503" s="27"/>
      <c r="H503" s="27"/>
      <c r="I503" s="27"/>
      <c r="J503" s="27"/>
      <c r="K503" s="27"/>
    </row>
    <row r="504" spans="1:11" x14ac:dyDescent="0.2">
      <c r="A504" s="26"/>
      <c r="B504" s="14" t="str">
        <f>IF(A504="","",CHOOSE(WEEKDAY(A504),"日","月","火","水","木","金","土"))</f>
        <v/>
      </c>
      <c r="C504" s="27"/>
      <c r="D504" s="27"/>
      <c r="E504" s="14" t="str">
        <f>IF(F504="","",IFERROR(INDEX(マスター!$F$5:$F$200,MATCH(F504,マスター!$E$5:$E$200,0)),"※マスター未登録"))</f>
        <v/>
      </c>
      <c r="F504" s="27"/>
      <c r="G504" s="27"/>
      <c r="H504" s="27"/>
      <c r="I504" s="27"/>
      <c r="J504" s="27"/>
      <c r="K504" s="27"/>
    </row>
    <row r="505" spans="1:11" x14ac:dyDescent="0.2">
      <c r="A505" s="26"/>
      <c r="B505" s="14" t="str">
        <f>IF(A505="","",CHOOSE(WEEKDAY(A505),"日","月","火","水","木","金","土"))</f>
        <v/>
      </c>
      <c r="C505" s="27"/>
      <c r="D505" s="27"/>
      <c r="E505" s="14" t="str">
        <f>IF(F505="","",IFERROR(INDEX(マスター!$F$5:$F$200,MATCH(F505,マスター!$E$5:$E$200,0)),"※マスター未登録"))</f>
        <v/>
      </c>
      <c r="F505" s="27"/>
      <c r="G505" s="27"/>
      <c r="H505" s="27"/>
      <c r="I505" s="27"/>
      <c r="J505" s="27"/>
      <c r="K505" s="27"/>
    </row>
    <row r="506" spans="1:11" x14ac:dyDescent="0.2">
      <c r="A506" s="26"/>
      <c r="B506" s="14" t="str">
        <f>IF(A506="","",CHOOSE(WEEKDAY(A506),"日","月","火","水","木","金","土"))</f>
        <v/>
      </c>
      <c r="C506" s="27"/>
      <c r="D506" s="27"/>
      <c r="E506" s="14" t="str">
        <f>IF(F506="","",IFERROR(INDEX(マスター!$F$5:$F$200,MATCH(F506,マスター!$E$5:$E$200,0)),"※マスター未登録"))</f>
        <v/>
      </c>
      <c r="F506" s="27"/>
      <c r="G506" s="27"/>
      <c r="H506" s="27"/>
      <c r="I506" s="27"/>
      <c r="J506" s="27"/>
      <c r="K506" s="27"/>
    </row>
    <row r="507" spans="1:11" x14ac:dyDescent="0.2">
      <c r="A507" s="26"/>
      <c r="B507" s="14" t="str">
        <f>IF(A507="","",CHOOSE(WEEKDAY(A507),"日","月","火","水","木","金","土"))</f>
        <v/>
      </c>
      <c r="C507" s="27"/>
      <c r="D507" s="27"/>
      <c r="E507" s="14" t="str">
        <f>IF(F507="","",IFERROR(INDEX(マスター!$F$5:$F$200,MATCH(F507,マスター!$E$5:$E$200,0)),"※マスター未登録"))</f>
        <v/>
      </c>
      <c r="F507" s="27"/>
      <c r="G507" s="27"/>
      <c r="H507" s="27"/>
      <c r="I507" s="27"/>
      <c r="J507" s="27"/>
      <c r="K507" s="27"/>
    </row>
    <row r="508" spans="1:11" x14ac:dyDescent="0.2">
      <c r="A508" s="26"/>
      <c r="B508" s="14" t="str">
        <f>IF(A508="","",CHOOSE(WEEKDAY(A508),"日","月","火","水","木","金","土"))</f>
        <v/>
      </c>
      <c r="C508" s="27"/>
      <c r="D508" s="27"/>
      <c r="E508" s="14" t="str">
        <f>IF(F508="","",IFERROR(INDEX(マスター!$F$5:$F$200,MATCH(F508,マスター!$E$5:$E$200,0)),"※マスター未登録"))</f>
        <v/>
      </c>
      <c r="F508" s="27"/>
      <c r="G508" s="27"/>
      <c r="H508" s="27"/>
      <c r="I508" s="27"/>
      <c r="J508" s="27"/>
      <c r="K508" s="27"/>
    </row>
    <row r="509" spans="1:11" x14ac:dyDescent="0.2">
      <c r="A509" s="26"/>
      <c r="B509" s="14" t="str">
        <f>IF(A509="","",CHOOSE(WEEKDAY(A509),"日","月","火","水","木","金","土"))</f>
        <v/>
      </c>
      <c r="C509" s="27"/>
      <c r="D509" s="27"/>
      <c r="E509" s="14" t="str">
        <f>IF(F509="","",IFERROR(INDEX(マスター!$F$5:$F$200,MATCH(F509,マスター!$E$5:$E$200,0)),"※マスター未登録"))</f>
        <v/>
      </c>
      <c r="F509" s="27"/>
      <c r="G509" s="27"/>
      <c r="H509" s="27"/>
      <c r="I509" s="27"/>
      <c r="J509" s="27"/>
      <c r="K509" s="27"/>
    </row>
    <row r="510" spans="1:11" x14ac:dyDescent="0.2">
      <c r="A510" s="26"/>
      <c r="B510" s="14" t="str">
        <f>IF(A510="","",CHOOSE(WEEKDAY(A510),"日","月","火","水","木","金","土"))</f>
        <v/>
      </c>
      <c r="C510" s="27"/>
      <c r="D510" s="27"/>
      <c r="E510" s="14" t="str">
        <f>IF(F510="","",IFERROR(INDEX(マスター!$F$5:$F$200,MATCH(F510,マスター!$E$5:$E$200,0)),"※マスター未登録"))</f>
        <v/>
      </c>
      <c r="F510" s="27"/>
      <c r="G510" s="27"/>
      <c r="H510" s="27"/>
      <c r="I510" s="27"/>
      <c r="J510" s="27"/>
      <c r="K510" s="27"/>
    </row>
    <row r="511" spans="1:11" x14ac:dyDescent="0.2">
      <c r="A511" s="26"/>
      <c r="B511" s="14" t="str">
        <f>IF(A511="","",CHOOSE(WEEKDAY(A511),"日","月","火","水","木","金","土"))</f>
        <v/>
      </c>
      <c r="C511" s="27"/>
      <c r="D511" s="27"/>
      <c r="E511" s="14" t="str">
        <f>IF(F511="","",IFERROR(INDEX(マスター!$F$5:$F$200,MATCH(F511,マスター!$E$5:$E$200,0)),"※マスター未登録"))</f>
        <v/>
      </c>
      <c r="F511" s="27"/>
      <c r="G511" s="27"/>
      <c r="H511" s="27"/>
      <c r="I511" s="27"/>
      <c r="J511" s="27"/>
      <c r="K511" s="27"/>
    </row>
    <row r="512" spans="1:11" x14ac:dyDescent="0.2">
      <c r="A512" s="26"/>
      <c r="B512" s="14" t="str">
        <f>IF(A512="","",CHOOSE(WEEKDAY(A512),"日","月","火","水","木","金","土"))</f>
        <v/>
      </c>
      <c r="C512" s="27"/>
      <c r="D512" s="27"/>
      <c r="E512" s="14" t="str">
        <f>IF(F512="","",IFERROR(INDEX(マスター!$F$5:$F$200,MATCH(F512,マスター!$E$5:$E$200,0)),"※マスター未登録"))</f>
        <v/>
      </c>
      <c r="F512" s="27"/>
      <c r="G512" s="27"/>
      <c r="H512" s="27"/>
      <c r="I512" s="27"/>
      <c r="J512" s="27"/>
      <c r="K512" s="27"/>
    </row>
    <row r="513" spans="1:11" x14ac:dyDescent="0.2">
      <c r="A513" s="26"/>
      <c r="B513" s="14" t="str">
        <f>IF(A513="","",CHOOSE(WEEKDAY(A513),"日","月","火","水","木","金","土"))</f>
        <v/>
      </c>
      <c r="C513" s="27"/>
      <c r="D513" s="27"/>
      <c r="E513" s="14" t="str">
        <f>IF(F513="","",IFERROR(INDEX(マスター!$F$5:$F$200,MATCH(F513,マスター!$E$5:$E$200,0)),"※マスター未登録"))</f>
        <v/>
      </c>
      <c r="F513" s="27"/>
      <c r="G513" s="27"/>
      <c r="H513" s="27"/>
      <c r="I513" s="27"/>
      <c r="J513" s="27"/>
      <c r="K513" s="27"/>
    </row>
    <row r="514" spans="1:11" x14ac:dyDescent="0.2">
      <c r="A514" s="26"/>
      <c r="B514" s="14" t="str">
        <f>IF(A514="","",CHOOSE(WEEKDAY(A514),"日","月","火","水","木","金","土"))</f>
        <v/>
      </c>
      <c r="C514" s="27"/>
      <c r="D514" s="27"/>
      <c r="E514" s="14" t="str">
        <f>IF(F514="","",IFERROR(INDEX(マスター!$F$5:$F$200,MATCH(F514,マスター!$E$5:$E$200,0)),"※マスター未登録"))</f>
        <v/>
      </c>
      <c r="F514" s="27"/>
      <c r="G514" s="27"/>
      <c r="H514" s="27"/>
      <c r="I514" s="27"/>
      <c r="J514" s="27"/>
      <c r="K514" s="27"/>
    </row>
    <row r="515" spans="1:11" x14ac:dyDescent="0.2">
      <c r="A515" s="26"/>
      <c r="B515" s="14" t="str">
        <f>IF(A515="","",CHOOSE(WEEKDAY(A515),"日","月","火","水","木","金","土"))</f>
        <v/>
      </c>
      <c r="C515" s="27"/>
      <c r="D515" s="27"/>
      <c r="E515" s="14" t="str">
        <f>IF(F515="","",IFERROR(INDEX(マスター!$F$5:$F$200,MATCH(F515,マスター!$E$5:$E$200,0)),"※マスター未登録"))</f>
        <v/>
      </c>
      <c r="F515" s="27"/>
      <c r="G515" s="27"/>
      <c r="H515" s="27"/>
      <c r="I515" s="27"/>
      <c r="J515" s="27"/>
      <c r="K515" s="27"/>
    </row>
    <row r="516" spans="1:11" x14ac:dyDescent="0.2">
      <c r="A516" s="26"/>
      <c r="B516" s="14" t="str">
        <f>IF(A516="","",CHOOSE(WEEKDAY(A516),"日","月","火","水","木","金","土"))</f>
        <v/>
      </c>
      <c r="C516" s="27"/>
      <c r="D516" s="27"/>
      <c r="E516" s="14" t="str">
        <f>IF(F516="","",IFERROR(INDEX(マスター!$F$5:$F$200,MATCH(F516,マスター!$E$5:$E$200,0)),"※マスター未登録"))</f>
        <v/>
      </c>
      <c r="F516" s="27"/>
      <c r="G516" s="27"/>
      <c r="H516" s="27"/>
      <c r="I516" s="27"/>
      <c r="J516" s="27"/>
      <c r="K516" s="27"/>
    </row>
    <row r="517" spans="1:11" x14ac:dyDescent="0.2">
      <c r="A517" s="26"/>
      <c r="B517" s="14" t="str">
        <f>IF(A517="","",CHOOSE(WEEKDAY(A517),"日","月","火","水","木","金","土"))</f>
        <v/>
      </c>
      <c r="C517" s="27"/>
      <c r="D517" s="27"/>
      <c r="E517" s="14" t="str">
        <f>IF(F517="","",IFERROR(INDEX(マスター!$F$5:$F$200,MATCH(F517,マスター!$E$5:$E$200,0)),"※マスター未登録"))</f>
        <v/>
      </c>
      <c r="F517" s="27"/>
      <c r="G517" s="27"/>
      <c r="H517" s="27"/>
      <c r="I517" s="27"/>
      <c r="J517" s="27"/>
      <c r="K517" s="27"/>
    </row>
    <row r="518" spans="1:11" x14ac:dyDescent="0.2">
      <c r="A518" s="26"/>
      <c r="B518" s="14" t="str">
        <f>IF(A518="","",CHOOSE(WEEKDAY(A518),"日","月","火","水","木","金","土"))</f>
        <v/>
      </c>
      <c r="C518" s="27"/>
      <c r="D518" s="27"/>
      <c r="E518" s="14" t="str">
        <f>IF(F518="","",IFERROR(INDEX(マスター!$F$5:$F$200,MATCH(F518,マスター!$E$5:$E$200,0)),"※マスター未登録"))</f>
        <v/>
      </c>
      <c r="F518" s="27"/>
      <c r="G518" s="27"/>
      <c r="H518" s="27"/>
      <c r="I518" s="27"/>
      <c r="J518" s="27"/>
      <c r="K518" s="27"/>
    </row>
    <row r="519" spans="1:11" x14ac:dyDescent="0.2">
      <c r="A519" s="26"/>
      <c r="B519" s="14" t="str">
        <f>IF(A519="","",CHOOSE(WEEKDAY(A519),"日","月","火","水","木","金","土"))</f>
        <v/>
      </c>
      <c r="C519" s="27"/>
      <c r="D519" s="27"/>
      <c r="E519" s="14" t="str">
        <f>IF(F519="","",IFERROR(INDEX(マスター!$F$5:$F$200,MATCH(F519,マスター!$E$5:$E$200,0)),"※マスター未登録"))</f>
        <v/>
      </c>
      <c r="F519" s="27"/>
      <c r="G519" s="27"/>
      <c r="H519" s="27"/>
      <c r="I519" s="27"/>
      <c r="J519" s="27"/>
      <c r="K519" s="27"/>
    </row>
    <row r="520" spans="1:11" x14ac:dyDescent="0.2">
      <c r="A520" s="26"/>
      <c r="B520" s="14" t="str">
        <f>IF(A520="","",CHOOSE(WEEKDAY(A520),"日","月","火","水","木","金","土"))</f>
        <v/>
      </c>
      <c r="C520" s="27"/>
      <c r="D520" s="27"/>
      <c r="E520" s="14" t="str">
        <f>IF(F520="","",IFERROR(INDEX(マスター!$F$5:$F$200,MATCH(F520,マスター!$E$5:$E$200,0)),"※マスター未登録"))</f>
        <v/>
      </c>
      <c r="F520" s="27"/>
      <c r="G520" s="27"/>
      <c r="H520" s="27"/>
      <c r="I520" s="27"/>
      <c r="J520" s="27"/>
      <c r="K520" s="27"/>
    </row>
    <row r="521" spans="1:11" x14ac:dyDescent="0.2">
      <c r="A521" s="26"/>
      <c r="B521" s="14" t="str">
        <f>IF(A521="","",CHOOSE(WEEKDAY(A521),"日","月","火","水","木","金","土"))</f>
        <v/>
      </c>
      <c r="C521" s="27"/>
      <c r="D521" s="27"/>
      <c r="E521" s="14" t="str">
        <f>IF(F521="","",IFERROR(INDEX(マスター!$F$5:$F$200,MATCH(F521,マスター!$E$5:$E$200,0)),"※マスター未登録"))</f>
        <v/>
      </c>
      <c r="F521" s="27"/>
      <c r="G521" s="27"/>
      <c r="H521" s="27"/>
      <c r="I521" s="27"/>
      <c r="J521" s="27"/>
      <c r="K521" s="27"/>
    </row>
    <row r="522" spans="1:11" x14ac:dyDescent="0.2">
      <c r="A522" s="26"/>
      <c r="B522" s="14" t="str">
        <f>IF(A522="","",CHOOSE(WEEKDAY(A522),"日","月","火","水","木","金","土"))</f>
        <v/>
      </c>
      <c r="C522" s="27"/>
      <c r="D522" s="27"/>
      <c r="E522" s="14" t="str">
        <f>IF(F522="","",IFERROR(INDEX(マスター!$F$5:$F$200,MATCH(F522,マスター!$E$5:$E$200,0)),"※マスター未登録"))</f>
        <v/>
      </c>
      <c r="F522" s="27"/>
      <c r="G522" s="27"/>
      <c r="H522" s="27"/>
      <c r="I522" s="27"/>
      <c r="J522" s="27"/>
      <c r="K522" s="27"/>
    </row>
    <row r="523" spans="1:11" x14ac:dyDescent="0.2">
      <c r="A523" s="26"/>
      <c r="B523" s="14" t="str">
        <f>IF(A523="","",CHOOSE(WEEKDAY(A523),"日","月","火","水","木","金","土"))</f>
        <v/>
      </c>
      <c r="C523" s="27"/>
      <c r="D523" s="27"/>
      <c r="E523" s="14" t="str">
        <f>IF(F523="","",IFERROR(INDEX(マスター!$F$5:$F$200,MATCH(F523,マスター!$E$5:$E$200,0)),"※マスター未登録"))</f>
        <v/>
      </c>
      <c r="F523" s="27"/>
      <c r="G523" s="27"/>
      <c r="H523" s="27"/>
      <c r="I523" s="27"/>
      <c r="J523" s="27"/>
      <c r="K523" s="27"/>
    </row>
    <row r="524" spans="1:11" x14ac:dyDescent="0.2">
      <c r="A524" s="26"/>
      <c r="B524" s="14" t="str">
        <f>IF(A524="","",CHOOSE(WEEKDAY(A524),"日","月","火","水","木","金","土"))</f>
        <v/>
      </c>
      <c r="C524" s="27"/>
      <c r="D524" s="27"/>
      <c r="E524" s="14" t="str">
        <f>IF(F524="","",IFERROR(INDEX(マスター!$F$5:$F$200,MATCH(F524,マスター!$E$5:$E$200,0)),"※マスター未登録"))</f>
        <v/>
      </c>
      <c r="F524" s="27"/>
      <c r="G524" s="27"/>
      <c r="H524" s="27"/>
      <c r="I524" s="27"/>
      <c r="J524" s="27"/>
      <c r="K524" s="27"/>
    </row>
    <row r="525" spans="1:11" x14ac:dyDescent="0.2">
      <c r="A525" s="26"/>
      <c r="B525" s="14" t="str">
        <f>IF(A525="","",CHOOSE(WEEKDAY(A525),"日","月","火","水","木","金","土"))</f>
        <v/>
      </c>
      <c r="C525" s="27"/>
      <c r="D525" s="27"/>
      <c r="E525" s="14" t="str">
        <f>IF(F525="","",IFERROR(INDEX(マスター!$F$5:$F$200,MATCH(F525,マスター!$E$5:$E$200,0)),"※マスター未登録"))</f>
        <v/>
      </c>
      <c r="F525" s="27"/>
      <c r="G525" s="27"/>
      <c r="H525" s="27"/>
      <c r="I525" s="27"/>
      <c r="J525" s="27"/>
      <c r="K525" s="27"/>
    </row>
    <row r="526" spans="1:11" x14ac:dyDescent="0.2">
      <c r="A526" s="26"/>
      <c r="B526" s="14" t="str">
        <f>IF(A526="","",CHOOSE(WEEKDAY(A526),"日","月","火","水","木","金","土"))</f>
        <v/>
      </c>
      <c r="C526" s="27"/>
      <c r="D526" s="27"/>
      <c r="E526" s="14" t="str">
        <f>IF(F526="","",IFERROR(INDEX(マスター!$F$5:$F$200,MATCH(F526,マスター!$E$5:$E$200,0)),"※マスター未登録"))</f>
        <v/>
      </c>
      <c r="F526" s="27"/>
      <c r="G526" s="27"/>
      <c r="H526" s="27"/>
      <c r="I526" s="27"/>
      <c r="J526" s="27"/>
      <c r="K526" s="27"/>
    </row>
    <row r="527" spans="1:11" x14ac:dyDescent="0.2">
      <c r="A527" s="26"/>
      <c r="B527" s="14" t="str">
        <f>IF(A527="","",CHOOSE(WEEKDAY(A527),"日","月","火","水","木","金","土"))</f>
        <v/>
      </c>
      <c r="C527" s="27"/>
      <c r="D527" s="27"/>
      <c r="E527" s="14" t="str">
        <f>IF(F527="","",IFERROR(INDEX(マスター!$F$5:$F$200,MATCH(F527,マスター!$E$5:$E$200,0)),"※マスター未登録"))</f>
        <v/>
      </c>
      <c r="F527" s="27"/>
      <c r="G527" s="27"/>
      <c r="H527" s="27"/>
      <c r="I527" s="27"/>
      <c r="J527" s="27"/>
      <c r="K527" s="27"/>
    </row>
    <row r="528" spans="1:11" x14ac:dyDescent="0.2">
      <c r="A528" s="26"/>
      <c r="B528" s="14" t="str">
        <f>IF(A528="","",CHOOSE(WEEKDAY(A528),"日","月","火","水","木","金","土"))</f>
        <v/>
      </c>
      <c r="C528" s="27"/>
      <c r="D528" s="27"/>
      <c r="E528" s="14" t="str">
        <f>IF(F528="","",IFERROR(INDEX(マスター!$F$5:$F$200,MATCH(F528,マスター!$E$5:$E$200,0)),"※マスター未登録"))</f>
        <v/>
      </c>
      <c r="F528" s="27"/>
      <c r="G528" s="27"/>
      <c r="H528" s="27"/>
      <c r="I528" s="27"/>
      <c r="J528" s="27"/>
      <c r="K528" s="27"/>
    </row>
    <row r="529" spans="1:11" x14ac:dyDescent="0.2">
      <c r="A529" s="26"/>
      <c r="B529" s="14" t="str">
        <f>IF(A529="","",CHOOSE(WEEKDAY(A529),"日","月","火","水","木","金","土"))</f>
        <v/>
      </c>
      <c r="C529" s="27"/>
      <c r="D529" s="27"/>
      <c r="E529" s="14" t="str">
        <f>IF(F529="","",IFERROR(INDEX(マスター!$F$5:$F$200,MATCH(F529,マスター!$E$5:$E$200,0)),"※マスター未登録"))</f>
        <v/>
      </c>
      <c r="F529" s="27"/>
      <c r="G529" s="27"/>
      <c r="H529" s="27"/>
      <c r="I529" s="27"/>
      <c r="J529" s="27"/>
      <c r="K529" s="27"/>
    </row>
    <row r="530" spans="1:11" x14ac:dyDescent="0.2">
      <c r="A530" s="26"/>
      <c r="B530" s="14" t="str">
        <f>IF(A530="","",CHOOSE(WEEKDAY(A530),"日","月","火","水","木","金","土"))</f>
        <v/>
      </c>
      <c r="C530" s="27"/>
      <c r="D530" s="27"/>
      <c r="E530" s="14" t="str">
        <f>IF(F530="","",IFERROR(INDEX(マスター!$F$5:$F$200,MATCH(F530,マスター!$E$5:$E$200,0)),"※マスター未登録"))</f>
        <v/>
      </c>
      <c r="F530" s="27"/>
      <c r="G530" s="27"/>
      <c r="H530" s="27"/>
      <c r="I530" s="27"/>
      <c r="J530" s="27"/>
      <c r="K530" s="27"/>
    </row>
    <row r="531" spans="1:11" x14ac:dyDescent="0.2">
      <c r="A531" s="26"/>
      <c r="B531" s="14" t="str">
        <f>IF(A531="","",CHOOSE(WEEKDAY(A531),"日","月","火","水","木","金","土"))</f>
        <v/>
      </c>
      <c r="C531" s="27"/>
      <c r="D531" s="27"/>
      <c r="E531" s="14" t="str">
        <f>IF(F531="","",IFERROR(INDEX(マスター!$F$5:$F$200,MATCH(F531,マスター!$E$5:$E$200,0)),"※マスター未登録"))</f>
        <v/>
      </c>
      <c r="F531" s="27"/>
      <c r="G531" s="27"/>
      <c r="H531" s="27"/>
      <c r="I531" s="27"/>
      <c r="J531" s="27"/>
      <c r="K531" s="27"/>
    </row>
    <row r="532" spans="1:11" x14ac:dyDescent="0.2">
      <c r="A532" s="26"/>
      <c r="B532" s="14" t="str">
        <f>IF(A532="","",CHOOSE(WEEKDAY(A532),"日","月","火","水","木","金","土"))</f>
        <v/>
      </c>
      <c r="C532" s="27"/>
      <c r="D532" s="27"/>
      <c r="E532" s="14" t="str">
        <f>IF(F532="","",IFERROR(INDEX(マスター!$F$5:$F$200,MATCH(F532,マスター!$E$5:$E$200,0)),"※マスター未登録"))</f>
        <v/>
      </c>
      <c r="F532" s="27"/>
      <c r="G532" s="27"/>
      <c r="H532" s="27"/>
      <c r="I532" s="27"/>
      <c r="J532" s="27"/>
      <c r="K532" s="27"/>
    </row>
    <row r="533" spans="1:11" x14ac:dyDescent="0.2">
      <c r="A533" s="26"/>
      <c r="B533" s="14" t="str">
        <f>IF(A533="","",CHOOSE(WEEKDAY(A533),"日","月","火","水","木","金","土"))</f>
        <v/>
      </c>
      <c r="C533" s="27"/>
      <c r="D533" s="27"/>
      <c r="E533" s="14" t="str">
        <f>IF(F533="","",IFERROR(INDEX(マスター!$F$5:$F$200,MATCH(F533,マスター!$E$5:$E$200,0)),"※マスター未登録"))</f>
        <v/>
      </c>
      <c r="F533" s="27"/>
      <c r="G533" s="27"/>
      <c r="H533" s="27"/>
      <c r="I533" s="27"/>
      <c r="J533" s="27"/>
      <c r="K533" s="27"/>
    </row>
    <row r="534" spans="1:11" x14ac:dyDescent="0.2">
      <c r="A534" s="26"/>
      <c r="B534" s="14" t="str">
        <f>IF(A534="","",CHOOSE(WEEKDAY(A534),"日","月","火","水","木","金","土"))</f>
        <v/>
      </c>
      <c r="C534" s="27"/>
      <c r="D534" s="27"/>
      <c r="E534" s="14" t="str">
        <f>IF(F534="","",IFERROR(INDEX(マスター!$F$5:$F$200,MATCH(F534,マスター!$E$5:$E$200,0)),"※マスター未登録"))</f>
        <v/>
      </c>
      <c r="F534" s="27"/>
      <c r="G534" s="27"/>
      <c r="H534" s="27"/>
      <c r="I534" s="27"/>
      <c r="J534" s="27"/>
      <c r="K534" s="27"/>
    </row>
    <row r="535" spans="1:11" x14ac:dyDescent="0.2">
      <c r="A535" s="26"/>
      <c r="B535" s="14" t="str">
        <f>IF(A535="","",CHOOSE(WEEKDAY(A535),"日","月","火","水","木","金","土"))</f>
        <v/>
      </c>
      <c r="C535" s="27"/>
      <c r="D535" s="27"/>
      <c r="E535" s="14" t="str">
        <f>IF(F535="","",IFERROR(INDEX(マスター!$F$5:$F$200,MATCH(F535,マスター!$E$5:$E$200,0)),"※マスター未登録"))</f>
        <v/>
      </c>
      <c r="F535" s="27"/>
      <c r="G535" s="27"/>
      <c r="H535" s="27"/>
      <c r="I535" s="27"/>
      <c r="J535" s="27"/>
      <c r="K535" s="27"/>
    </row>
    <row r="536" spans="1:11" x14ac:dyDescent="0.2">
      <c r="A536" s="26"/>
      <c r="B536" s="14" t="str">
        <f>IF(A536="","",CHOOSE(WEEKDAY(A536),"日","月","火","水","木","金","土"))</f>
        <v/>
      </c>
      <c r="C536" s="27"/>
      <c r="D536" s="27"/>
      <c r="E536" s="14" t="str">
        <f>IF(F536="","",IFERROR(INDEX(マスター!$F$5:$F$200,MATCH(F536,マスター!$E$5:$E$200,0)),"※マスター未登録"))</f>
        <v/>
      </c>
      <c r="F536" s="27"/>
      <c r="G536" s="27"/>
      <c r="H536" s="27"/>
      <c r="I536" s="27"/>
      <c r="J536" s="27"/>
      <c r="K536" s="27"/>
    </row>
    <row r="537" spans="1:11" x14ac:dyDescent="0.2">
      <c r="A537" s="26"/>
      <c r="B537" s="14" t="str">
        <f>IF(A537="","",CHOOSE(WEEKDAY(A537),"日","月","火","水","木","金","土"))</f>
        <v/>
      </c>
      <c r="C537" s="27"/>
      <c r="D537" s="27"/>
      <c r="E537" s="14" t="str">
        <f>IF(F537="","",IFERROR(INDEX(マスター!$F$5:$F$200,MATCH(F537,マスター!$E$5:$E$200,0)),"※マスター未登録"))</f>
        <v/>
      </c>
      <c r="F537" s="27"/>
      <c r="G537" s="27"/>
      <c r="H537" s="27"/>
      <c r="I537" s="27"/>
      <c r="J537" s="27"/>
      <c r="K537" s="27"/>
    </row>
    <row r="538" spans="1:11" x14ac:dyDescent="0.2">
      <c r="A538" s="26"/>
      <c r="B538" s="14" t="str">
        <f>IF(A538="","",CHOOSE(WEEKDAY(A538),"日","月","火","水","木","金","土"))</f>
        <v/>
      </c>
      <c r="C538" s="27"/>
      <c r="D538" s="27"/>
      <c r="E538" s="14" t="str">
        <f>IF(F538="","",IFERROR(INDEX(マスター!$F$5:$F$200,MATCH(F538,マスター!$E$5:$E$200,0)),"※マスター未登録"))</f>
        <v/>
      </c>
      <c r="F538" s="27"/>
      <c r="G538" s="27"/>
      <c r="H538" s="27"/>
      <c r="I538" s="27"/>
      <c r="J538" s="27"/>
      <c r="K538" s="27"/>
    </row>
    <row r="539" spans="1:11" x14ac:dyDescent="0.2">
      <c r="A539" s="26"/>
      <c r="B539" s="14" t="str">
        <f>IF(A539="","",CHOOSE(WEEKDAY(A539),"日","月","火","水","木","金","土"))</f>
        <v/>
      </c>
      <c r="C539" s="27"/>
      <c r="D539" s="27"/>
      <c r="E539" s="14" t="str">
        <f>IF(F539="","",IFERROR(INDEX(マスター!$F$5:$F$200,MATCH(F539,マスター!$E$5:$E$200,0)),"※マスター未登録"))</f>
        <v/>
      </c>
      <c r="F539" s="27"/>
      <c r="G539" s="27"/>
      <c r="H539" s="27"/>
      <c r="I539" s="27"/>
      <c r="J539" s="27"/>
      <c r="K539" s="27"/>
    </row>
    <row r="540" spans="1:11" x14ac:dyDescent="0.2">
      <c r="A540" s="26"/>
      <c r="B540" s="14" t="str">
        <f>IF(A540="","",CHOOSE(WEEKDAY(A540),"日","月","火","水","木","金","土"))</f>
        <v/>
      </c>
      <c r="C540" s="27"/>
      <c r="D540" s="27"/>
      <c r="E540" s="14" t="str">
        <f>IF(F540="","",IFERROR(INDEX(マスター!$F$5:$F$200,MATCH(F540,マスター!$E$5:$E$200,0)),"※マスター未登録"))</f>
        <v/>
      </c>
      <c r="F540" s="27"/>
      <c r="G540" s="27"/>
      <c r="H540" s="27"/>
      <c r="I540" s="27"/>
      <c r="J540" s="27"/>
      <c r="K540" s="27"/>
    </row>
    <row r="541" spans="1:11" x14ac:dyDescent="0.2">
      <c r="A541" s="26"/>
      <c r="B541" s="14" t="str">
        <f>IF(A541="","",CHOOSE(WEEKDAY(A541),"日","月","火","水","木","金","土"))</f>
        <v/>
      </c>
      <c r="C541" s="27"/>
      <c r="D541" s="27"/>
      <c r="E541" s="14" t="str">
        <f>IF(F541="","",IFERROR(INDEX(マスター!$F$5:$F$200,MATCH(F541,マスター!$E$5:$E$200,0)),"※マスター未登録"))</f>
        <v/>
      </c>
      <c r="F541" s="27"/>
      <c r="G541" s="27"/>
      <c r="H541" s="27"/>
      <c r="I541" s="27"/>
      <c r="J541" s="27"/>
      <c r="K541" s="27"/>
    </row>
    <row r="542" spans="1:11" x14ac:dyDescent="0.2">
      <c r="A542" s="26"/>
      <c r="B542" s="14" t="str">
        <f>IF(A542="","",CHOOSE(WEEKDAY(A542),"日","月","火","水","木","金","土"))</f>
        <v/>
      </c>
      <c r="C542" s="27"/>
      <c r="D542" s="27"/>
      <c r="E542" s="14" t="str">
        <f>IF(F542="","",IFERROR(INDEX(マスター!$F$5:$F$200,MATCH(F542,マスター!$E$5:$E$200,0)),"※マスター未登録"))</f>
        <v/>
      </c>
      <c r="F542" s="27"/>
      <c r="G542" s="27"/>
      <c r="H542" s="27"/>
      <c r="I542" s="27"/>
      <c r="J542" s="27"/>
      <c r="K542" s="27"/>
    </row>
    <row r="543" spans="1:11" x14ac:dyDescent="0.2">
      <c r="A543" s="26"/>
      <c r="B543" s="14" t="str">
        <f>IF(A543="","",CHOOSE(WEEKDAY(A543),"日","月","火","水","木","金","土"))</f>
        <v/>
      </c>
      <c r="C543" s="27"/>
      <c r="D543" s="27"/>
      <c r="E543" s="14" t="str">
        <f>IF(F543="","",IFERROR(INDEX(マスター!$F$5:$F$200,MATCH(F543,マスター!$E$5:$E$200,0)),"※マスター未登録"))</f>
        <v/>
      </c>
      <c r="F543" s="27"/>
      <c r="G543" s="27"/>
      <c r="H543" s="27"/>
      <c r="I543" s="27"/>
      <c r="J543" s="27"/>
      <c r="K543" s="27"/>
    </row>
    <row r="544" spans="1:11" x14ac:dyDescent="0.2">
      <c r="A544" s="26"/>
      <c r="B544" s="14" t="str">
        <f>IF(A544="","",CHOOSE(WEEKDAY(A544),"日","月","火","水","木","金","土"))</f>
        <v/>
      </c>
      <c r="C544" s="27"/>
      <c r="D544" s="27"/>
      <c r="E544" s="14" t="str">
        <f>IF(F544="","",IFERROR(INDEX(マスター!$F$5:$F$200,MATCH(F544,マスター!$E$5:$E$200,0)),"※マスター未登録"))</f>
        <v/>
      </c>
      <c r="F544" s="27"/>
      <c r="G544" s="27"/>
      <c r="H544" s="27"/>
      <c r="I544" s="27"/>
      <c r="J544" s="27"/>
      <c r="K544" s="27"/>
    </row>
    <row r="545" spans="1:11" x14ac:dyDescent="0.2">
      <c r="A545" s="26"/>
      <c r="B545" s="14" t="str">
        <f>IF(A545="","",CHOOSE(WEEKDAY(A545),"日","月","火","水","木","金","土"))</f>
        <v/>
      </c>
      <c r="C545" s="27"/>
      <c r="D545" s="27"/>
      <c r="E545" s="14" t="str">
        <f>IF(F545="","",IFERROR(INDEX(マスター!$F$5:$F$200,MATCH(F545,マスター!$E$5:$E$200,0)),"※マスター未登録"))</f>
        <v/>
      </c>
      <c r="F545" s="27"/>
      <c r="G545" s="27"/>
      <c r="H545" s="27"/>
      <c r="I545" s="27"/>
      <c r="J545" s="27"/>
      <c r="K545" s="27"/>
    </row>
    <row r="546" spans="1:11" x14ac:dyDescent="0.2">
      <c r="A546" s="26"/>
      <c r="B546" s="14" t="str">
        <f>IF(A546="","",CHOOSE(WEEKDAY(A546),"日","月","火","水","木","金","土"))</f>
        <v/>
      </c>
      <c r="C546" s="27"/>
      <c r="D546" s="27"/>
      <c r="E546" s="14" t="str">
        <f>IF(F546="","",IFERROR(INDEX(マスター!$F$5:$F$200,MATCH(F546,マスター!$E$5:$E$200,0)),"※マスター未登録"))</f>
        <v/>
      </c>
      <c r="F546" s="27"/>
      <c r="G546" s="27"/>
      <c r="H546" s="27"/>
      <c r="I546" s="27"/>
      <c r="J546" s="27"/>
      <c r="K546" s="27"/>
    </row>
    <row r="547" spans="1:11" x14ac:dyDescent="0.2">
      <c r="A547" s="26"/>
      <c r="B547" s="14" t="str">
        <f>IF(A547="","",CHOOSE(WEEKDAY(A547),"日","月","火","水","木","金","土"))</f>
        <v/>
      </c>
      <c r="C547" s="27"/>
      <c r="D547" s="27"/>
      <c r="E547" s="14" t="str">
        <f>IF(F547="","",IFERROR(INDEX(マスター!$F$5:$F$200,MATCH(F547,マスター!$E$5:$E$200,0)),"※マスター未登録"))</f>
        <v/>
      </c>
      <c r="F547" s="27"/>
      <c r="G547" s="27"/>
      <c r="H547" s="27"/>
      <c r="I547" s="27"/>
      <c r="J547" s="27"/>
      <c r="K547" s="27"/>
    </row>
    <row r="548" spans="1:11" x14ac:dyDescent="0.2">
      <c r="A548" s="26"/>
      <c r="B548" s="14" t="str">
        <f>IF(A548="","",CHOOSE(WEEKDAY(A548),"日","月","火","水","木","金","土"))</f>
        <v/>
      </c>
      <c r="C548" s="27"/>
      <c r="D548" s="27"/>
      <c r="E548" s="14" t="str">
        <f>IF(F548="","",IFERROR(INDEX(マスター!$F$5:$F$200,MATCH(F548,マスター!$E$5:$E$200,0)),"※マスター未登録"))</f>
        <v/>
      </c>
      <c r="F548" s="27"/>
      <c r="G548" s="27"/>
      <c r="H548" s="27"/>
      <c r="I548" s="27"/>
      <c r="J548" s="27"/>
      <c r="K548" s="27"/>
    </row>
    <row r="549" spans="1:11" x14ac:dyDescent="0.2">
      <c r="A549" s="26"/>
      <c r="B549" s="14" t="str">
        <f>IF(A549="","",CHOOSE(WEEKDAY(A549),"日","月","火","水","木","金","土"))</f>
        <v/>
      </c>
      <c r="C549" s="27"/>
      <c r="D549" s="27"/>
      <c r="E549" s="14" t="str">
        <f>IF(F549="","",IFERROR(INDEX(マスター!$F$5:$F$200,MATCH(F549,マスター!$E$5:$E$200,0)),"※マスター未登録"))</f>
        <v/>
      </c>
      <c r="F549" s="27"/>
      <c r="G549" s="27"/>
      <c r="H549" s="27"/>
      <c r="I549" s="27"/>
      <c r="J549" s="27"/>
      <c r="K549" s="27"/>
    </row>
    <row r="550" spans="1:11" x14ac:dyDescent="0.2">
      <c r="A550" s="26"/>
      <c r="B550" s="14" t="str">
        <f>IF(A550="","",CHOOSE(WEEKDAY(A550),"日","月","火","水","木","金","土"))</f>
        <v/>
      </c>
      <c r="C550" s="27"/>
      <c r="D550" s="27"/>
      <c r="E550" s="14" t="str">
        <f>IF(F550="","",IFERROR(INDEX(マスター!$F$5:$F$200,MATCH(F550,マスター!$E$5:$E$200,0)),"※マスター未登録"))</f>
        <v/>
      </c>
      <c r="F550" s="27"/>
      <c r="G550" s="27"/>
      <c r="H550" s="27"/>
      <c r="I550" s="27"/>
      <c r="J550" s="27"/>
      <c r="K550" s="27"/>
    </row>
    <row r="551" spans="1:11" x14ac:dyDescent="0.2">
      <c r="A551" s="26"/>
      <c r="B551" s="14" t="str">
        <f>IF(A551="","",CHOOSE(WEEKDAY(A551),"日","月","火","水","木","金","土"))</f>
        <v/>
      </c>
      <c r="C551" s="27"/>
      <c r="D551" s="27"/>
      <c r="E551" s="14" t="str">
        <f>IF(F551="","",IFERROR(INDEX(マスター!$F$5:$F$200,MATCH(F551,マスター!$E$5:$E$200,0)),"※マスター未登録"))</f>
        <v/>
      </c>
      <c r="F551" s="27"/>
      <c r="G551" s="27"/>
      <c r="H551" s="27"/>
      <c r="I551" s="27"/>
      <c r="J551" s="27"/>
      <c r="K551" s="27"/>
    </row>
    <row r="552" spans="1:11" x14ac:dyDescent="0.2">
      <c r="A552" s="26"/>
      <c r="B552" s="14" t="str">
        <f>IF(A552="","",CHOOSE(WEEKDAY(A552),"日","月","火","水","木","金","土"))</f>
        <v/>
      </c>
      <c r="C552" s="27"/>
      <c r="D552" s="27"/>
      <c r="E552" s="14" t="str">
        <f>IF(F552="","",IFERROR(INDEX(マスター!$F$5:$F$200,MATCH(F552,マスター!$E$5:$E$200,0)),"※マスター未登録"))</f>
        <v/>
      </c>
      <c r="F552" s="27"/>
      <c r="G552" s="27"/>
      <c r="H552" s="27"/>
      <c r="I552" s="27"/>
      <c r="J552" s="27"/>
      <c r="K552" s="27"/>
    </row>
    <row r="553" spans="1:11" x14ac:dyDescent="0.2">
      <c r="A553" s="26"/>
      <c r="B553" s="14" t="str">
        <f>IF(A553="","",CHOOSE(WEEKDAY(A553),"日","月","火","水","木","金","土"))</f>
        <v/>
      </c>
      <c r="C553" s="27"/>
      <c r="D553" s="27"/>
      <c r="E553" s="14" t="str">
        <f>IF(F553="","",IFERROR(INDEX(マスター!$F$5:$F$200,MATCH(F553,マスター!$E$5:$E$200,0)),"※マスター未登録"))</f>
        <v/>
      </c>
      <c r="F553" s="27"/>
      <c r="G553" s="27"/>
      <c r="H553" s="27"/>
      <c r="I553" s="27"/>
      <c r="J553" s="27"/>
      <c r="K553" s="27"/>
    </row>
    <row r="554" spans="1:11" x14ac:dyDescent="0.2">
      <c r="A554" s="26"/>
      <c r="B554" s="14" t="str">
        <f>IF(A554="","",CHOOSE(WEEKDAY(A554),"日","月","火","水","木","金","土"))</f>
        <v/>
      </c>
      <c r="C554" s="27"/>
      <c r="D554" s="27"/>
      <c r="E554" s="14" t="str">
        <f>IF(F554="","",IFERROR(INDEX(マスター!$F$5:$F$200,MATCH(F554,マスター!$E$5:$E$200,0)),"※マスター未登録"))</f>
        <v/>
      </c>
      <c r="F554" s="27"/>
      <c r="G554" s="27"/>
      <c r="H554" s="27"/>
      <c r="I554" s="27"/>
      <c r="J554" s="27"/>
      <c r="K554" s="27"/>
    </row>
    <row r="555" spans="1:11" x14ac:dyDescent="0.2">
      <c r="A555" s="26"/>
      <c r="B555" s="14" t="str">
        <f>IF(A555="","",CHOOSE(WEEKDAY(A555),"日","月","火","水","木","金","土"))</f>
        <v/>
      </c>
      <c r="C555" s="27"/>
      <c r="D555" s="27"/>
      <c r="E555" s="14" t="str">
        <f>IF(F555="","",IFERROR(INDEX(マスター!$F$5:$F$200,MATCH(F555,マスター!$E$5:$E$200,0)),"※マスター未登録"))</f>
        <v/>
      </c>
      <c r="F555" s="27"/>
      <c r="G555" s="27"/>
      <c r="H555" s="27"/>
      <c r="I555" s="27"/>
      <c r="J555" s="27"/>
      <c r="K555" s="27"/>
    </row>
    <row r="556" spans="1:11" x14ac:dyDescent="0.2">
      <c r="A556" s="26"/>
      <c r="B556" s="14" t="str">
        <f>IF(A556="","",CHOOSE(WEEKDAY(A556),"日","月","火","水","木","金","土"))</f>
        <v/>
      </c>
      <c r="C556" s="27"/>
      <c r="D556" s="27"/>
      <c r="E556" s="14" t="str">
        <f>IF(F556="","",IFERROR(INDEX(マスター!$F$5:$F$200,MATCH(F556,マスター!$E$5:$E$200,0)),"※マスター未登録"))</f>
        <v/>
      </c>
      <c r="F556" s="27"/>
      <c r="G556" s="27"/>
      <c r="H556" s="27"/>
      <c r="I556" s="27"/>
      <c r="J556" s="27"/>
      <c r="K556" s="27"/>
    </row>
    <row r="557" spans="1:11" x14ac:dyDescent="0.2">
      <c r="A557" s="26"/>
      <c r="B557" s="14" t="str">
        <f>IF(A557="","",CHOOSE(WEEKDAY(A557),"日","月","火","水","木","金","土"))</f>
        <v/>
      </c>
      <c r="C557" s="27"/>
      <c r="D557" s="27"/>
      <c r="E557" s="14" t="str">
        <f>IF(F557="","",IFERROR(INDEX(マスター!$F$5:$F$200,MATCH(F557,マスター!$E$5:$E$200,0)),"※マスター未登録"))</f>
        <v/>
      </c>
      <c r="F557" s="27"/>
      <c r="G557" s="27"/>
      <c r="H557" s="27"/>
      <c r="I557" s="27"/>
      <c r="J557" s="27"/>
      <c r="K557" s="27"/>
    </row>
    <row r="558" spans="1:11" x14ac:dyDescent="0.2">
      <c r="A558" s="26"/>
      <c r="B558" s="14" t="str">
        <f>IF(A558="","",CHOOSE(WEEKDAY(A558),"日","月","火","水","木","金","土"))</f>
        <v/>
      </c>
      <c r="C558" s="27"/>
      <c r="D558" s="27"/>
      <c r="E558" s="14" t="str">
        <f>IF(F558="","",IFERROR(INDEX(マスター!$F$5:$F$200,MATCH(F558,マスター!$E$5:$E$200,0)),"※マスター未登録"))</f>
        <v/>
      </c>
      <c r="F558" s="27"/>
      <c r="G558" s="27"/>
      <c r="H558" s="27"/>
      <c r="I558" s="27"/>
      <c r="J558" s="27"/>
      <c r="K558" s="27"/>
    </row>
    <row r="559" spans="1:11" x14ac:dyDescent="0.2">
      <c r="A559" s="26"/>
      <c r="B559" s="14" t="str">
        <f>IF(A559="","",CHOOSE(WEEKDAY(A559),"日","月","火","水","木","金","土"))</f>
        <v/>
      </c>
      <c r="C559" s="27"/>
      <c r="D559" s="27"/>
      <c r="E559" s="14" t="str">
        <f>IF(F559="","",IFERROR(INDEX(マスター!$F$5:$F$200,MATCH(F559,マスター!$E$5:$E$200,0)),"※マスター未登録"))</f>
        <v/>
      </c>
      <c r="F559" s="27"/>
      <c r="G559" s="27"/>
      <c r="H559" s="27"/>
      <c r="I559" s="27"/>
      <c r="J559" s="27"/>
      <c r="K559" s="27"/>
    </row>
    <row r="560" spans="1:11" x14ac:dyDescent="0.2">
      <c r="A560" s="26"/>
      <c r="B560" s="14" t="str">
        <f>IF(A560="","",CHOOSE(WEEKDAY(A560),"日","月","火","水","木","金","土"))</f>
        <v/>
      </c>
      <c r="C560" s="27"/>
      <c r="D560" s="27"/>
      <c r="E560" s="14" t="str">
        <f>IF(F560="","",IFERROR(INDEX(マスター!$F$5:$F$200,MATCH(F560,マスター!$E$5:$E$200,0)),"※マスター未登録"))</f>
        <v/>
      </c>
      <c r="F560" s="27"/>
      <c r="G560" s="27"/>
      <c r="H560" s="27"/>
      <c r="I560" s="27"/>
      <c r="J560" s="27"/>
      <c r="K560" s="27"/>
    </row>
    <row r="561" spans="1:11" x14ac:dyDescent="0.2">
      <c r="A561" s="26"/>
      <c r="B561" s="14" t="str">
        <f>IF(A561="","",CHOOSE(WEEKDAY(A561),"日","月","火","水","木","金","土"))</f>
        <v/>
      </c>
      <c r="C561" s="27"/>
      <c r="D561" s="27"/>
      <c r="E561" s="14" t="str">
        <f>IF(F561="","",IFERROR(INDEX(マスター!$F$5:$F$200,MATCH(F561,マスター!$E$5:$E$200,0)),"※マスター未登録"))</f>
        <v/>
      </c>
      <c r="F561" s="27"/>
      <c r="G561" s="27"/>
      <c r="H561" s="27"/>
      <c r="I561" s="27"/>
      <c r="J561" s="27"/>
      <c r="K561" s="27"/>
    </row>
    <row r="562" spans="1:11" x14ac:dyDescent="0.2">
      <c r="A562" s="26"/>
      <c r="B562" s="14" t="str">
        <f>IF(A562="","",CHOOSE(WEEKDAY(A562),"日","月","火","水","木","金","土"))</f>
        <v/>
      </c>
      <c r="C562" s="27"/>
      <c r="D562" s="27"/>
      <c r="E562" s="14" t="str">
        <f>IF(F562="","",IFERROR(INDEX(マスター!$F$5:$F$200,MATCH(F562,マスター!$E$5:$E$200,0)),"※マスター未登録"))</f>
        <v/>
      </c>
      <c r="F562" s="27"/>
      <c r="G562" s="27"/>
      <c r="H562" s="27"/>
      <c r="I562" s="27"/>
      <c r="J562" s="27"/>
      <c r="K562" s="27"/>
    </row>
    <row r="563" spans="1:11" x14ac:dyDescent="0.2">
      <c r="A563" s="26"/>
      <c r="B563" s="14" t="str">
        <f>IF(A563="","",CHOOSE(WEEKDAY(A563),"日","月","火","水","木","金","土"))</f>
        <v/>
      </c>
      <c r="C563" s="27"/>
      <c r="D563" s="27"/>
      <c r="E563" s="14" t="str">
        <f>IF(F563="","",IFERROR(INDEX(マスター!$F$5:$F$200,MATCH(F563,マスター!$E$5:$E$200,0)),"※マスター未登録"))</f>
        <v/>
      </c>
      <c r="F563" s="27"/>
      <c r="G563" s="27"/>
      <c r="H563" s="27"/>
      <c r="I563" s="27"/>
      <c r="J563" s="27"/>
      <c r="K563" s="27"/>
    </row>
    <row r="564" spans="1:11" x14ac:dyDescent="0.2">
      <c r="A564" s="26"/>
      <c r="B564" s="14" t="str">
        <f>IF(A564="","",CHOOSE(WEEKDAY(A564),"日","月","火","水","木","金","土"))</f>
        <v/>
      </c>
      <c r="C564" s="27"/>
      <c r="D564" s="27"/>
      <c r="E564" s="14" t="str">
        <f>IF(F564="","",IFERROR(INDEX(マスター!$F$5:$F$200,MATCH(F564,マスター!$E$5:$E$200,0)),"※マスター未登録"))</f>
        <v/>
      </c>
      <c r="F564" s="27"/>
      <c r="G564" s="27"/>
      <c r="H564" s="27"/>
      <c r="I564" s="27"/>
      <c r="J564" s="27"/>
      <c r="K564" s="27"/>
    </row>
    <row r="565" spans="1:11" x14ac:dyDescent="0.2">
      <c r="A565" s="26"/>
      <c r="B565" s="14" t="str">
        <f>IF(A565="","",CHOOSE(WEEKDAY(A565),"日","月","火","水","木","金","土"))</f>
        <v/>
      </c>
      <c r="C565" s="27"/>
      <c r="D565" s="27"/>
      <c r="E565" s="14" t="str">
        <f>IF(F565="","",IFERROR(INDEX(マスター!$F$5:$F$200,MATCH(F565,マスター!$E$5:$E$200,0)),"※マスター未登録"))</f>
        <v/>
      </c>
      <c r="F565" s="27"/>
      <c r="G565" s="27"/>
      <c r="H565" s="27"/>
      <c r="I565" s="27"/>
      <c r="J565" s="27"/>
      <c r="K565" s="27"/>
    </row>
    <row r="566" spans="1:11" x14ac:dyDescent="0.2">
      <c r="A566" s="26"/>
      <c r="B566" s="14" t="str">
        <f>IF(A566="","",CHOOSE(WEEKDAY(A566),"日","月","火","水","木","金","土"))</f>
        <v/>
      </c>
      <c r="C566" s="27"/>
      <c r="D566" s="27"/>
      <c r="E566" s="14" t="str">
        <f>IF(F566="","",IFERROR(INDEX(マスター!$F$5:$F$200,MATCH(F566,マスター!$E$5:$E$200,0)),"※マスター未登録"))</f>
        <v/>
      </c>
      <c r="F566" s="27"/>
      <c r="G566" s="27"/>
      <c r="H566" s="27"/>
      <c r="I566" s="27"/>
      <c r="J566" s="27"/>
      <c r="K566" s="27"/>
    </row>
    <row r="567" spans="1:11" x14ac:dyDescent="0.2">
      <c r="A567" s="26"/>
      <c r="B567" s="14" t="str">
        <f>IF(A567="","",CHOOSE(WEEKDAY(A567),"日","月","火","水","木","金","土"))</f>
        <v/>
      </c>
      <c r="C567" s="27"/>
      <c r="D567" s="27"/>
      <c r="E567" s="14" t="str">
        <f>IF(F567="","",IFERROR(INDEX(マスター!$F$5:$F$200,MATCH(F567,マスター!$E$5:$E$200,0)),"※マスター未登録"))</f>
        <v/>
      </c>
      <c r="F567" s="27"/>
      <c r="G567" s="27"/>
      <c r="H567" s="27"/>
      <c r="I567" s="27"/>
      <c r="J567" s="27"/>
      <c r="K567" s="27"/>
    </row>
    <row r="568" spans="1:11" x14ac:dyDescent="0.2">
      <c r="A568" s="26"/>
      <c r="B568" s="14" t="str">
        <f>IF(A568="","",CHOOSE(WEEKDAY(A568),"日","月","火","水","木","金","土"))</f>
        <v/>
      </c>
      <c r="C568" s="27"/>
      <c r="D568" s="27"/>
      <c r="E568" s="14" t="str">
        <f>IF(F568="","",IFERROR(INDEX(マスター!$F$5:$F$200,MATCH(F568,マスター!$E$5:$E$200,0)),"※マスター未登録"))</f>
        <v/>
      </c>
      <c r="F568" s="27"/>
      <c r="G568" s="27"/>
      <c r="H568" s="27"/>
      <c r="I568" s="27"/>
      <c r="J568" s="27"/>
      <c r="K568" s="27"/>
    </row>
    <row r="569" spans="1:11" x14ac:dyDescent="0.2">
      <c r="A569" s="26"/>
      <c r="B569" s="14" t="str">
        <f>IF(A569="","",CHOOSE(WEEKDAY(A569),"日","月","火","水","木","金","土"))</f>
        <v/>
      </c>
      <c r="C569" s="27"/>
      <c r="D569" s="27"/>
      <c r="E569" s="14" t="str">
        <f>IF(F569="","",IFERROR(INDEX(マスター!$F$5:$F$200,MATCH(F569,マスター!$E$5:$E$200,0)),"※マスター未登録"))</f>
        <v/>
      </c>
      <c r="F569" s="27"/>
      <c r="G569" s="27"/>
      <c r="H569" s="27"/>
      <c r="I569" s="27"/>
      <c r="J569" s="27"/>
      <c r="K569" s="27"/>
    </row>
    <row r="570" spans="1:11" x14ac:dyDescent="0.2">
      <c r="A570" s="26"/>
      <c r="B570" s="14" t="str">
        <f>IF(A570="","",CHOOSE(WEEKDAY(A570),"日","月","火","水","木","金","土"))</f>
        <v/>
      </c>
      <c r="C570" s="27"/>
      <c r="D570" s="27"/>
      <c r="E570" s="14" t="str">
        <f>IF(F570="","",IFERROR(INDEX(マスター!$F$5:$F$200,MATCH(F570,マスター!$E$5:$E$200,0)),"※マスター未登録"))</f>
        <v/>
      </c>
      <c r="F570" s="27"/>
      <c r="G570" s="27"/>
      <c r="H570" s="27"/>
      <c r="I570" s="27"/>
      <c r="J570" s="27"/>
      <c r="K570" s="27"/>
    </row>
    <row r="571" spans="1:11" x14ac:dyDescent="0.2">
      <c r="A571" s="26"/>
      <c r="B571" s="14" t="str">
        <f>IF(A571="","",CHOOSE(WEEKDAY(A571),"日","月","火","水","木","金","土"))</f>
        <v/>
      </c>
      <c r="C571" s="27"/>
      <c r="D571" s="27"/>
      <c r="E571" s="14" t="str">
        <f>IF(F571="","",IFERROR(INDEX(マスター!$F$5:$F$200,MATCH(F571,マスター!$E$5:$E$200,0)),"※マスター未登録"))</f>
        <v/>
      </c>
      <c r="F571" s="27"/>
      <c r="G571" s="27"/>
      <c r="H571" s="27"/>
      <c r="I571" s="27"/>
      <c r="J571" s="27"/>
      <c r="K571" s="27"/>
    </row>
    <row r="572" spans="1:11" x14ac:dyDescent="0.2">
      <c r="A572" s="26"/>
      <c r="B572" s="14" t="str">
        <f>IF(A572="","",CHOOSE(WEEKDAY(A572),"日","月","火","水","木","金","土"))</f>
        <v/>
      </c>
      <c r="C572" s="27"/>
      <c r="D572" s="27"/>
      <c r="E572" s="14" t="str">
        <f>IF(F572="","",IFERROR(INDEX(マスター!$F$5:$F$200,MATCH(F572,マスター!$E$5:$E$200,0)),"※マスター未登録"))</f>
        <v/>
      </c>
      <c r="F572" s="27"/>
      <c r="G572" s="27"/>
      <c r="H572" s="27"/>
      <c r="I572" s="27"/>
      <c r="J572" s="27"/>
      <c r="K572" s="27"/>
    </row>
    <row r="573" spans="1:11" x14ac:dyDescent="0.2">
      <c r="A573" s="26"/>
      <c r="B573" s="14" t="str">
        <f>IF(A573="","",CHOOSE(WEEKDAY(A573),"日","月","火","水","木","金","土"))</f>
        <v/>
      </c>
      <c r="C573" s="27"/>
      <c r="D573" s="27"/>
      <c r="E573" s="14" t="str">
        <f>IF(F573="","",IFERROR(INDEX(マスター!$F$5:$F$200,MATCH(F573,マスター!$E$5:$E$200,0)),"※マスター未登録"))</f>
        <v/>
      </c>
      <c r="F573" s="27"/>
      <c r="G573" s="27"/>
      <c r="H573" s="27"/>
      <c r="I573" s="27"/>
      <c r="J573" s="27"/>
      <c r="K573" s="27"/>
    </row>
    <row r="574" spans="1:11" x14ac:dyDescent="0.2">
      <c r="A574" s="26"/>
      <c r="B574" s="14" t="str">
        <f>IF(A574="","",CHOOSE(WEEKDAY(A574),"日","月","火","水","木","金","土"))</f>
        <v/>
      </c>
      <c r="C574" s="27"/>
      <c r="D574" s="27"/>
      <c r="E574" s="14" t="str">
        <f>IF(F574="","",IFERROR(INDEX(マスター!$F$5:$F$200,MATCH(F574,マスター!$E$5:$E$200,0)),"※マスター未登録"))</f>
        <v/>
      </c>
      <c r="F574" s="27"/>
      <c r="G574" s="27"/>
      <c r="H574" s="27"/>
      <c r="I574" s="27"/>
      <c r="J574" s="27"/>
      <c r="K574" s="27"/>
    </row>
    <row r="575" spans="1:11" x14ac:dyDescent="0.2">
      <c r="A575" s="26"/>
      <c r="B575" s="14" t="str">
        <f>IF(A575="","",CHOOSE(WEEKDAY(A575),"日","月","火","水","木","金","土"))</f>
        <v/>
      </c>
      <c r="C575" s="27"/>
      <c r="D575" s="27"/>
      <c r="E575" s="14" t="str">
        <f>IF(F575="","",IFERROR(INDEX(マスター!$F$5:$F$200,MATCH(F575,マスター!$E$5:$E$200,0)),"※マスター未登録"))</f>
        <v/>
      </c>
      <c r="F575" s="27"/>
      <c r="G575" s="27"/>
      <c r="H575" s="27"/>
      <c r="I575" s="27"/>
      <c r="J575" s="27"/>
      <c r="K575" s="27"/>
    </row>
    <row r="576" spans="1:11" x14ac:dyDescent="0.2">
      <c r="A576" s="26"/>
      <c r="B576" s="14" t="str">
        <f>IF(A576="","",CHOOSE(WEEKDAY(A576),"日","月","火","水","木","金","土"))</f>
        <v/>
      </c>
      <c r="C576" s="27"/>
      <c r="D576" s="27"/>
      <c r="E576" s="14" t="str">
        <f>IF(F576="","",IFERROR(INDEX(マスター!$F$5:$F$200,MATCH(F576,マスター!$E$5:$E$200,0)),"※マスター未登録"))</f>
        <v/>
      </c>
      <c r="F576" s="27"/>
      <c r="G576" s="27"/>
      <c r="H576" s="27"/>
      <c r="I576" s="27"/>
      <c r="J576" s="27"/>
      <c r="K576" s="27"/>
    </row>
    <row r="577" spans="1:11" x14ac:dyDescent="0.2">
      <c r="A577" s="26"/>
      <c r="B577" s="14" t="str">
        <f>IF(A577="","",CHOOSE(WEEKDAY(A577),"日","月","火","水","木","金","土"))</f>
        <v/>
      </c>
      <c r="C577" s="27"/>
      <c r="D577" s="27"/>
      <c r="E577" s="14" t="str">
        <f>IF(F577="","",IFERROR(INDEX(マスター!$F$5:$F$200,MATCH(F577,マスター!$E$5:$E$200,0)),"※マスター未登録"))</f>
        <v/>
      </c>
      <c r="F577" s="27"/>
      <c r="G577" s="27"/>
      <c r="H577" s="27"/>
      <c r="I577" s="27"/>
      <c r="J577" s="27"/>
      <c r="K577" s="27"/>
    </row>
    <row r="578" spans="1:11" x14ac:dyDescent="0.2">
      <c r="A578" s="26"/>
      <c r="B578" s="14" t="str">
        <f>IF(A578="","",CHOOSE(WEEKDAY(A578),"日","月","火","水","木","金","土"))</f>
        <v/>
      </c>
      <c r="C578" s="27"/>
      <c r="D578" s="27"/>
      <c r="E578" s="14" t="str">
        <f>IF(F578="","",IFERROR(INDEX(マスター!$F$5:$F$200,MATCH(F578,マスター!$E$5:$E$200,0)),"※マスター未登録"))</f>
        <v/>
      </c>
      <c r="F578" s="27"/>
      <c r="G578" s="27"/>
      <c r="H578" s="27"/>
      <c r="I578" s="27"/>
      <c r="J578" s="27"/>
      <c r="K578" s="27"/>
    </row>
    <row r="579" spans="1:11" x14ac:dyDescent="0.2">
      <c r="A579" s="26"/>
      <c r="B579" s="14" t="str">
        <f>IF(A579="","",CHOOSE(WEEKDAY(A579),"日","月","火","水","木","金","土"))</f>
        <v/>
      </c>
      <c r="C579" s="27"/>
      <c r="D579" s="27"/>
      <c r="E579" s="14" t="str">
        <f>IF(F579="","",IFERROR(INDEX(マスター!$F$5:$F$200,MATCH(F579,マスター!$E$5:$E$200,0)),"※マスター未登録"))</f>
        <v/>
      </c>
      <c r="F579" s="27"/>
      <c r="G579" s="27"/>
      <c r="H579" s="27"/>
      <c r="I579" s="27"/>
      <c r="J579" s="27"/>
      <c r="K579" s="27"/>
    </row>
    <row r="580" spans="1:11" x14ac:dyDescent="0.2">
      <c r="A580" s="26"/>
      <c r="B580" s="14" t="str">
        <f>IF(A580="","",CHOOSE(WEEKDAY(A580),"日","月","火","水","木","金","土"))</f>
        <v/>
      </c>
      <c r="C580" s="27"/>
      <c r="D580" s="27"/>
      <c r="E580" s="14" t="str">
        <f>IF(F580="","",IFERROR(INDEX(マスター!$F$5:$F$200,MATCH(F580,マスター!$E$5:$E$200,0)),"※マスター未登録"))</f>
        <v/>
      </c>
      <c r="F580" s="27"/>
      <c r="G580" s="27"/>
      <c r="H580" s="27"/>
      <c r="I580" s="27"/>
      <c r="J580" s="27"/>
      <c r="K580" s="27"/>
    </row>
    <row r="581" spans="1:11" x14ac:dyDescent="0.2">
      <c r="A581" s="26"/>
      <c r="B581" s="14" t="str">
        <f>IF(A581="","",CHOOSE(WEEKDAY(A581),"日","月","火","水","木","金","土"))</f>
        <v/>
      </c>
      <c r="C581" s="27"/>
      <c r="D581" s="27"/>
      <c r="E581" s="14" t="str">
        <f>IF(F581="","",IFERROR(INDEX(マスター!$F$5:$F$200,MATCH(F581,マスター!$E$5:$E$200,0)),"※マスター未登録"))</f>
        <v/>
      </c>
      <c r="F581" s="27"/>
      <c r="G581" s="27"/>
      <c r="H581" s="27"/>
      <c r="I581" s="27"/>
      <c r="J581" s="27"/>
      <c r="K581" s="27"/>
    </row>
    <row r="582" spans="1:11" x14ac:dyDescent="0.2">
      <c r="A582" s="26"/>
      <c r="B582" s="14" t="str">
        <f>IF(A582="","",CHOOSE(WEEKDAY(A582),"日","月","火","水","木","金","土"))</f>
        <v/>
      </c>
      <c r="C582" s="27"/>
      <c r="D582" s="27"/>
      <c r="E582" s="14" t="str">
        <f>IF(F582="","",IFERROR(INDEX(マスター!$F$5:$F$200,MATCH(F582,マスター!$E$5:$E$200,0)),"※マスター未登録"))</f>
        <v/>
      </c>
      <c r="F582" s="27"/>
      <c r="G582" s="27"/>
      <c r="H582" s="27"/>
      <c r="I582" s="27"/>
      <c r="J582" s="27"/>
      <c r="K582" s="27"/>
    </row>
    <row r="583" spans="1:11" x14ac:dyDescent="0.2">
      <c r="A583" s="26"/>
      <c r="B583" s="14" t="str">
        <f>IF(A583="","",CHOOSE(WEEKDAY(A583),"日","月","火","水","木","金","土"))</f>
        <v/>
      </c>
      <c r="C583" s="27"/>
      <c r="D583" s="27"/>
      <c r="E583" s="14" t="str">
        <f>IF(F583="","",IFERROR(INDEX(マスター!$F$5:$F$200,MATCH(F583,マスター!$E$5:$E$200,0)),"※マスター未登録"))</f>
        <v/>
      </c>
      <c r="F583" s="27"/>
      <c r="G583" s="27"/>
      <c r="H583" s="27"/>
      <c r="I583" s="27"/>
      <c r="J583" s="27"/>
      <c r="K583" s="27"/>
    </row>
    <row r="584" spans="1:11" x14ac:dyDescent="0.2">
      <c r="A584" s="26"/>
      <c r="B584" s="14" t="str">
        <f>IF(A584="","",CHOOSE(WEEKDAY(A584),"日","月","火","水","木","金","土"))</f>
        <v/>
      </c>
      <c r="C584" s="27"/>
      <c r="D584" s="27"/>
      <c r="E584" s="14" t="str">
        <f>IF(F584="","",IFERROR(INDEX(マスター!$F$5:$F$200,MATCH(F584,マスター!$E$5:$E$200,0)),"※マスター未登録"))</f>
        <v/>
      </c>
      <c r="F584" s="27"/>
      <c r="G584" s="27"/>
      <c r="H584" s="27"/>
      <c r="I584" s="27"/>
      <c r="J584" s="27"/>
      <c r="K584" s="27"/>
    </row>
    <row r="585" spans="1:11" x14ac:dyDescent="0.2">
      <c r="A585" s="26"/>
      <c r="B585" s="14" t="str">
        <f>IF(A585="","",CHOOSE(WEEKDAY(A585),"日","月","火","水","木","金","土"))</f>
        <v/>
      </c>
      <c r="C585" s="27"/>
      <c r="D585" s="27"/>
      <c r="E585" s="14" t="str">
        <f>IF(F585="","",IFERROR(INDEX(マスター!$F$5:$F$200,MATCH(F585,マスター!$E$5:$E$200,0)),"※マスター未登録"))</f>
        <v/>
      </c>
      <c r="F585" s="27"/>
      <c r="G585" s="27"/>
      <c r="H585" s="27"/>
      <c r="I585" s="27"/>
      <c r="J585" s="27"/>
      <c r="K585" s="27"/>
    </row>
    <row r="586" spans="1:11" x14ac:dyDescent="0.2">
      <c r="A586" s="26"/>
      <c r="B586" s="14" t="str">
        <f>IF(A586="","",CHOOSE(WEEKDAY(A586),"日","月","火","水","木","金","土"))</f>
        <v/>
      </c>
      <c r="C586" s="27"/>
      <c r="D586" s="27"/>
      <c r="E586" s="14" t="str">
        <f>IF(F586="","",IFERROR(INDEX(マスター!$F$5:$F$200,MATCH(F586,マスター!$E$5:$E$200,0)),"※マスター未登録"))</f>
        <v/>
      </c>
      <c r="F586" s="27"/>
      <c r="G586" s="27"/>
      <c r="H586" s="27"/>
      <c r="I586" s="27"/>
      <c r="J586" s="27"/>
      <c r="K586" s="27"/>
    </row>
    <row r="587" spans="1:11" x14ac:dyDescent="0.2">
      <c r="A587" s="26"/>
      <c r="B587" s="14" t="str">
        <f>IF(A587="","",CHOOSE(WEEKDAY(A587),"日","月","火","水","木","金","土"))</f>
        <v/>
      </c>
      <c r="C587" s="27"/>
      <c r="D587" s="27"/>
      <c r="E587" s="14" t="str">
        <f>IF(F587="","",IFERROR(INDEX(マスター!$F$5:$F$200,MATCH(F587,マスター!$E$5:$E$200,0)),"※マスター未登録"))</f>
        <v/>
      </c>
      <c r="F587" s="27"/>
      <c r="G587" s="27"/>
      <c r="H587" s="27"/>
      <c r="I587" s="27"/>
      <c r="J587" s="27"/>
      <c r="K587" s="27"/>
    </row>
    <row r="588" spans="1:11" x14ac:dyDescent="0.2">
      <c r="A588" s="26"/>
      <c r="B588" s="14" t="str">
        <f>IF(A588="","",CHOOSE(WEEKDAY(A588),"日","月","火","水","木","金","土"))</f>
        <v/>
      </c>
      <c r="C588" s="27"/>
      <c r="D588" s="27"/>
      <c r="E588" s="14" t="str">
        <f>IF(F588="","",IFERROR(INDEX(マスター!$F$5:$F$200,MATCH(F588,マスター!$E$5:$E$200,0)),"※マスター未登録"))</f>
        <v/>
      </c>
      <c r="F588" s="27"/>
      <c r="G588" s="27"/>
      <c r="H588" s="27"/>
      <c r="I588" s="27"/>
      <c r="J588" s="27"/>
      <c r="K588" s="27"/>
    </row>
    <row r="589" spans="1:11" x14ac:dyDescent="0.2">
      <c r="A589" s="26"/>
      <c r="B589" s="14" t="str">
        <f>IF(A589="","",CHOOSE(WEEKDAY(A589),"日","月","火","水","木","金","土"))</f>
        <v/>
      </c>
      <c r="C589" s="27"/>
      <c r="D589" s="27"/>
      <c r="E589" s="14" t="str">
        <f>IF(F589="","",IFERROR(INDEX(マスター!$F$5:$F$200,MATCH(F589,マスター!$E$5:$E$200,0)),"※マスター未登録"))</f>
        <v/>
      </c>
      <c r="F589" s="27"/>
      <c r="G589" s="27"/>
      <c r="H589" s="27"/>
      <c r="I589" s="27"/>
      <c r="J589" s="27"/>
      <c r="K589" s="27"/>
    </row>
    <row r="590" spans="1:11" x14ac:dyDescent="0.2">
      <c r="A590" s="26"/>
      <c r="B590" s="14" t="str">
        <f>IF(A590="","",CHOOSE(WEEKDAY(A590),"日","月","火","水","木","金","土"))</f>
        <v/>
      </c>
      <c r="C590" s="27"/>
      <c r="D590" s="27"/>
      <c r="E590" s="14" t="str">
        <f>IF(F590="","",IFERROR(INDEX(マスター!$F$5:$F$200,MATCH(F590,マスター!$E$5:$E$200,0)),"※マスター未登録"))</f>
        <v/>
      </c>
      <c r="F590" s="27"/>
      <c r="G590" s="27"/>
      <c r="H590" s="27"/>
      <c r="I590" s="27"/>
      <c r="J590" s="27"/>
      <c r="K590" s="27"/>
    </row>
    <row r="591" spans="1:11" x14ac:dyDescent="0.2">
      <c r="A591" s="26"/>
      <c r="B591" s="14" t="str">
        <f>IF(A591="","",CHOOSE(WEEKDAY(A591),"日","月","火","水","木","金","土"))</f>
        <v/>
      </c>
      <c r="C591" s="27"/>
      <c r="D591" s="27"/>
      <c r="E591" s="14" t="str">
        <f>IF(F591="","",IFERROR(INDEX(マスター!$F$5:$F$200,MATCH(F591,マスター!$E$5:$E$200,0)),"※マスター未登録"))</f>
        <v/>
      </c>
      <c r="F591" s="27"/>
      <c r="G591" s="27"/>
      <c r="H591" s="27"/>
      <c r="I591" s="27"/>
      <c r="J591" s="27"/>
      <c r="K591" s="27"/>
    </row>
    <row r="592" spans="1:11" x14ac:dyDescent="0.2">
      <c r="A592" s="26"/>
      <c r="B592" s="14" t="str">
        <f>IF(A592="","",CHOOSE(WEEKDAY(A592),"日","月","火","水","木","金","土"))</f>
        <v/>
      </c>
      <c r="C592" s="27"/>
      <c r="D592" s="27"/>
      <c r="E592" s="14" t="str">
        <f>IF(F592="","",IFERROR(INDEX(マスター!$F$5:$F$200,MATCH(F592,マスター!$E$5:$E$200,0)),"※マスター未登録"))</f>
        <v/>
      </c>
      <c r="F592" s="27"/>
      <c r="G592" s="27"/>
      <c r="H592" s="27"/>
      <c r="I592" s="27"/>
      <c r="J592" s="27"/>
      <c r="K592" s="27"/>
    </row>
    <row r="593" spans="1:11" x14ac:dyDescent="0.2">
      <c r="A593" s="26"/>
      <c r="B593" s="14" t="str">
        <f>IF(A593="","",CHOOSE(WEEKDAY(A593),"日","月","火","水","木","金","土"))</f>
        <v/>
      </c>
      <c r="C593" s="27"/>
      <c r="D593" s="27"/>
      <c r="E593" s="14" t="str">
        <f>IF(F593="","",IFERROR(INDEX(マスター!$F$5:$F$200,MATCH(F593,マスター!$E$5:$E$200,0)),"※マスター未登録"))</f>
        <v/>
      </c>
      <c r="F593" s="27"/>
      <c r="G593" s="27"/>
      <c r="H593" s="27"/>
      <c r="I593" s="27"/>
      <c r="J593" s="27"/>
      <c r="K593" s="27"/>
    </row>
    <row r="594" spans="1:11" x14ac:dyDescent="0.2">
      <c r="A594" s="26"/>
      <c r="B594" s="14" t="str">
        <f>IF(A594="","",CHOOSE(WEEKDAY(A594),"日","月","火","水","木","金","土"))</f>
        <v/>
      </c>
      <c r="C594" s="27"/>
      <c r="D594" s="27"/>
      <c r="E594" s="14" t="str">
        <f>IF(F594="","",IFERROR(INDEX(マスター!$F$5:$F$200,MATCH(F594,マスター!$E$5:$E$200,0)),"※マスター未登録"))</f>
        <v/>
      </c>
      <c r="F594" s="27"/>
      <c r="G594" s="27"/>
      <c r="H594" s="27"/>
      <c r="I594" s="27"/>
      <c r="J594" s="27"/>
      <c r="K594" s="27"/>
    </row>
    <row r="595" spans="1:11" x14ac:dyDescent="0.2">
      <c r="A595" s="26"/>
      <c r="B595" s="14" t="str">
        <f>IF(A595="","",CHOOSE(WEEKDAY(A595),"日","月","火","水","木","金","土"))</f>
        <v/>
      </c>
      <c r="C595" s="27"/>
      <c r="D595" s="27"/>
      <c r="E595" s="14" t="str">
        <f>IF(F595="","",IFERROR(INDEX(マスター!$F$5:$F$200,MATCH(F595,マスター!$E$5:$E$200,0)),"※マスター未登録"))</f>
        <v/>
      </c>
      <c r="F595" s="27"/>
      <c r="G595" s="27"/>
      <c r="H595" s="27"/>
      <c r="I595" s="27"/>
      <c r="J595" s="27"/>
      <c r="K595" s="27"/>
    </row>
    <row r="596" spans="1:11" x14ac:dyDescent="0.2">
      <c r="A596" s="26"/>
      <c r="B596" s="14" t="str">
        <f>IF(A596="","",CHOOSE(WEEKDAY(A596),"日","月","火","水","木","金","土"))</f>
        <v/>
      </c>
      <c r="C596" s="27"/>
      <c r="D596" s="27"/>
      <c r="E596" s="14" t="str">
        <f>IF(F596="","",IFERROR(INDEX(マスター!$F$5:$F$200,MATCH(F596,マスター!$E$5:$E$200,0)),"※マスター未登録"))</f>
        <v/>
      </c>
      <c r="F596" s="27"/>
      <c r="G596" s="27"/>
      <c r="H596" s="27"/>
      <c r="I596" s="27"/>
      <c r="J596" s="27"/>
      <c r="K596" s="27"/>
    </row>
    <row r="597" spans="1:11" x14ac:dyDescent="0.2">
      <c r="A597" s="26"/>
      <c r="B597" s="14" t="str">
        <f>IF(A597="","",CHOOSE(WEEKDAY(A597),"日","月","火","水","木","金","土"))</f>
        <v/>
      </c>
      <c r="C597" s="27"/>
      <c r="D597" s="27"/>
      <c r="E597" s="14" t="str">
        <f>IF(F597="","",IFERROR(INDEX(マスター!$F$5:$F$200,MATCH(F597,マスター!$E$5:$E$200,0)),"※マスター未登録"))</f>
        <v/>
      </c>
      <c r="F597" s="27"/>
      <c r="G597" s="27"/>
      <c r="H597" s="27"/>
      <c r="I597" s="27"/>
      <c r="J597" s="27"/>
      <c r="K597" s="27"/>
    </row>
    <row r="598" spans="1:11" x14ac:dyDescent="0.2">
      <c r="A598" s="26"/>
      <c r="B598" s="14" t="str">
        <f>IF(A598="","",CHOOSE(WEEKDAY(A598),"日","月","火","水","木","金","土"))</f>
        <v/>
      </c>
      <c r="C598" s="27"/>
      <c r="D598" s="27"/>
      <c r="E598" s="14" t="str">
        <f>IF(F598="","",IFERROR(INDEX(マスター!$F$5:$F$200,MATCH(F598,マスター!$E$5:$E$200,0)),"※マスター未登録"))</f>
        <v/>
      </c>
      <c r="F598" s="27"/>
      <c r="G598" s="27"/>
      <c r="H598" s="27"/>
      <c r="I598" s="27"/>
      <c r="J598" s="27"/>
      <c r="K598" s="27"/>
    </row>
    <row r="599" spans="1:11" x14ac:dyDescent="0.2">
      <c r="A599" s="26"/>
      <c r="B599" s="14" t="str">
        <f>IF(A599="","",CHOOSE(WEEKDAY(A599),"日","月","火","水","木","金","土"))</f>
        <v/>
      </c>
      <c r="C599" s="27"/>
      <c r="D599" s="27"/>
      <c r="E599" s="14" t="str">
        <f>IF(F599="","",IFERROR(INDEX(マスター!$F$5:$F$200,MATCH(F599,マスター!$E$5:$E$200,0)),"※マスター未登録"))</f>
        <v/>
      </c>
      <c r="F599" s="27"/>
      <c r="G599" s="27"/>
      <c r="H599" s="27"/>
      <c r="I599" s="27"/>
      <c r="J599" s="27"/>
      <c r="K599" s="27"/>
    </row>
    <row r="600" spans="1:11" x14ac:dyDescent="0.2">
      <c r="A600" s="26"/>
      <c r="B600" s="14" t="str">
        <f>IF(A600="","",CHOOSE(WEEKDAY(A600),"日","月","火","水","木","金","土"))</f>
        <v/>
      </c>
      <c r="C600" s="27"/>
      <c r="D600" s="27"/>
      <c r="E600" s="14" t="str">
        <f>IF(F600="","",IFERROR(INDEX(マスター!$F$5:$F$200,MATCH(F600,マスター!$E$5:$E$200,0)),"※マスター未登録"))</f>
        <v/>
      </c>
      <c r="F600" s="27"/>
      <c r="G600" s="27"/>
      <c r="H600" s="27"/>
      <c r="I600" s="27"/>
      <c r="J600" s="27"/>
      <c r="K600" s="27"/>
    </row>
    <row r="601" spans="1:11" x14ac:dyDescent="0.2">
      <c r="A601" s="26"/>
      <c r="B601" s="14" t="str">
        <f>IF(A601="","",CHOOSE(WEEKDAY(A601),"日","月","火","水","木","金","土"))</f>
        <v/>
      </c>
      <c r="C601" s="27"/>
      <c r="D601" s="27"/>
      <c r="E601" s="14" t="str">
        <f>IF(F601="","",IFERROR(INDEX(マスター!$F$5:$F$200,MATCH(F601,マスター!$E$5:$E$200,0)),"※マスター未登録"))</f>
        <v/>
      </c>
      <c r="F601" s="27"/>
      <c r="G601" s="27"/>
      <c r="H601" s="27"/>
      <c r="I601" s="27"/>
      <c r="J601" s="27"/>
      <c r="K601" s="27"/>
    </row>
    <row r="602" spans="1:11" x14ac:dyDescent="0.2">
      <c r="A602" s="26"/>
      <c r="B602" s="14" t="str">
        <f>IF(A602="","",CHOOSE(WEEKDAY(A602),"日","月","火","水","木","金","土"))</f>
        <v/>
      </c>
      <c r="C602" s="27"/>
      <c r="D602" s="27"/>
      <c r="E602" s="14" t="str">
        <f>IF(F602="","",IFERROR(INDEX(マスター!$F$5:$F$200,MATCH(F602,マスター!$E$5:$E$200,0)),"※マスター未登録"))</f>
        <v/>
      </c>
      <c r="F602" s="27"/>
      <c r="G602" s="27"/>
      <c r="H602" s="27"/>
      <c r="I602" s="27"/>
      <c r="J602" s="27"/>
      <c r="K602" s="27"/>
    </row>
    <row r="603" spans="1:11" x14ac:dyDescent="0.2">
      <c r="A603" s="26"/>
      <c r="B603" s="14" t="str">
        <f>IF(A603="","",CHOOSE(WEEKDAY(A603),"日","月","火","水","木","金","土"))</f>
        <v/>
      </c>
      <c r="C603" s="27"/>
      <c r="D603" s="27"/>
      <c r="E603" s="14" t="str">
        <f>IF(F603="","",IFERROR(INDEX(マスター!$F$5:$F$200,MATCH(F603,マスター!$E$5:$E$200,0)),"※マスター未登録"))</f>
        <v/>
      </c>
      <c r="F603" s="27"/>
      <c r="G603" s="27"/>
      <c r="H603" s="27"/>
      <c r="I603" s="27"/>
      <c r="J603" s="27"/>
      <c r="K603" s="27"/>
    </row>
    <row r="604" spans="1:11" x14ac:dyDescent="0.2">
      <c r="A604" s="26"/>
      <c r="B604" s="14" t="str">
        <f>IF(A604="","",CHOOSE(WEEKDAY(A604),"日","月","火","水","木","金","土"))</f>
        <v/>
      </c>
      <c r="C604" s="27"/>
      <c r="D604" s="27"/>
      <c r="E604" s="14" t="str">
        <f>IF(F604="","",IFERROR(INDEX(マスター!$F$5:$F$200,MATCH(F604,マスター!$E$5:$E$200,0)),"※マスター未登録"))</f>
        <v/>
      </c>
      <c r="F604" s="27"/>
      <c r="G604" s="27"/>
      <c r="H604" s="27"/>
      <c r="I604" s="27"/>
      <c r="J604" s="27"/>
      <c r="K604" s="27"/>
    </row>
    <row r="605" spans="1:11" x14ac:dyDescent="0.2">
      <c r="A605" s="26"/>
      <c r="B605" s="14" t="str">
        <f>IF(A605="","",CHOOSE(WEEKDAY(A605),"日","月","火","水","木","金","土"))</f>
        <v/>
      </c>
      <c r="C605" s="27"/>
      <c r="D605" s="27"/>
      <c r="E605" s="14" t="str">
        <f>IF(F605="","",IFERROR(INDEX(マスター!$F$5:$F$200,MATCH(F605,マスター!$E$5:$E$200,0)),"※マスター未登録"))</f>
        <v/>
      </c>
      <c r="F605" s="27"/>
      <c r="G605" s="27"/>
      <c r="H605" s="27"/>
      <c r="I605" s="27"/>
      <c r="J605" s="27"/>
      <c r="K605" s="27"/>
    </row>
    <row r="606" spans="1:11" x14ac:dyDescent="0.2">
      <c r="A606" s="26"/>
      <c r="B606" s="14" t="str">
        <f>IF(A606="","",CHOOSE(WEEKDAY(A606),"日","月","火","水","木","金","土"))</f>
        <v/>
      </c>
      <c r="C606" s="27"/>
      <c r="D606" s="27"/>
      <c r="E606" s="14" t="str">
        <f>IF(F606="","",IFERROR(INDEX(マスター!$F$5:$F$200,MATCH(F606,マスター!$E$5:$E$200,0)),"※マスター未登録"))</f>
        <v/>
      </c>
      <c r="F606" s="27"/>
      <c r="G606" s="27"/>
      <c r="H606" s="27"/>
      <c r="I606" s="27"/>
      <c r="J606" s="27"/>
      <c r="K606" s="27"/>
    </row>
    <row r="607" spans="1:11" x14ac:dyDescent="0.2">
      <c r="A607" s="26"/>
      <c r="B607" s="14" t="str">
        <f>IF(A607="","",CHOOSE(WEEKDAY(A607),"日","月","火","水","木","金","土"))</f>
        <v/>
      </c>
      <c r="C607" s="27"/>
      <c r="D607" s="27"/>
      <c r="E607" s="14" t="str">
        <f>IF(F607="","",IFERROR(INDEX(マスター!$F$5:$F$200,MATCH(F607,マスター!$E$5:$E$200,0)),"※マスター未登録"))</f>
        <v/>
      </c>
      <c r="F607" s="27"/>
      <c r="G607" s="27"/>
      <c r="H607" s="27"/>
      <c r="I607" s="27"/>
      <c r="J607" s="27"/>
      <c r="K607" s="27"/>
    </row>
    <row r="608" spans="1:11" x14ac:dyDescent="0.2">
      <c r="A608" s="26"/>
      <c r="B608" s="14" t="str">
        <f>IF(A608="","",CHOOSE(WEEKDAY(A608),"日","月","火","水","木","金","土"))</f>
        <v/>
      </c>
      <c r="C608" s="27"/>
      <c r="D608" s="27"/>
      <c r="E608" s="14" t="str">
        <f>IF(F608="","",IFERROR(INDEX(マスター!$F$5:$F$200,MATCH(F608,マスター!$E$5:$E$200,0)),"※マスター未登録"))</f>
        <v/>
      </c>
      <c r="F608" s="27"/>
      <c r="G608" s="27"/>
      <c r="H608" s="27"/>
      <c r="I608" s="27"/>
      <c r="J608" s="27"/>
      <c r="K608" s="27"/>
    </row>
    <row r="609" spans="1:11" x14ac:dyDescent="0.2">
      <c r="A609" s="26"/>
      <c r="B609" s="14" t="str">
        <f>IF(A609="","",CHOOSE(WEEKDAY(A609),"日","月","火","水","木","金","土"))</f>
        <v/>
      </c>
      <c r="C609" s="27"/>
      <c r="D609" s="27"/>
      <c r="E609" s="14" t="str">
        <f>IF(F609="","",IFERROR(INDEX(マスター!$F$5:$F$200,MATCH(F609,マスター!$E$5:$E$200,0)),"※マスター未登録"))</f>
        <v/>
      </c>
      <c r="F609" s="27"/>
      <c r="G609" s="27"/>
      <c r="H609" s="27"/>
      <c r="I609" s="27"/>
      <c r="J609" s="27"/>
      <c r="K609" s="27"/>
    </row>
    <row r="610" spans="1:11" x14ac:dyDescent="0.2">
      <c r="A610" s="26"/>
      <c r="B610" s="14" t="str">
        <f>IF(A610="","",CHOOSE(WEEKDAY(A610),"日","月","火","水","木","金","土"))</f>
        <v/>
      </c>
      <c r="C610" s="27"/>
      <c r="D610" s="27"/>
      <c r="E610" s="14" t="str">
        <f>IF(F610="","",IFERROR(INDEX(マスター!$F$5:$F$200,MATCH(F610,マスター!$E$5:$E$200,0)),"※マスター未登録"))</f>
        <v/>
      </c>
      <c r="F610" s="27"/>
      <c r="G610" s="27"/>
      <c r="H610" s="27"/>
      <c r="I610" s="27"/>
      <c r="J610" s="27"/>
      <c r="K610" s="27"/>
    </row>
    <row r="611" spans="1:11" x14ac:dyDescent="0.2">
      <c r="A611" s="26"/>
      <c r="B611" s="14" t="str">
        <f>IF(A611="","",CHOOSE(WEEKDAY(A611),"日","月","火","水","木","金","土"))</f>
        <v/>
      </c>
      <c r="C611" s="27"/>
      <c r="D611" s="27"/>
      <c r="E611" s="14" t="str">
        <f>IF(F611="","",IFERROR(INDEX(マスター!$F$5:$F$200,MATCH(F611,マスター!$E$5:$E$200,0)),"※マスター未登録"))</f>
        <v/>
      </c>
      <c r="F611" s="27"/>
      <c r="G611" s="27"/>
      <c r="H611" s="27"/>
      <c r="I611" s="27"/>
      <c r="J611" s="27"/>
      <c r="K611" s="27"/>
    </row>
    <row r="612" spans="1:11" x14ac:dyDescent="0.2">
      <c r="A612" s="26"/>
      <c r="B612" s="14" t="str">
        <f>IF(A612="","",CHOOSE(WEEKDAY(A612),"日","月","火","水","木","金","土"))</f>
        <v/>
      </c>
      <c r="C612" s="27"/>
      <c r="D612" s="27"/>
      <c r="E612" s="14" t="str">
        <f>IF(F612="","",IFERROR(INDEX(マスター!$F$5:$F$200,MATCH(F612,マスター!$E$5:$E$200,0)),"※マスター未登録"))</f>
        <v/>
      </c>
      <c r="F612" s="27"/>
      <c r="G612" s="27"/>
      <c r="H612" s="27"/>
      <c r="I612" s="27"/>
      <c r="J612" s="27"/>
      <c r="K612" s="27"/>
    </row>
    <row r="613" spans="1:11" x14ac:dyDescent="0.2">
      <c r="A613" s="26"/>
      <c r="B613" s="14" t="str">
        <f>IF(A613="","",CHOOSE(WEEKDAY(A613),"日","月","火","水","木","金","土"))</f>
        <v/>
      </c>
      <c r="C613" s="27"/>
      <c r="D613" s="27"/>
      <c r="E613" s="14" t="str">
        <f>IF(F613="","",IFERROR(INDEX(マスター!$F$5:$F$200,MATCH(F613,マスター!$E$5:$E$200,0)),"※マスター未登録"))</f>
        <v/>
      </c>
      <c r="F613" s="27"/>
      <c r="G613" s="27"/>
      <c r="H613" s="27"/>
      <c r="I613" s="27"/>
      <c r="J613" s="27"/>
      <c r="K613" s="27"/>
    </row>
    <row r="614" spans="1:11" x14ac:dyDescent="0.2">
      <c r="A614" s="26"/>
      <c r="B614" s="14" t="str">
        <f>IF(A614="","",CHOOSE(WEEKDAY(A614),"日","月","火","水","木","金","土"))</f>
        <v/>
      </c>
      <c r="C614" s="27"/>
      <c r="D614" s="27"/>
      <c r="E614" s="14" t="str">
        <f>IF(F614="","",IFERROR(INDEX(マスター!$F$5:$F$200,MATCH(F614,マスター!$E$5:$E$200,0)),"※マスター未登録"))</f>
        <v/>
      </c>
      <c r="F614" s="27"/>
      <c r="G614" s="27"/>
      <c r="H614" s="27"/>
      <c r="I614" s="27"/>
      <c r="J614" s="27"/>
      <c r="K614" s="27"/>
    </row>
    <row r="615" spans="1:11" x14ac:dyDescent="0.2">
      <c r="A615" s="26"/>
      <c r="B615" s="14" t="str">
        <f>IF(A615="","",CHOOSE(WEEKDAY(A615),"日","月","火","水","木","金","土"))</f>
        <v/>
      </c>
      <c r="C615" s="27"/>
      <c r="D615" s="27"/>
      <c r="E615" s="14" t="str">
        <f>IF(F615="","",IFERROR(INDEX(マスター!$F$5:$F$200,MATCH(F615,マスター!$E$5:$E$200,0)),"※マスター未登録"))</f>
        <v/>
      </c>
      <c r="F615" s="27"/>
      <c r="G615" s="27"/>
      <c r="H615" s="27"/>
      <c r="I615" s="27"/>
      <c r="J615" s="27"/>
      <c r="K615" s="27"/>
    </row>
    <row r="616" spans="1:11" x14ac:dyDescent="0.2">
      <c r="A616" s="26"/>
      <c r="B616" s="14" t="str">
        <f>IF(A616="","",CHOOSE(WEEKDAY(A616),"日","月","火","水","木","金","土"))</f>
        <v/>
      </c>
      <c r="C616" s="27"/>
      <c r="D616" s="27"/>
      <c r="E616" s="14" t="str">
        <f>IF(F616="","",IFERROR(INDEX(マスター!$F$5:$F$200,MATCH(F616,マスター!$E$5:$E$200,0)),"※マスター未登録"))</f>
        <v/>
      </c>
      <c r="F616" s="27"/>
      <c r="G616" s="27"/>
      <c r="H616" s="27"/>
      <c r="I616" s="27"/>
      <c r="J616" s="27"/>
      <c r="K616" s="27"/>
    </row>
    <row r="617" spans="1:11" x14ac:dyDescent="0.2">
      <c r="A617" s="26"/>
      <c r="B617" s="14" t="str">
        <f>IF(A617="","",CHOOSE(WEEKDAY(A617),"日","月","火","水","木","金","土"))</f>
        <v/>
      </c>
      <c r="C617" s="27"/>
      <c r="D617" s="27"/>
      <c r="E617" s="14" t="str">
        <f>IF(F617="","",IFERROR(INDEX(マスター!$F$5:$F$200,MATCH(F617,マスター!$E$5:$E$200,0)),"※マスター未登録"))</f>
        <v/>
      </c>
      <c r="F617" s="27"/>
      <c r="G617" s="27"/>
      <c r="H617" s="27"/>
      <c r="I617" s="27"/>
      <c r="J617" s="27"/>
      <c r="K617" s="27"/>
    </row>
    <row r="618" spans="1:11" x14ac:dyDescent="0.2">
      <c r="A618" s="26"/>
      <c r="B618" s="14" t="str">
        <f>IF(A618="","",CHOOSE(WEEKDAY(A618),"日","月","火","水","木","金","土"))</f>
        <v/>
      </c>
      <c r="C618" s="27"/>
      <c r="D618" s="27"/>
      <c r="E618" s="14" t="str">
        <f>IF(F618="","",IFERROR(INDEX(マスター!$F$5:$F$200,MATCH(F618,マスター!$E$5:$E$200,0)),"※マスター未登録"))</f>
        <v/>
      </c>
      <c r="F618" s="27"/>
      <c r="G618" s="27"/>
      <c r="H618" s="27"/>
      <c r="I618" s="27"/>
      <c r="J618" s="27"/>
      <c r="K618" s="27"/>
    </row>
    <row r="619" spans="1:11" x14ac:dyDescent="0.2">
      <c r="A619" s="26"/>
      <c r="B619" s="14" t="str">
        <f>IF(A619="","",CHOOSE(WEEKDAY(A619),"日","月","火","水","木","金","土"))</f>
        <v/>
      </c>
      <c r="C619" s="27"/>
      <c r="D619" s="27"/>
      <c r="E619" s="14" t="str">
        <f>IF(F619="","",IFERROR(INDEX(マスター!$F$5:$F$200,MATCH(F619,マスター!$E$5:$E$200,0)),"※マスター未登録"))</f>
        <v/>
      </c>
      <c r="F619" s="27"/>
      <c r="G619" s="27"/>
      <c r="H619" s="27"/>
      <c r="I619" s="27"/>
      <c r="J619" s="27"/>
      <c r="K619" s="27"/>
    </row>
    <row r="620" spans="1:11" x14ac:dyDescent="0.2">
      <c r="A620" s="26"/>
      <c r="B620" s="14" t="str">
        <f>IF(A620="","",CHOOSE(WEEKDAY(A620),"日","月","火","水","木","金","土"))</f>
        <v/>
      </c>
      <c r="C620" s="27"/>
      <c r="D620" s="27"/>
      <c r="E620" s="14" t="str">
        <f>IF(F620="","",IFERROR(INDEX(マスター!$F$5:$F$200,MATCH(F620,マスター!$E$5:$E$200,0)),"※マスター未登録"))</f>
        <v/>
      </c>
      <c r="F620" s="27"/>
      <c r="G620" s="27"/>
      <c r="H620" s="27"/>
      <c r="I620" s="27"/>
      <c r="J620" s="27"/>
      <c r="K620" s="27"/>
    </row>
    <row r="621" spans="1:11" x14ac:dyDescent="0.2">
      <c r="A621" s="26"/>
      <c r="B621" s="14" t="str">
        <f>IF(A621="","",CHOOSE(WEEKDAY(A621),"日","月","火","水","木","金","土"))</f>
        <v/>
      </c>
      <c r="C621" s="27"/>
      <c r="D621" s="27"/>
      <c r="E621" s="14" t="str">
        <f>IF(F621="","",IFERROR(INDEX(マスター!$F$5:$F$200,MATCH(F621,マスター!$E$5:$E$200,0)),"※マスター未登録"))</f>
        <v/>
      </c>
      <c r="F621" s="27"/>
      <c r="G621" s="27"/>
      <c r="H621" s="27"/>
      <c r="I621" s="27"/>
      <c r="J621" s="27"/>
      <c r="K621" s="27"/>
    </row>
    <row r="622" spans="1:11" x14ac:dyDescent="0.2">
      <c r="A622" s="26"/>
      <c r="B622" s="14" t="str">
        <f>IF(A622="","",CHOOSE(WEEKDAY(A622),"日","月","火","水","木","金","土"))</f>
        <v/>
      </c>
      <c r="C622" s="27"/>
      <c r="D622" s="27"/>
      <c r="E622" s="14" t="str">
        <f>IF(F622="","",IFERROR(INDEX(マスター!$F$5:$F$200,MATCH(F622,マスター!$E$5:$E$200,0)),"※マスター未登録"))</f>
        <v/>
      </c>
      <c r="F622" s="27"/>
      <c r="G622" s="27"/>
      <c r="H622" s="27"/>
      <c r="I622" s="27"/>
      <c r="J622" s="27"/>
      <c r="K622" s="27"/>
    </row>
    <row r="623" spans="1:11" x14ac:dyDescent="0.2">
      <c r="A623" s="26"/>
      <c r="B623" s="14" t="str">
        <f>IF(A623="","",CHOOSE(WEEKDAY(A623),"日","月","火","水","木","金","土"))</f>
        <v/>
      </c>
      <c r="C623" s="27"/>
      <c r="D623" s="27"/>
      <c r="E623" s="14" t="str">
        <f>IF(F623="","",IFERROR(INDEX(マスター!$F$5:$F$200,MATCH(F623,マスター!$E$5:$E$200,0)),"※マスター未登録"))</f>
        <v/>
      </c>
      <c r="F623" s="27"/>
      <c r="G623" s="27"/>
      <c r="H623" s="27"/>
      <c r="I623" s="27"/>
      <c r="J623" s="27"/>
      <c r="K623" s="27"/>
    </row>
    <row r="624" spans="1:11" x14ac:dyDescent="0.2">
      <c r="A624" s="26"/>
      <c r="B624" s="14" t="str">
        <f>IF(A624="","",CHOOSE(WEEKDAY(A624),"日","月","火","水","木","金","土"))</f>
        <v/>
      </c>
      <c r="C624" s="27"/>
      <c r="D624" s="27"/>
      <c r="E624" s="14" t="str">
        <f>IF(F624="","",IFERROR(INDEX(マスター!$F$5:$F$200,MATCH(F624,マスター!$E$5:$E$200,0)),"※マスター未登録"))</f>
        <v/>
      </c>
      <c r="F624" s="27"/>
      <c r="G624" s="27"/>
      <c r="H624" s="27"/>
      <c r="I624" s="27"/>
      <c r="J624" s="27"/>
      <c r="K624" s="27"/>
    </row>
    <row r="625" spans="1:11" x14ac:dyDescent="0.2">
      <c r="A625" s="26"/>
      <c r="B625" s="14" t="str">
        <f>IF(A625="","",CHOOSE(WEEKDAY(A625),"日","月","火","水","木","金","土"))</f>
        <v/>
      </c>
      <c r="C625" s="27"/>
      <c r="D625" s="27"/>
      <c r="E625" s="14" t="str">
        <f>IF(F625="","",IFERROR(INDEX(マスター!$F$5:$F$200,MATCH(F625,マスター!$E$5:$E$200,0)),"※マスター未登録"))</f>
        <v/>
      </c>
      <c r="F625" s="27"/>
      <c r="G625" s="27"/>
      <c r="H625" s="27"/>
      <c r="I625" s="27"/>
      <c r="J625" s="27"/>
      <c r="K625" s="27"/>
    </row>
    <row r="626" spans="1:11" x14ac:dyDescent="0.2">
      <c r="A626" s="26"/>
      <c r="B626" s="14" t="str">
        <f>IF(A626="","",CHOOSE(WEEKDAY(A626),"日","月","火","水","木","金","土"))</f>
        <v/>
      </c>
      <c r="C626" s="27"/>
      <c r="D626" s="27"/>
      <c r="E626" s="14" t="str">
        <f>IF(F626="","",IFERROR(INDEX(マスター!$F$5:$F$200,MATCH(F626,マスター!$E$5:$E$200,0)),"※マスター未登録"))</f>
        <v/>
      </c>
      <c r="F626" s="27"/>
      <c r="G626" s="27"/>
      <c r="H626" s="27"/>
      <c r="I626" s="27"/>
      <c r="J626" s="27"/>
      <c r="K626" s="27"/>
    </row>
    <row r="627" spans="1:11" x14ac:dyDescent="0.2">
      <c r="A627" s="26"/>
      <c r="B627" s="14" t="str">
        <f>IF(A627="","",CHOOSE(WEEKDAY(A627),"日","月","火","水","木","金","土"))</f>
        <v/>
      </c>
      <c r="C627" s="27"/>
      <c r="D627" s="27"/>
      <c r="E627" s="14" t="str">
        <f>IF(F627="","",IFERROR(INDEX(マスター!$F$5:$F$200,MATCH(F627,マスター!$E$5:$E$200,0)),"※マスター未登録"))</f>
        <v/>
      </c>
      <c r="F627" s="27"/>
      <c r="G627" s="27"/>
      <c r="H627" s="27"/>
      <c r="I627" s="27"/>
      <c r="J627" s="27"/>
      <c r="K627" s="27"/>
    </row>
    <row r="628" spans="1:11" x14ac:dyDescent="0.2">
      <c r="A628" s="26"/>
      <c r="B628" s="14" t="str">
        <f>IF(A628="","",CHOOSE(WEEKDAY(A628),"日","月","火","水","木","金","土"))</f>
        <v/>
      </c>
      <c r="C628" s="27"/>
      <c r="D628" s="27"/>
      <c r="E628" s="14" t="str">
        <f>IF(F628="","",IFERROR(INDEX(マスター!$F$5:$F$200,MATCH(F628,マスター!$E$5:$E$200,0)),"※マスター未登録"))</f>
        <v/>
      </c>
      <c r="F628" s="27"/>
      <c r="G628" s="27"/>
      <c r="H628" s="27"/>
      <c r="I628" s="27"/>
      <c r="J628" s="27"/>
      <c r="K628" s="27"/>
    </row>
    <row r="629" spans="1:11" x14ac:dyDescent="0.2">
      <c r="A629" s="26"/>
      <c r="B629" s="14" t="str">
        <f>IF(A629="","",CHOOSE(WEEKDAY(A629),"日","月","火","水","木","金","土"))</f>
        <v/>
      </c>
      <c r="C629" s="27"/>
      <c r="D629" s="27"/>
      <c r="E629" s="14" t="str">
        <f>IF(F629="","",IFERROR(INDEX(マスター!$F$5:$F$200,MATCH(F629,マスター!$E$5:$E$200,0)),"※マスター未登録"))</f>
        <v/>
      </c>
      <c r="F629" s="27"/>
      <c r="G629" s="27"/>
      <c r="H629" s="27"/>
      <c r="I629" s="27"/>
      <c r="J629" s="27"/>
      <c r="K629" s="27"/>
    </row>
    <row r="630" spans="1:11" x14ac:dyDescent="0.2">
      <c r="A630" s="26"/>
      <c r="B630" s="14" t="str">
        <f>IF(A630="","",CHOOSE(WEEKDAY(A630),"日","月","火","水","木","金","土"))</f>
        <v/>
      </c>
      <c r="C630" s="27"/>
      <c r="D630" s="27"/>
      <c r="E630" s="14" t="str">
        <f>IF(F630="","",IFERROR(INDEX(マスター!$F$5:$F$200,MATCH(F630,マスター!$E$5:$E$200,0)),"※マスター未登録"))</f>
        <v/>
      </c>
      <c r="F630" s="27"/>
      <c r="G630" s="27"/>
      <c r="H630" s="27"/>
      <c r="I630" s="27"/>
      <c r="J630" s="27"/>
      <c r="K630" s="27"/>
    </row>
    <row r="631" spans="1:11" x14ac:dyDescent="0.2">
      <c r="A631" s="26"/>
      <c r="B631" s="14" t="str">
        <f>IF(A631="","",CHOOSE(WEEKDAY(A631),"日","月","火","水","木","金","土"))</f>
        <v/>
      </c>
      <c r="C631" s="27"/>
      <c r="D631" s="27"/>
      <c r="E631" s="14" t="str">
        <f>IF(F631="","",IFERROR(INDEX(マスター!$F$5:$F$200,MATCH(F631,マスター!$E$5:$E$200,0)),"※マスター未登録"))</f>
        <v/>
      </c>
      <c r="F631" s="27"/>
      <c r="G631" s="27"/>
      <c r="H631" s="27"/>
      <c r="I631" s="27"/>
      <c r="J631" s="27"/>
      <c r="K631" s="27"/>
    </row>
    <row r="632" spans="1:11" x14ac:dyDescent="0.2">
      <c r="A632" s="26"/>
      <c r="B632" s="14" t="str">
        <f>IF(A632="","",CHOOSE(WEEKDAY(A632),"日","月","火","水","木","金","土"))</f>
        <v/>
      </c>
      <c r="C632" s="27"/>
      <c r="D632" s="27"/>
      <c r="E632" s="14" t="str">
        <f>IF(F632="","",IFERROR(INDEX(マスター!$F$5:$F$200,MATCH(F632,マスター!$E$5:$E$200,0)),"※マスター未登録"))</f>
        <v/>
      </c>
      <c r="F632" s="27"/>
      <c r="G632" s="27"/>
      <c r="H632" s="27"/>
      <c r="I632" s="27"/>
      <c r="J632" s="27"/>
      <c r="K632" s="27"/>
    </row>
    <row r="633" spans="1:11" x14ac:dyDescent="0.2">
      <c r="A633" s="26"/>
      <c r="B633" s="14" t="str">
        <f>IF(A633="","",CHOOSE(WEEKDAY(A633),"日","月","火","水","木","金","土"))</f>
        <v/>
      </c>
      <c r="C633" s="27"/>
      <c r="D633" s="27"/>
      <c r="E633" s="14" t="str">
        <f>IF(F633="","",IFERROR(INDEX(マスター!$F$5:$F$200,MATCH(F633,マスター!$E$5:$E$200,0)),"※マスター未登録"))</f>
        <v/>
      </c>
      <c r="F633" s="27"/>
      <c r="G633" s="27"/>
      <c r="H633" s="27"/>
      <c r="I633" s="27"/>
      <c r="J633" s="27"/>
      <c r="K633" s="27"/>
    </row>
    <row r="634" spans="1:11" x14ac:dyDescent="0.2">
      <c r="A634" s="26"/>
      <c r="B634" s="14" t="str">
        <f>IF(A634="","",CHOOSE(WEEKDAY(A634),"日","月","火","水","木","金","土"))</f>
        <v/>
      </c>
      <c r="C634" s="27"/>
      <c r="D634" s="27"/>
      <c r="E634" s="14" t="str">
        <f>IF(F634="","",IFERROR(INDEX(マスター!$F$5:$F$200,MATCH(F634,マスター!$E$5:$E$200,0)),"※マスター未登録"))</f>
        <v/>
      </c>
      <c r="F634" s="27"/>
      <c r="G634" s="27"/>
      <c r="H634" s="27"/>
      <c r="I634" s="27"/>
      <c r="J634" s="27"/>
      <c r="K634" s="27"/>
    </row>
    <row r="635" spans="1:11" x14ac:dyDescent="0.2">
      <c r="A635" s="26"/>
      <c r="B635" s="14" t="str">
        <f>IF(A635="","",CHOOSE(WEEKDAY(A635),"日","月","火","水","木","金","土"))</f>
        <v/>
      </c>
      <c r="C635" s="27"/>
      <c r="D635" s="27"/>
      <c r="E635" s="14" t="str">
        <f>IF(F635="","",IFERROR(INDEX(マスター!$F$5:$F$200,MATCH(F635,マスター!$E$5:$E$200,0)),"※マスター未登録"))</f>
        <v/>
      </c>
      <c r="F635" s="27"/>
      <c r="G635" s="27"/>
      <c r="H635" s="27"/>
      <c r="I635" s="27"/>
      <c r="J635" s="27"/>
      <c r="K635" s="27"/>
    </row>
    <row r="636" spans="1:11" x14ac:dyDescent="0.2">
      <c r="A636" s="26"/>
      <c r="B636" s="14" t="str">
        <f>IF(A636="","",CHOOSE(WEEKDAY(A636),"日","月","火","水","木","金","土"))</f>
        <v/>
      </c>
      <c r="C636" s="27"/>
      <c r="D636" s="27"/>
      <c r="E636" s="14" t="str">
        <f>IF(F636="","",IFERROR(INDEX(マスター!$F$5:$F$200,MATCH(F636,マスター!$E$5:$E$200,0)),"※マスター未登録"))</f>
        <v/>
      </c>
      <c r="F636" s="27"/>
      <c r="G636" s="27"/>
      <c r="H636" s="27"/>
      <c r="I636" s="27"/>
      <c r="J636" s="27"/>
      <c r="K636" s="27"/>
    </row>
    <row r="637" spans="1:11" x14ac:dyDescent="0.2">
      <c r="A637" s="26"/>
      <c r="B637" s="14" t="str">
        <f>IF(A637="","",CHOOSE(WEEKDAY(A637),"日","月","火","水","木","金","土"))</f>
        <v/>
      </c>
      <c r="C637" s="27"/>
      <c r="D637" s="27"/>
      <c r="E637" s="14" t="str">
        <f>IF(F637="","",IFERROR(INDEX(マスター!$F$5:$F$200,MATCH(F637,マスター!$E$5:$E$200,0)),"※マスター未登録"))</f>
        <v/>
      </c>
      <c r="F637" s="27"/>
      <c r="G637" s="27"/>
      <c r="H637" s="27"/>
      <c r="I637" s="27"/>
      <c r="J637" s="27"/>
      <c r="K637" s="27"/>
    </row>
    <row r="638" spans="1:11" x14ac:dyDescent="0.2">
      <c r="A638" s="26"/>
      <c r="B638" s="14" t="str">
        <f>IF(A638="","",CHOOSE(WEEKDAY(A638),"日","月","火","水","木","金","土"))</f>
        <v/>
      </c>
      <c r="C638" s="27"/>
      <c r="D638" s="27"/>
      <c r="E638" s="14" t="str">
        <f>IF(F638="","",IFERROR(INDEX(マスター!$F$5:$F$200,MATCH(F638,マスター!$E$5:$E$200,0)),"※マスター未登録"))</f>
        <v/>
      </c>
      <c r="F638" s="27"/>
      <c r="G638" s="27"/>
      <c r="H638" s="27"/>
      <c r="I638" s="27"/>
      <c r="J638" s="27"/>
      <c r="K638" s="27"/>
    </row>
    <row r="639" spans="1:11" x14ac:dyDescent="0.2">
      <c r="A639" s="26"/>
      <c r="B639" s="14" t="str">
        <f>IF(A639="","",CHOOSE(WEEKDAY(A639),"日","月","火","水","木","金","土"))</f>
        <v/>
      </c>
      <c r="C639" s="27"/>
      <c r="D639" s="27"/>
      <c r="E639" s="14" t="str">
        <f>IF(F639="","",IFERROR(INDEX(マスター!$F$5:$F$200,MATCH(F639,マスター!$E$5:$E$200,0)),"※マスター未登録"))</f>
        <v/>
      </c>
      <c r="F639" s="27"/>
      <c r="G639" s="27"/>
      <c r="H639" s="27"/>
      <c r="I639" s="27"/>
      <c r="J639" s="27"/>
      <c r="K639" s="27"/>
    </row>
    <row r="640" spans="1:11" x14ac:dyDescent="0.2">
      <c r="A640" s="26"/>
      <c r="B640" s="14" t="str">
        <f>IF(A640="","",CHOOSE(WEEKDAY(A640),"日","月","火","水","木","金","土"))</f>
        <v/>
      </c>
      <c r="C640" s="27"/>
      <c r="D640" s="27"/>
      <c r="E640" s="14" t="str">
        <f>IF(F640="","",IFERROR(INDEX(マスター!$F$5:$F$200,MATCH(F640,マスター!$E$5:$E$200,0)),"※マスター未登録"))</f>
        <v/>
      </c>
      <c r="F640" s="27"/>
      <c r="G640" s="27"/>
      <c r="H640" s="27"/>
      <c r="I640" s="27"/>
      <c r="J640" s="27"/>
      <c r="K640" s="27"/>
    </row>
    <row r="641" spans="1:11" x14ac:dyDescent="0.2">
      <c r="A641" s="26"/>
      <c r="B641" s="14" t="str">
        <f>IF(A641="","",CHOOSE(WEEKDAY(A641),"日","月","火","水","木","金","土"))</f>
        <v/>
      </c>
      <c r="C641" s="27"/>
      <c r="D641" s="27"/>
      <c r="E641" s="14" t="str">
        <f>IF(F641="","",IFERROR(INDEX(マスター!$F$5:$F$200,MATCH(F641,マスター!$E$5:$E$200,0)),"※マスター未登録"))</f>
        <v/>
      </c>
      <c r="F641" s="27"/>
      <c r="G641" s="27"/>
      <c r="H641" s="27"/>
      <c r="I641" s="27"/>
      <c r="J641" s="27"/>
      <c r="K641" s="27"/>
    </row>
    <row r="642" spans="1:11" x14ac:dyDescent="0.2">
      <c r="A642" s="26"/>
      <c r="B642" s="14" t="str">
        <f>IF(A642="","",CHOOSE(WEEKDAY(A642),"日","月","火","水","木","金","土"))</f>
        <v/>
      </c>
      <c r="C642" s="27"/>
      <c r="D642" s="27"/>
      <c r="E642" s="14" t="str">
        <f>IF(F642="","",IFERROR(INDEX(マスター!$F$5:$F$200,MATCH(F642,マスター!$E$5:$E$200,0)),"※マスター未登録"))</f>
        <v/>
      </c>
      <c r="F642" s="27"/>
      <c r="G642" s="27"/>
      <c r="H642" s="27"/>
      <c r="I642" s="27"/>
      <c r="J642" s="27"/>
      <c r="K642" s="27"/>
    </row>
    <row r="643" spans="1:11" x14ac:dyDescent="0.2">
      <c r="A643" s="26"/>
      <c r="B643" s="14" t="str">
        <f>IF(A643="","",CHOOSE(WEEKDAY(A643),"日","月","火","水","木","金","土"))</f>
        <v/>
      </c>
      <c r="C643" s="27"/>
      <c r="D643" s="27"/>
      <c r="E643" s="14" t="str">
        <f>IF(F643="","",IFERROR(INDEX(マスター!$F$5:$F$200,MATCH(F643,マスター!$E$5:$E$200,0)),"※マスター未登録"))</f>
        <v/>
      </c>
      <c r="F643" s="27"/>
      <c r="G643" s="27"/>
      <c r="H643" s="27"/>
      <c r="I643" s="27"/>
      <c r="J643" s="27"/>
      <c r="K643" s="27"/>
    </row>
    <row r="644" spans="1:11" x14ac:dyDescent="0.2">
      <c r="A644" s="26"/>
      <c r="B644" s="14" t="str">
        <f>IF(A644="","",CHOOSE(WEEKDAY(A644),"日","月","火","水","木","金","土"))</f>
        <v/>
      </c>
      <c r="C644" s="27"/>
      <c r="D644" s="27"/>
      <c r="E644" s="14" t="str">
        <f>IF(F644="","",IFERROR(INDEX(マスター!$F$5:$F$200,MATCH(F644,マスター!$E$5:$E$200,0)),"※マスター未登録"))</f>
        <v/>
      </c>
      <c r="F644" s="27"/>
      <c r="G644" s="27"/>
      <c r="H644" s="27"/>
      <c r="I644" s="27"/>
      <c r="J644" s="27"/>
      <c r="K644" s="27"/>
    </row>
    <row r="645" spans="1:11" x14ac:dyDescent="0.2">
      <c r="A645" s="26"/>
      <c r="B645" s="14" t="str">
        <f>IF(A645="","",CHOOSE(WEEKDAY(A645),"日","月","火","水","木","金","土"))</f>
        <v/>
      </c>
      <c r="C645" s="27"/>
      <c r="D645" s="27"/>
      <c r="E645" s="14" t="str">
        <f>IF(F645="","",IFERROR(INDEX(マスター!$F$5:$F$200,MATCH(F645,マスター!$E$5:$E$200,0)),"※マスター未登録"))</f>
        <v/>
      </c>
      <c r="F645" s="27"/>
      <c r="G645" s="27"/>
      <c r="H645" s="27"/>
      <c r="I645" s="27"/>
      <c r="J645" s="27"/>
      <c r="K645" s="27"/>
    </row>
    <row r="646" spans="1:11" x14ac:dyDescent="0.2">
      <c r="A646" s="26"/>
      <c r="B646" s="14" t="str">
        <f>IF(A646="","",CHOOSE(WEEKDAY(A646),"日","月","火","水","木","金","土"))</f>
        <v/>
      </c>
      <c r="C646" s="27"/>
      <c r="D646" s="27"/>
      <c r="E646" s="14" t="str">
        <f>IF(F646="","",IFERROR(INDEX(マスター!$F$5:$F$200,MATCH(F646,マスター!$E$5:$E$200,0)),"※マスター未登録"))</f>
        <v/>
      </c>
      <c r="F646" s="27"/>
      <c r="G646" s="27"/>
      <c r="H646" s="27"/>
      <c r="I646" s="27"/>
      <c r="J646" s="27"/>
      <c r="K646" s="27"/>
    </row>
    <row r="647" spans="1:11" x14ac:dyDescent="0.2">
      <c r="A647" s="26"/>
      <c r="B647" s="14" t="str">
        <f>IF(A647="","",CHOOSE(WEEKDAY(A647),"日","月","火","水","木","金","土"))</f>
        <v/>
      </c>
      <c r="C647" s="27"/>
      <c r="D647" s="27"/>
      <c r="E647" s="14" t="str">
        <f>IF(F647="","",IFERROR(INDEX(マスター!$F$5:$F$200,MATCH(F647,マスター!$E$5:$E$200,0)),"※マスター未登録"))</f>
        <v/>
      </c>
      <c r="F647" s="27"/>
      <c r="G647" s="27"/>
      <c r="H647" s="27"/>
      <c r="I647" s="27"/>
      <c r="J647" s="27"/>
      <c r="K647" s="27"/>
    </row>
    <row r="648" spans="1:11" x14ac:dyDescent="0.2">
      <c r="A648" s="26"/>
      <c r="B648" s="14" t="str">
        <f>IF(A648="","",CHOOSE(WEEKDAY(A648),"日","月","火","水","木","金","土"))</f>
        <v/>
      </c>
      <c r="C648" s="27"/>
      <c r="D648" s="27"/>
      <c r="E648" s="14" t="str">
        <f>IF(F648="","",IFERROR(INDEX(マスター!$F$5:$F$200,MATCH(F648,マスター!$E$5:$E$200,0)),"※マスター未登録"))</f>
        <v/>
      </c>
      <c r="F648" s="27"/>
      <c r="G648" s="27"/>
      <c r="H648" s="27"/>
      <c r="I648" s="27"/>
      <c r="J648" s="27"/>
      <c r="K648" s="27"/>
    </row>
    <row r="649" spans="1:11" x14ac:dyDescent="0.2">
      <c r="A649" s="26"/>
      <c r="B649" s="14" t="str">
        <f>IF(A649="","",CHOOSE(WEEKDAY(A649),"日","月","火","水","木","金","土"))</f>
        <v/>
      </c>
      <c r="C649" s="27"/>
      <c r="D649" s="27"/>
      <c r="E649" s="14" t="str">
        <f>IF(F649="","",IFERROR(INDEX(マスター!$F$5:$F$200,MATCH(F649,マスター!$E$5:$E$200,0)),"※マスター未登録"))</f>
        <v/>
      </c>
      <c r="F649" s="27"/>
      <c r="G649" s="27"/>
      <c r="H649" s="27"/>
      <c r="I649" s="27"/>
      <c r="J649" s="27"/>
      <c r="K649" s="27"/>
    </row>
    <row r="650" spans="1:11" x14ac:dyDescent="0.2">
      <c r="A650" s="26"/>
      <c r="B650" s="14" t="str">
        <f>IF(A650="","",CHOOSE(WEEKDAY(A650),"日","月","火","水","木","金","土"))</f>
        <v/>
      </c>
      <c r="C650" s="27"/>
      <c r="D650" s="27"/>
      <c r="E650" s="14" t="str">
        <f>IF(F650="","",IFERROR(INDEX(マスター!$F$5:$F$200,MATCH(F650,マスター!$E$5:$E$200,0)),"※マスター未登録"))</f>
        <v/>
      </c>
      <c r="F650" s="27"/>
      <c r="G650" s="27"/>
      <c r="H650" s="27"/>
      <c r="I650" s="27"/>
      <c r="J650" s="27"/>
      <c r="K650" s="27"/>
    </row>
    <row r="651" spans="1:11" x14ac:dyDescent="0.2">
      <c r="A651" s="26"/>
      <c r="B651" s="14" t="str">
        <f>IF(A651="","",CHOOSE(WEEKDAY(A651),"日","月","火","水","木","金","土"))</f>
        <v/>
      </c>
      <c r="C651" s="27"/>
      <c r="D651" s="27"/>
      <c r="E651" s="14" t="str">
        <f>IF(F651="","",IFERROR(INDEX(マスター!$F$5:$F$200,MATCH(F651,マスター!$E$5:$E$200,0)),"※マスター未登録"))</f>
        <v/>
      </c>
      <c r="F651" s="27"/>
      <c r="G651" s="27"/>
      <c r="H651" s="27"/>
      <c r="I651" s="27"/>
      <c r="J651" s="27"/>
      <c r="K651" s="27"/>
    </row>
    <row r="652" spans="1:11" x14ac:dyDescent="0.2">
      <c r="A652" s="26"/>
      <c r="B652" s="14" t="str">
        <f>IF(A652="","",CHOOSE(WEEKDAY(A652),"日","月","火","水","木","金","土"))</f>
        <v/>
      </c>
      <c r="C652" s="27"/>
      <c r="D652" s="27"/>
      <c r="E652" s="14" t="str">
        <f>IF(F652="","",IFERROR(INDEX(マスター!$F$5:$F$200,MATCH(F652,マスター!$E$5:$E$200,0)),"※マスター未登録"))</f>
        <v/>
      </c>
      <c r="F652" s="27"/>
      <c r="G652" s="27"/>
      <c r="H652" s="27"/>
      <c r="I652" s="27"/>
      <c r="J652" s="27"/>
      <c r="K652" s="27"/>
    </row>
    <row r="653" spans="1:11" x14ac:dyDescent="0.2">
      <c r="A653" s="26"/>
      <c r="B653" s="14" t="str">
        <f>IF(A653="","",CHOOSE(WEEKDAY(A653),"日","月","火","水","木","金","土"))</f>
        <v/>
      </c>
      <c r="C653" s="27"/>
      <c r="D653" s="27"/>
      <c r="E653" s="14" t="str">
        <f>IF(F653="","",IFERROR(INDEX(マスター!$F$5:$F$200,MATCH(F653,マスター!$E$5:$E$200,0)),"※マスター未登録"))</f>
        <v/>
      </c>
      <c r="F653" s="27"/>
      <c r="G653" s="27"/>
      <c r="H653" s="27"/>
      <c r="I653" s="27"/>
      <c r="J653" s="27"/>
      <c r="K653" s="27"/>
    </row>
    <row r="654" spans="1:11" x14ac:dyDescent="0.2">
      <c r="A654" s="26"/>
      <c r="B654" s="14" t="str">
        <f>IF(A654="","",CHOOSE(WEEKDAY(A654),"日","月","火","水","木","金","土"))</f>
        <v/>
      </c>
      <c r="C654" s="27"/>
      <c r="D654" s="27"/>
      <c r="E654" s="14" t="str">
        <f>IF(F654="","",IFERROR(INDEX(マスター!$F$5:$F$200,MATCH(F654,マスター!$E$5:$E$200,0)),"※マスター未登録"))</f>
        <v/>
      </c>
      <c r="F654" s="27"/>
      <c r="G654" s="27"/>
      <c r="H654" s="27"/>
      <c r="I654" s="27"/>
      <c r="J654" s="27"/>
      <c r="K654" s="27"/>
    </row>
    <row r="655" spans="1:11" x14ac:dyDescent="0.2">
      <c r="A655" s="26"/>
      <c r="B655" s="14" t="str">
        <f>IF(A655="","",CHOOSE(WEEKDAY(A655),"日","月","火","水","木","金","土"))</f>
        <v/>
      </c>
      <c r="C655" s="27"/>
      <c r="D655" s="27"/>
      <c r="E655" s="14" t="str">
        <f>IF(F655="","",IFERROR(INDEX(マスター!$F$5:$F$200,MATCH(F655,マスター!$E$5:$E$200,0)),"※マスター未登録"))</f>
        <v/>
      </c>
      <c r="F655" s="27"/>
      <c r="G655" s="27"/>
      <c r="H655" s="27"/>
      <c r="I655" s="27"/>
      <c r="J655" s="27"/>
      <c r="K655" s="27"/>
    </row>
    <row r="656" spans="1:11" x14ac:dyDescent="0.2">
      <c r="A656" s="26"/>
      <c r="B656" s="14" t="str">
        <f>IF(A656="","",CHOOSE(WEEKDAY(A656),"日","月","火","水","木","金","土"))</f>
        <v/>
      </c>
      <c r="C656" s="27"/>
      <c r="D656" s="27"/>
      <c r="E656" s="14" t="str">
        <f>IF(F656="","",IFERROR(INDEX(マスター!$F$5:$F$200,MATCH(F656,マスター!$E$5:$E$200,0)),"※マスター未登録"))</f>
        <v/>
      </c>
      <c r="F656" s="27"/>
      <c r="G656" s="27"/>
      <c r="H656" s="27"/>
      <c r="I656" s="27"/>
      <c r="J656" s="27"/>
      <c r="K656" s="27"/>
    </row>
    <row r="657" spans="1:11" x14ac:dyDescent="0.2">
      <c r="A657" s="26"/>
      <c r="B657" s="14" t="str">
        <f>IF(A657="","",CHOOSE(WEEKDAY(A657),"日","月","火","水","木","金","土"))</f>
        <v/>
      </c>
      <c r="C657" s="27"/>
      <c r="D657" s="27"/>
      <c r="E657" s="14" t="str">
        <f>IF(F657="","",IFERROR(INDEX(マスター!$F$5:$F$200,MATCH(F657,マスター!$E$5:$E$200,0)),"※マスター未登録"))</f>
        <v/>
      </c>
      <c r="F657" s="27"/>
      <c r="G657" s="27"/>
      <c r="H657" s="27"/>
      <c r="I657" s="27"/>
      <c r="J657" s="27"/>
      <c r="K657" s="27"/>
    </row>
    <row r="658" spans="1:11" x14ac:dyDescent="0.2">
      <c r="A658" s="26"/>
      <c r="B658" s="14" t="str">
        <f>IF(A658="","",CHOOSE(WEEKDAY(A658),"日","月","火","水","木","金","土"))</f>
        <v/>
      </c>
      <c r="C658" s="27"/>
      <c r="D658" s="27"/>
      <c r="E658" s="14" t="str">
        <f>IF(F658="","",IFERROR(INDEX(マスター!$F$5:$F$200,MATCH(F658,マスター!$E$5:$E$200,0)),"※マスター未登録"))</f>
        <v/>
      </c>
      <c r="F658" s="27"/>
      <c r="G658" s="27"/>
      <c r="H658" s="27"/>
      <c r="I658" s="27"/>
      <c r="J658" s="27"/>
      <c r="K658" s="27"/>
    </row>
    <row r="659" spans="1:11" x14ac:dyDescent="0.2">
      <c r="A659" s="26"/>
      <c r="B659" s="14" t="str">
        <f>IF(A659="","",CHOOSE(WEEKDAY(A659),"日","月","火","水","木","金","土"))</f>
        <v/>
      </c>
      <c r="C659" s="27"/>
      <c r="D659" s="27"/>
      <c r="E659" s="14" t="str">
        <f>IF(F659="","",IFERROR(INDEX(マスター!$F$5:$F$200,MATCH(F659,マスター!$E$5:$E$200,0)),"※マスター未登録"))</f>
        <v/>
      </c>
      <c r="F659" s="27"/>
      <c r="G659" s="27"/>
      <c r="H659" s="27"/>
      <c r="I659" s="27"/>
      <c r="J659" s="27"/>
      <c r="K659" s="27"/>
    </row>
    <row r="660" spans="1:11" x14ac:dyDescent="0.2">
      <c r="A660" s="26"/>
      <c r="B660" s="14" t="str">
        <f>IF(A660="","",CHOOSE(WEEKDAY(A660),"日","月","火","水","木","金","土"))</f>
        <v/>
      </c>
      <c r="C660" s="27"/>
      <c r="D660" s="27"/>
      <c r="E660" s="14" t="str">
        <f>IF(F660="","",IFERROR(INDEX(マスター!$F$5:$F$200,MATCH(F660,マスター!$E$5:$E$200,0)),"※マスター未登録"))</f>
        <v/>
      </c>
      <c r="F660" s="27"/>
      <c r="G660" s="27"/>
      <c r="H660" s="27"/>
      <c r="I660" s="27"/>
      <c r="J660" s="27"/>
      <c r="K660" s="27"/>
    </row>
    <row r="661" spans="1:11" x14ac:dyDescent="0.2">
      <c r="A661" s="26"/>
      <c r="B661" s="14" t="str">
        <f>IF(A661="","",CHOOSE(WEEKDAY(A661),"日","月","火","水","木","金","土"))</f>
        <v/>
      </c>
      <c r="C661" s="27"/>
      <c r="D661" s="27"/>
      <c r="E661" s="14" t="str">
        <f>IF(F661="","",IFERROR(INDEX(マスター!$F$5:$F$200,MATCH(F661,マスター!$E$5:$E$200,0)),"※マスター未登録"))</f>
        <v/>
      </c>
      <c r="F661" s="27"/>
      <c r="G661" s="27"/>
      <c r="H661" s="27"/>
      <c r="I661" s="27"/>
      <c r="J661" s="27"/>
      <c r="K661" s="27"/>
    </row>
    <row r="662" spans="1:11" x14ac:dyDescent="0.2">
      <c r="A662" s="26"/>
      <c r="B662" s="14" t="str">
        <f>IF(A662="","",CHOOSE(WEEKDAY(A662),"日","月","火","水","木","金","土"))</f>
        <v/>
      </c>
      <c r="C662" s="27"/>
      <c r="D662" s="27"/>
      <c r="E662" s="14" t="str">
        <f>IF(F662="","",IFERROR(INDEX(マスター!$F$5:$F$200,MATCH(F662,マスター!$E$5:$E$200,0)),"※マスター未登録"))</f>
        <v/>
      </c>
      <c r="F662" s="27"/>
      <c r="G662" s="27"/>
      <c r="H662" s="27"/>
      <c r="I662" s="27"/>
      <c r="J662" s="27"/>
      <c r="K662" s="27"/>
    </row>
    <row r="663" spans="1:11" x14ac:dyDescent="0.2">
      <c r="A663" s="26"/>
      <c r="B663" s="14" t="str">
        <f>IF(A663="","",CHOOSE(WEEKDAY(A663),"日","月","火","水","木","金","土"))</f>
        <v/>
      </c>
      <c r="C663" s="27"/>
      <c r="D663" s="27"/>
      <c r="E663" s="14" t="str">
        <f>IF(F663="","",IFERROR(INDEX(マスター!$F$5:$F$200,MATCH(F663,マスター!$E$5:$E$200,0)),"※マスター未登録"))</f>
        <v/>
      </c>
      <c r="F663" s="27"/>
      <c r="G663" s="27"/>
      <c r="H663" s="27"/>
      <c r="I663" s="27"/>
      <c r="J663" s="27"/>
      <c r="K663" s="27"/>
    </row>
    <row r="664" spans="1:11" x14ac:dyDescent="0.2">
      <c r="A664" s="26"/>
      <c r="B664" s="14" t="str">
        <f>IF(A664="","",CHOOSE(WEEKDAY(A664),"日","月","火","水","木","金","土"))</f>
        <v/>
      </c>
      <c r="C664" s="27"/>
      <c r="D664" s="27"/>
      <c r="E664" s="14" t="str">
        <f>IF(F664="","",IFERROR(INDEX(マスター!$F$5:$F$200,MATCH(F664,マスター!$E$5:$E$200,0)),"※マスター未登録"))</f>
        <v/>
      </c>
      <c r="F664" s="27"/>
      <c r="G664" s="27"/>
      <c r="H664" s="27"/>
      <c r="I664" s="27"/>
      <c r="J664" s="27"/>
      <c r="K664" s="27"/>
    </row>
    <row r="665" spans="1:11" x14ac:dyDescent="0.2">
      <c r="A665" s="26"/>
      <c r="B665" s="14" t="str">
        <f>IF(A665="","",CHOOSE(WEEKDAY(A665),"日","月","火","水","木","金","土"))</f>
        <v/>
      </c>
      <c r="C665" s="27"/>
      <c r="D665" s="27"/>
      <c r="E665" s="14" t="str">
        <f>IF(F665="","",IFERROR(INDEX(マスター!$F$5:$F$200,MATCH(F665,マスター!$E$5:$E$200,0)),"※マスター未登録"))</f>
        <v/>
      </c>
      <c r="F665" s="27"/>
      <c r="G665" s="27"/>
      <c r="H665" s="27"/>
      <c r="I665" s="27"/>
      <c r="J665" s="27"/>
      <c r="K665" s="27"/>
    </row>
    <row r="666" spans="1:11" x14ac:dyDescent="0.2">
      <c r="A666" s="26"/>
      <c r="B666" s="14" t="str">
        <f>IF(A666="","",CHOOSE(WEEKDAY(A666),"日","月","火","水","木","金","土"))</f>
        <v/>
      </c>
      <c r="C666" s="27"/>
      <c r="D666" s="27"/>
      <c r="E666" s="14" t="str">
        <f>IF(F666="","",IFERROR(INDEX(マスター!$F$5:$F$200,MATCH(F666,マスター!$E$5:$E$200,0)),"※マスター未登録"))</f>
        <v/>
      </c>
      <c r="F666" s="27"/>
      <c r="G666" s="27"/>
      <c r="H666" s="27"/>
      <c r="I666" s="27"/>
      <c r="J666" s="27"/>
      <c r="K666" s="27"/>
    </row>
    <row r="667" spans="1:11" x14ac:dyDescent="0.2">
      <c r="A667" s="26"/>
      <c r="B667" s="14" t="str">
        <f>IF(A667="","",CHOOSE(WEEKDAY(A667),"日","月","火","水","木","金","土"))</f>
        <v/>
      </c>
      <c r="C667" s="27"/>
      <c r="D667" s="27"/>
      <c r="E667" s="14" t="str">
        <f>IF(F667="","",IFERROR(INDEX(マスター!$F$5:$F$200,MATCH(F667,マスター!$E$5:$E$200,0)),"※マスター未登録"))</f>
        <v/>
      </c>
      <c r="F667" s="27"/>
      <c r="G667" s="27"/>
      <c r="H667" s="27"/>
      <c r="I667" s="27"/>
      <c r="J667" s="27"/>
      <c r="K667" s="27"/>
    </row>
    <row r="668" spans="1:11" x14ac:dyDescent="0.2">
      <c r="A668" s="26"/>
      <c r="B668" s="14" t="str">
        <f>IF(A668="","",CHOOSE(WEEKDAY(A668),"日","月","火","水","木","金","土"))</f>
        <v/>
      </c>
      <c r="C668" s="27"/>
      <c r="D668" s="27"/>
      <c r="E668" s="14" t="str">
        <f>IF(F668="","",IFERROR(INDEX(マスター!$F$5:$F$200,MATCH(F668,マスター!$E$5:$E$200,0)),"※マスター未登録"))</f>
        <v/>
      </c>
      <c r="F668" s="27"/>
      <c r="G668" s="27"/>
      <c r="H668" s="27"/>
      <c r="I668" s="27"/>
      <c r="J668" s="27"/>
      <c r="K668" s="27"/>
    </row>
    <row r="669" spans="1:11" x14ac:dyDescent="0.2">
      <c r="A669" s="26"/>
      <c r="B669" s="14" t="str">
        <f>IF(A669="","",CHOOSE(WEEKDAY(A669),"日","月","火","水","木","金","土"))</f>
        <v/>
      </c>
      <c r="C669" s="27"/>
      <c r="D669" s="27"/>
      <c r="E669" s="14" t="str">
        <f>IF(F669="","",IFERROR(INDEX(マスター!$F$5:$F$200,MATCH(F669,マスター!$E$5:$E$200,0)),"※マスター未登録"))</f>
        <v/>
      </c>
      <c r="F669" s="27"/>
      <c r="G669" s="27"/>
      <c r="H669" s="27"/>
      <c r="I669" s="27"/>
      <c r="J669" s="27"/>
      <c r="K669" s="27"/>
    </row>
    <row r="670" spans="1:11" x14ac:dyDescent="0.2">
      <c r="A670" s="26"/>
      <c r="B670" s="14" t="str">
        <f>IF(A670="","",CHOOSE(WEEKDAY(A670),"日","月","火","水","木","金","土"))</f>
        <v/>
      </c>
      <c r="C670" s="27"/>
      <c r="D670" s="27"/>
      <c r="E670" s="14" t="str">
        <f>IF(F670="","",IFERROR(INDEX(マスター!$F$5:$F$200,MATCH(F670,マスター!$E$5:$E$200,0)),"※マスター未登録"))</f>
        <v/>
      </c>
      <c r="F670" s="27"/>
      <c r="G670" s="27"/>
      <c r="H670" s="27"/>
      <c r="I670" s="27"/>
      <c r="J670" s="27"/>
      <c r="K670" s="27"/>
    </row>
    <row r="671" spans="1:11" x14ac:dyDescent="0.2">
      <c r="A671" s="26"/>
      <c r="B671" s="14" t="str">
        <f>IF(A671="","",CHOOSE(WEEKDAY(A671),"日","月","火","水","木","金","土"))</f>
        <v/>
      </c>
      <c r="C671" s="27"/>
      <c r="D671" s="27"/>
      <c r="E671" s="14" t="str">
        <f>IF(F671="","",IFERROR(INDEX(マスター!$F$5:$F$200,MATCH(F671,マスター!$E$5:$E$200,0)),"※マスター未登録"))</f>
        <v/>
      </c>
      <c r="F671" s="27"/>
      <c r="G671" s="27"/>
      <c r="H671" s="27"/>
      <c r="I671" s="27"/>
      <c r="J671" s="27"/>
      <c r="K671" s="27"/>
    </row>
    <row r="672" spans="1:11" x14ac:dyDescent="0.2">
      <c r="A672" s="26"/>
      <c r="B672" s="14" t="str">
        <f>IF(A672="","",CHOOSE(WEEKDAY(A672),"日","月","火","水","木","金","土"))</f>
        <v/>
      </c>
      <c r="C672" s="27"/>
      <c r="D672" s="27"/>
      <c r="E672" s="14" t="str">
        <f>IF(F672="","",IFERROR(INDEX(マスター!$F$5:$F$200,MATCH(F672,マスター!$E$5:$E$200,0)),"※マスター未登録"))</f>
        <v/>
      </c>
      <c r="F672" s="27"/>
      <c r="G672" s="27"/>
      <c r="H672" s="27"/>
      <c r="I672" s="27"/>
      <c r="J672" s="27"/>
      <c r="K672" s="27"/>
    </row>
    <row r="673" spans="1:11" x14ac:dyDescent="0.2">
      <c r="A673" s="26"/>
      <c r="B673" s="14" t="str">
        <f>IF(A673="","",CHOOSE(WEEKDAY(A673),"日","月","火","水","木","金","土"))</f>
        <v/>
      </c>
      <c r="C673" s="27"/>
      <c r="D673" s="27"/>
      <c r="E673" s="14" t="str">
        <f>IF(F673="","",IFERROR(INDEX(マスター!$F$5:$F$200,MATCH(F673,マスター!$E$5:$E$200,0)),"※マスター未登録"))</f>
        <v/>
      </c>
      <c r="F673" s="27"/>
      <c r="G673" s="27"/>
      <c r="H673" s="27"/>
      <c r="I673" s="27"/>
      <c r="J673" s="27"/>
      <c r="K673" s="27"/>
    </row>
    <row r="674" spans="1:11" x14ac:dyDescent="0.2">
      <c r="A674" s="26"/>
      <c r="B674" s="14" t="str">
        <f>IF(A674="","",CHOOSE(WEEKDAY(A674),"日","月","火","水","木","金","土"))</f>
        <v/>
      </c>
      <c r="C674" s="27"/>
      <c r="D674" s="27"/>
      <c r="E674" s="14" t="str">
        <f>IF(F674="","",IFERROR(INDEX(マスター!$F$5:$F$200,MATCH(F674,マスター!$E$5:$E$200,0)),"※マスター未登録"))</f>
        <v/>
      </c>
      <c r="F674" s="27"/>
      <c r="G674" s="27"/>
      <c r="H674" s="27"/>
      <c r="I674" s="27"/>
      <c r="J674" s="27"/>
      <c r="K674" s="27"/>
    </row>
    <row r="675" spans="1:11" x14ac:dyDescent="0.2">
      <c r="A675" s="26"/>
      <c r="B675" s="14" t="str">
        <f>IF(A675="","",CHOOSE(WEEKDAY(A675),"日","月","火","水","木","金","土"))</f>
        <v/>
      </c>
      <c r="C675" s="27"/>
      <c r="D675" s="27"/>
      <c r="E675" s="14" t="str">
        <f>IF(F675="","",IFERROR(INDEX(マスター!$F$5:$F$200,MATCH(F675,マスター!$E$5:$E$200,0)),"※マスター未登録"))</f>
        <v/>
      </c>
      <c r="F675" s="27"/>
      <c r="G675" s="27"/>
      <c r="H675" s="27"/>
      <c r="I675" s="27"/>
      <c r="J675" s="27"/>
      <c r="K675" s="27"/>
    </row>
    <row r="676" spans="1:11" x14ac:dyDescent="0.2">
      <c r="A676" s="26"/>
      <c r="B676" s="14" t="str">
        <f>IF(A676="","",CHOOSE(WEEKDAY(A676),"日","月","火","水","木","金","土"))</f>
        <v/>
      </c>
      <c r="C676" s="27"/>
      <c r="D676" s="27"/>
      <c r="E676" s="14" t="str">
        <f>IF(F676="","",IFERROR(INDEX(マスター!$F$5:$F$200,MATCH(F676,マスター!$E$5:$E$200,0)),"※マスター未登録"))</f>
        <v/>
      </c>
      <c r="F676" s="27"/>
      <c r="G676" s="27"/>
      <c r="H676" s="27"/>
      <c r="I676" s="27"/>
      <c r="J676" s="27"/>
      <c r="K676" s="27"/>
    </row>
    <row r="677" spans="1:11" x14ac:dyDescent="0.2">
      <c r="A677" s="26"/>
      <c r="B677" s="14" t="str">
        <f>IF(A677="","",CHOOSE(WEEKDAY(A677),"日","月","火","水","木","金","土"))</f>
        <v/>
      </c>
      <c r="C677" s="27"/>
      <c r="D677" s="27"/>
      <c r="E677" s="14" t="str">
        <f>IF(F677="","",IFERROR(INDEX(マスター!$F$5:$F$200,MATCH(F677,マスター!$E$5:$E$200,0)),"※マスター未登録"))</f>
        <v/>
      </c>
      <c r="F677" s="27"/>
      <c r="G677" s="27"/>
      <c r="H677" s="27"/>
      <c r="I677" s="27"/>
      <c r="J677" s="27"/>
      <c r="K677" s="27"/>
    </row>
    <row r="678" spans="1:11" x14ac:dyDescent="0.2">
      <c r="A678" s="26"/>
      <c r="B678" s="14" t="str">
        <f>IF(A678="","",CHOOSE(WEEKDAY(A678),"日","月","火","水","木","金","土"))</f>
        <v/>
      </c>
      <c r="C678" s="27"/>
      <c r="D678" s="27"/>
      <c r="E678" s="14" t="str">
        <f>IF(F678="","",IFERROR(INDEX(マスター!$F$5:$F$200,MATCH(F678,マスター!$E$5:$E$200,0)),"※マスター未登録"))</f>
        <v/>
      </c>
      <c r="F678" s="27"/>
      <c r="G678" s="27"/>
      <c r="H678" s="27"/>
      <c r="I678" s="27"/>
      <c r="J678" s="27"/>
      <c r="K678" s="27"/>
    </row>
    <row r="679" spans="1:11" x14ac:dyDescent="0.2">
      <c r="A679" s="26"/>
      <c r="B679" s="14" t="str">
        <f>IF(A679="","",CHOOSE(WEEKDAY(A679),"日","月","火","水","木","金","土"))</f>
        <v/>
      </c>
      <c r="C679" s="27"/>
      <c r="D679" s="27"/>
      <c r="E679" s="14" t="str">
        <f>IF(F679="","",IFERROR(INDEX(マスター!$F$5:$F$200,MATCH(F679,マスター!$E$5:$E$200,0)),"※マスター未登録"))</f>
        <v/>
      </c>
      <c r="F679" s="27"/>
      <c r="G679" s="27"/>
      <c r="H679" s="27"/>
      <c r="I679" s="27"/>
      <c r="J679" s="27"/>
      <c r="K679" s="27"/>
    </row>
    <row r="680" spans="1:11" x14ac:dyDescent="0.2">
      <c r="A680" s="26"/>
      <c r="B680" s="14" t="str">
        <f>IF(A680="","",CHOOSE(WEEKDAY(A680),"日","月","火","水","木","金","土"))</f>
        <v/>
      </c>
      <c r="C680" s="27"/>
      <c r="D680" s="27"/>
      <c r="E680" s="14" t="str">
        <f>IF(F680="","",IFERROR(INDEX(マスター!$F$5:$F$200,MATCH(F680,マスター!$E$5:$E$200,0)),"※マスター未登録"))</f>
        <v/>
      </c>
      <c r="F680" s="27"/>
      <c r="G680" s="27"/>
      <c r="H680" s="27"/>
      <c r="I680" s="27"/>
      <c r="J680" s="27"/>
      <c r="K680" s="27"/>
    </row>
    <row r="681" spans="1:11" x14ac:dyDescent="0.2">
      <c r="A681" s="26"/>
      <c r="B681" s="14" t="str">
        <f>IF(A681="","",CHOOSE(WEEKDAY(A681),"日","月","火","水","木","金","土"))</f>
        <v/>
      </c>
      <c r="C681" s="27"/>
      <c r="D681" s="27"/>
      <c r="E681" s="14" t="str">
        <f>IF(F681="","",IFERROR(INDEX(マスター!$F$5:$F$200,MATCH(F681,マスター!$E$5:$E$200,0)),"※マスター未登録"))</f>
        <v/>
      </c>
      <c r="F681" s="27"/>
      <c r="G681" s="27"/>
      <c r="H681" s="27"/>
      <c r="I681" s="27"/>
      <c r="J681" s="27"/>
      <c r="K681" s="27"/>
    </row>
    <row r="682" spans="1:11" x14ac:dyDescent="0.2">
      <c r="A682" s="26"/>
      <c r="B682" s="14" t="str">
        <f>IF(A682="","",CHOOSE(WEEKDAY(A682),"日","月","火","水","木","金","土"))</f>
        <v/>
      </c>
      <c r="C682" s="27"/>
      <c r="D682" s="27"/>
      <c r="E682" s="14" t="str">
        <f>IF(F682="","",IFERROR(INDEX(マスター!$F$5:$F$200,MATCH(F682,マスター!$E$5:$E$200,0)),"※マスター未登録"))</f>
        <v/>
      </c>
      <c r="F682" s="27"/>
      <c r="G682" s="27"/>
      <c r="H682" s="27"/>
      <c r="I682" s="27"/>
      <c r="J682" s="27"/>
      <c r="K682" s="27"/>
    </row>
    <row r="683" spans="1:11" x14ac:dyDescent="0.2">
      <c r="A683" s="26"/>
      <c r="B683" s="14" t="str">
        <f>IF(A683="","",CHOOSE(WEEKDAY(A683),"日","月","火","水","木","金","土"))</f>
        <v/>
      </c>
      <c r="C683" s="27"/>
      <c r="D683" s="27"/>
      <c r="E683" s="14" t="str">
        <f>IF(F683="","",IFERROR(INDEX(マスター!$F$5:$F$200,MATCH(F683,マスター!$E$5:$E$200,0)),"※マスター未登録"))</f>
        <v/>
      </c>
      <c r="F683" s="27"/>
      <c r="G683" s="27"/>
      <c r="H683" s="27"/>
      <c r="I683" s="27"/>
      <c r="J683" s="27"/>
      <c r="K683" s="27"/>
    </row>
    <row r="684" spans="1:11" x14ac:dyDescent="0.2">
      <c r="A684" s="26"/>
      <c r="B684" s="14" t="str">
        <f>IF(A684="","",CHOOSE(WEEKDAY(A684),"日","月","火","水","木","金","土"))</f>
        <v/>
      </c>
      <c r="C684" s="27"/>
      <c r="D684" s="27"/>
      <c r="E684" s="14" t="str">
        <f>IF(F684="","",IFERROR(INDEX(マスター!$F$5:$F$200,MATCH(F684,マスター!$E$5:$E$200,0)),"※マスター未登録"))</f>
        <v/>
      </c>
      <c r="F684" s="27"/>
      <c r="G684" s="27"/>
      <c r="H684" s="27"/>
      <c r="I684" s="27"/>
      <c r="J684" s="27"/>
      <c r="K684" s="27"/>
    </row>
    <row r="685" spans="1:11" x14ac:dyDescent="0.2">
      <c r="A685" s="26"/>
      <c r="B685" s="14" t="str">
        <f>IF(A685="","",CHOOSE(WEEKDAY(A685),"日","月","火","水","木","金","土"))</f>
        <v/>
      </c>
      <c r="C685" s="27"/>
      <c r="D685" s="27"/>
      <c r="E685" s="14" t="str">
        <f>IF(F685="","",IFERROR(INDEX(マスター!$F$5:$F$200,MATCH(F685,マスター!$E$5:$E$200,0)),"※マスター未登録"))</f>
        <v/>
      </c>
      <c r="F685" s="27"/>
      <c r="G685" s="27"/>
      <c r="H685" s="27"/>
      <c r="I685" s="27"/>
      <c r="J685" s="27"/>
      <c r="K685" s="27"/>
    </row>
    <row r="686" spans="1:11" x14ac:dyDescent="0.2">
      <c r="A686" s="26"/>
      <c r="B686" s="14" t="str">
        <f>IF(A686="","",CHOOSE(WEEKDAY(A686),"日","月","火","水","木","金","土"))</f>
        <v/>
      </c>
      <c r="C686" s="27"/>
      <c r="D686" s="27"/>
      <c r="E686" s="14" t="str">
        <f>IF(F686="","",IFERROR(INDEX(マスター!$F$5:$F$200,MATCH(F686,マスター!$E$5:$E$200,0)),"※マスター未登録"))</f>
        <v/>
      </c>
      <c r="F686" s="27"/>
      <c r="G686" s="27"/>
      <c r="H686" s="27"/>
      <c r="I686" s="27"/>
      <c r="J686" s="27"/>
      <c r="K686" s="27"/>
    </row>
    <row r="687" spans="1:11" x14ac:dyDescent="0.2">
      <c r="A687" s="26"/>
      <c r="B687" s="14" t="str">
        <f>IF(A687="","",CHOOSE(WEEKDAY(A687),"日","月","火","水","木","金","土"))</f>
        <v/>
      </c>
      <c r="C687" s="27"/>
      <c r="D687" s="27"/>
      <c r="E687" s="14" t="str">
        <f>IF(F687="","",IFERROR(INDEX(マスター!$F$5:$F$200,MATCH(F687,マスター!$E$5:$E$200,0)),"※マスター未登録"))</f>
        <v/>
      </c>
      <c r="F687" s="27"/>
      <c r="G687" s="27"/>
      <c r="H687" s="27"/>
      <c r="I687" s="27"/>
      <c r="J687" s="27"/>
      <c r="K687" s="27"/>
    </row>
    <row r="688" spans="1:11" x14ac:dyDescent="0.2">
      <c r="A688" s="26"/>
      <c r="B688" s="14" t="str">
        <f>IF(A688="","",CHOOSE(WEEKDAY(A688),"日","月","火","水","木","金","土"))</f>
        <v/>
      </c>
      <c r="C688" s="27"/>
      <c r="D688" s="27"/>
      <c r="E688" s="14" t="str">
        <f>IF(F688="","",IFERROR(INDEX(マスター!$F$5:$F$200,MATCH(F688,マスター!$E$5:$E$200,0)),"※マスター未登録"))</f>
        <v/>
      </c>
      <c r="F688" s="27"/>
      <c r="G688" s="27"/>
      <c r="H688" s="27"/>
      <c r="I688" s="27"/>
      <c r="J688" s="27"/>
      <c r="K688" s="27"/>
    </row>
    <row r="689" spans="1:11" x14ac:dyDescent="0.2">
      <c r="A689" s="26"/>
      <c r="B689" s="14" t="str">
        <f>IF(A689="","",CHOOSE(WEEKDAY(A689),"日","月","火","水","木","金","土"))</f>
        <v/>
      </c>
      <c r="C689" s="27"/>
      <c r="D689" s="27"/>
      <c r="E689" s="14" t="str">
        <f>IF(F689="","",IFERROR(INDEX(マスター!$F$5:$F$200,MATCH(F689,マスター!$E$5:$E$200,0)),"※マスター未登録"))</f>
        <v/>
      </c>
      <c r="F689" s="27"/>
      <c r="G689" s="27"/>
      <c r="H689" s="27"/>
      <c r="I689" s="27"/>
      <c r="J689" s="27"/>
      <c r="K689" s="27"/>
    </row>
    <row r="690" spans="1:11" x14ac:dyDescent="0.2">
      <c r="A690" s="26"/>
      <c r="B690" s="14" t="str">
        <f>IF(A690="","",CHOOSE(WEEKDAY(A690),"日","月","火","水","木","金","土"))</f>
        <v/>
      </c>
      <c r="C690" s="27"/>
      <c r="D690" s="27"/>
      <c r="E690" s="14" t="str">
        <f>IF(F690="","",IFERROR(INDEX(マスター!$F$5:$F$200,MATCH(F690,マスター!$E$5:$E$200,0)),"※マスター未登録"))</f>
        <v/>
      </c>
      <c r="F690" s="27"/>
      <c r="G690" s="27"/>
      <c r="H690" s="27"/>
      <c r="I690" s="27"/>
      <c r="J690" s="27"/>
      <c r="K690" s="27"/>
    </row>
    <row r="691" spans="1:11" x14ac:dyDescent="0.2">
      <c r="A691" s="26"/>
      <c r="B691" s="14" t="str">
        <f>IF(A691="","",CHOOSE(WEEKDAY(A691),"日","月","火","水","木","金","土"))</f>
        <v/>
      </c>
      <c r="C691" s="27"/>
      <c r="D691" s="27"/>
      <c r="E691" s="14" t="str">
        <f>IF(F691="","",IFERROR(INDEX(マスター!$F$5:$F$200,MATCH(F691,マスター!$E$5:$E$200,0)),"※マスター未登録"))</f>
        <v/>
      </c>
      <c r="F691" s="27"/>
      <c r="G691" s="27"/>
      <c r="H691" s="27"/>
      <c r="I691" s="27"/>
      <c r="J691" s="27"/>
      <c r="K691" s="27"/>
    </row>
    <row r="692" spans="1:11" x14ac:dyDescent="0.2">
      <c r="A692" s="26"/>
      <c r="B692" s="14" t="str">
        <f>IF(A692="","",CHOOSE(WEEKDAY(A692),"日","月","火","水","木","金","土"))</f>
        <v/>
      </c>
      <c r="C692" s="27"/>
      <c r="D692" s="27"/>
      <c r="E692" s="14" t="str">
        <f>IF(F692="","",IFERROR(INDEX(マスター!$F$5:$F$200,MATCH(F692,マスター!$E$5:$E$200,0)),"※マスター未登録"))</f>
        <v/>
      </c>
      <c r="F692" s="27"/>
      <c r="G692" s="27"/>
      <c r="H692" s="27"/>
      <c r="I692" s="27"/>
      <c r="J692" s="27"/>
      <c r="K692" s="27"/>
    </row>
    <row r="693" spans="1:11" x14ac:dyDescent="0.2">
      <c r="A693" s="26"/>
      <c r="B693" s="14" t="str">
        <f>IF(A693="","",CHOOSE(WEEKDAY(A693),"日","月","火","水","木","金","土"))</f>
        <v/>
      </c>
      <c r="C693" s="27"/>
      <c r="D693" s="27"/>
      <c r="E693" s="14" t="str">
        <f>IF(F693="","",IFERROR(INDEX(マスター!$F$5:$F$200,MATCH(F693,マスター!$E$5:$E$200,0)),"※マスター未登録"))</f>
        <v/>
      </c>
      <c r="F693" s="27"/>
      <c r="G693" s="27"/>
      <c r="H693" s="27"/>
      <c r="I693" s="27"/>
      <c r="J693" s="27"/>
      <c r="K693" s="27"/>
    </row>
    <row r="694" spans="1:11" x14ac:dyDescent="0.2">
      <c r="A694" s="26"/>
      <c r="B694" s="14" t="str">
        <f>IF(A694="","",CHOOSE(WEEKDAY(A694),"日","月","火","水","木","金","土"))</f>
        <v/>
      </c>
      <c r="C694" s="27"/>
      <c r="D694" s="27"/>
      <c r="E694" s="14" t="str">
        <f>IF(F694="","",IFERROR(INDEX(マスター!$F$5:$F$200,MATCH(F694,マスター!$E$5:$E$200,0)),"※マスター未登録"))</f>
        <v/>
      </c>
      <c r="F694" s="27"/>
      <c r="G694" s="27"/>
      <c r="H694" s="27"/>
      <c r="I694" s="27"/>
      <c r="J694" s="27"/>
      <c r="K694" s="27"/>
    </row>
    <row r="695" spans="1:11" x14ac:dyDescent="0.2">
      <c r="A695" s="26"/>
      <c r="B695" s="14" t="str">
        <f>IF(A695="","",CHOOSE(WEEKDAY(A695),"日","月","火","水","木","金","土"))</f>
        <v/>
      </c>
      <c r="C695" s="27"/>
      <c r="D695" s="27"/>
      <c r="E695" s="14" t="str">
        <f>IF(F695="","",IFERROR(INDEX(マスター!$F$5:$F$200,MATCH(F695,マスター!$E$5:$E$200,0)),"※マスター未登録"))</f>
        <v/>
      </c>
      <c r="F695" s="27"/>
      <c r="G695" s="27"/>
      <c r="H695" s="27"/>
      <c r="I695" s="27"/>
      <c r="J695" s="27"/>
      <c r="K695" s="27"/>
    </row>
    <row r="696" spans="1:11" x14ac:dyDescent="0.2">
      <c r="A696" s="26"/>
      <c r="B696" s="14" t="str">
        <f>IF(A696="","",CHOOSE(WEEKDAY(A696),"日","月","火","水","木","金","土"))</f>
        <v/>
      </c>
      <c r="C696" s="27"/>
      <c r="D696" s="27"/>
      <c r="E696" s="14" t="str">
        <f>IF(F696="","",IFERROR(INDEX(マスター!$F$5:$F$200,MATCH(F696,マスター!$E$5:$E$200,0)),"※マスター未登録"))</f>
        <v/>
      </c>
      <c r="F696" s="27"/>
      <c r="G696" s="27"/>
      <c r="H696" s="27"/>
      <c r="I696" s="27"/>
      <c r="J696" s="27"/>
      <c r="K696" s="27"/>
    </row>
    <row r="697" spans="1:11" x14ac:dyDescent="0.2">
      <c r="A697" s="26"/>
      <c r="B697" s="14" t="str">
        <f>IF(A697="","",CHOOSE(WEEKDAY(A697),"日","月","火","水","木","金","土"))</f>
        <v/>
      </c>
      <c r="C697" s="27"/>
      <c r="D697" s="27"/>
      <c r="E697" s="14" t="str">
        <f>IF(F697="","",IFERROR(INDEX(マスター!$F$5:$F$200,MATCH(F697,マスター!$E$5:$E$200,0)),"※マスター未登録"))</f>
        <v/>
      </c>
      <c r="F697" s="27"/>
      <c r="G697" s="27"/>
      <c r="H697" s="27"/>
      <c r="I697" s="27"/>
      <c r="J697" s="27"/>
      <c r="K697" s="27"/>
    </row>
    <row r="698" spans="1:11" x14ac:dyDescent="0.2">
      <c r="A698" s="26"/>
      <c r="B698" s="14" t="str">
        <f>IF(A698="","",CHOOSE(WEEKDAY(A698),"日","月","火","水","木","金","土"))</f>
        <v/>
      </c>
      <c r="C698" s="27"/>
      <c r="D698" s="27"/>
      <c r="E698" s="14" t="str">
        <f>IF(F698="","",IFERROR(INDEX(マスター!$F$5:$F$200,MATCH(F698,マスター!$E$5:$E$200,0)),"※マスター未登録"))</f>
        <v/>
      </c>
      <c r="F698" s="27"/>
      <c r="G698" s="27"/>
      <c r="H698" s="27"/>
      <c r="I698" s="27"/>
      <c r="J698" s="27"/>
      <c r="K698" s="27"/>
    </row>
    <row r="699" spans="1:11" x14ac:dyDescent="0.2">
      <c r="A699" s="26"/>
      <c r="B699" s="14" t="str">
        <f>IF(A699="","",CHOOSE(WEEKDAY(A699),"日","月","火","水","木","金","土"))</f>
        <v/>
      </c>
      <c r="C699" s="27"/>
      <c r="D699" s="27"/>
      <c r="E699" s="14" t="str">
        <f>IF(F699="","",IFERROR(INDEX(マスター!$F$5:$F$200,MATCH(F699,マスター!$E$5:$E$200,0)),"※マスター未登録"))</f>
        <v/>
      </c>
      <c r="F699" s="27"/>
      <c r="G699" s="27"/>
      <c r="H699" s="27"/>
      <c r="I699" s="27"/>
      <c r="J699" s="27"/>
      <c r="K699" s="27"/>
    </row>
    <row r="700" spans="1:11" x14ac:dyDescent="0.2">
      <c r="A700" s="26"/>
      <c r="B700" s="14" t="str">
        <f>IF(A700="","",CHOOSE(WEEKDAY(A700),"日","月","火","水","木","金","土"))</f>
        <v/>
      </c>
      <c r="C700" s="27"/>
      <c r="D700" s="27"/>
      <c r="E700" s="14" t="str">
        <f>IF(F700="","",IFERROR(INDEX(マスター!$F$5:$F$200,MATCH(F700,マスター!$E$5:$E$200,0)),"※マスター未登録"))</f>
        <v/>
      </c>
      <c r="F700" s="27"/>
      <c r="G700" s="27"/>
      <c r="H700" s="27"/>
      <c r="I700" s="27"/>
      <c r="J700" s="27"/>
      <c r="K700" s="27"/>
    </row>
    <row r="701" spans="1:11" x14ac:dyDescent="0.2">
      <c r="A701" s="26"/>
      <c r="B701" s="14" t="str">
        <f>IF(A701="","",CHOOSE(WEEKDAY(A701),"日","月","火","水","木","金","土"))</f>
        <v/>
      </c>
      <c r="C701" s="27"/>
      <c r="D701" s="27"/>
      <c r="E701" s="14" t="str">
        <f>IF(F701="","",IFERROR(INDEX(マスター!$F$5:$F$200,MATCH(F701,マスター!$E$5:$E$200,0)),"※マスター未登録"))</f>
        <v/>
      </c>
      <c r="F701" s="27"/>
      <c r="G701" s="27"/>
      <c r="H701" s="27"/>
      <c r="I701" s="27"/>
      <c r="J701" s="27"/>
      <c r="K701" s="27"/>
    </row>
    <row r="702" spans="1:11" x14ac:dyDescent="0.2">
      <c r="A702" s="26"/>
      <c r="B702" s="14" t="str">
        <f>IF(A702="","",CHOOSE(WEEKDAY(A702),"日","月","火","水","木","金","土"))</f>
        <v/>
      </c>
      <c r="C702" s="27"/>
      <c r="D702" s="27"/>
      <c r="E702" s="14" t="str">
        <f>IF(F702="","",IFERROR(INDEX(マスター!$F$5:$F$200,MATCH(F702,マスター!$E$5:$E$200,0)),"※マスター未登録"))</f>
        <v/>
      </c>
      <c r="F702" s="27"/>
      <c r="G702" s="27"/>
      <c r="H702" s="27"/>
      <c r="I702" s="27"/>
      <c r="J702" s="27"/>
      <c r="K702" s="27"/>
    </row>
    <row r="703" spans="1:11" x14ac:dyDescent="0.2">
      <c r="A703" s="26"/>
      <c r="B703" s="14" t="str">
        <f>IF(A703="","",CHOOSE(WEEKDAY(A703),"日","月","火","水","木","金","土"))</f>
        <v/>
      </c>
      <c r="C703" s="27"/>
      <c r="D703" s="27"/>
      <c r="E703" s="14" t="str">
        <f>IF(F703="","",IFERROR(INDEX(マスター!$F$5:$F$200,MATCH(F703,マスター!$E$5:$E$200,0)),"※マスター未登録"))</f>
        <v/>
      </c>
      <c r="F703" s="27"/>
      <c r="G703" s="27"/>
      <c r="H703" s="27"/>
      <c r="I703" s="27"/>
      <c r="J703" s="27"/>
      <c r="K703" s="27"/>
    </row>
    <row r="704" spans="1:11" x14ac:dyDescent="0.2">
      <c r="A704" s="26"/>
      <c r="B704" s="14" t="str">
        <f>IF(A704="","",CHOOSE(WEEKDAY(A704),"日","月","火","水","木","金","土"))</f>
        <v/>
      </c>
      <c r="C704" s="27"/>
      <c r="D704" s="27"/>
      <c r="E704" s="14" t="str">
        <f>IF(F704="","",IFERROR(INDEX(マスター!$F$5:$F$200,MATCH(F704,マスター!$E$5:$E$200,0)),"※マスター未登録"))</f>
        <v/>
      </c>
      <c r="F704" s="27"/>
      <c r="G704" s="27"/>
      <c r="H704" s="27"/>
      <c r="I704" s="27"/>
      <c r="J704" s="27"/>
      <c r="K704" s="27"/>
    </row>
    <row r="705" spans="1:11" x14ac:dyDescent="0.2">
      <c r="A705" s="26"/>
      <c r="B705" s="14" t="str">
        <f>IF(A705="","",CHOOSE(WEEKDAY(A705),"日","月","火","水","木","金","土"))</f>
        <v/>
      </c>
      <c r="C705" s="27"/>
      <c r="D705" s="27"/>
      <c r="E705" s="14" t="str">
        <f>IF(F705="","",IFERROR(INDEX(マスター!$F$5:$F$200,MATCH(F705,マスター!$E$5:$E$200,0)),"※マスター未登録"))</f>
        <v/>
      </c>
      <c r="F705" s="27"/>
      <c r="G705" s="27"/>
      <c r="H705" s="27"/>
      <c r="I705" s="27"/>
      <c r="J705" s="27"/>
      <c r="K705" s="27"/>
    </row>
    <row r="706" spans="1:11" x14ac:dyDescent="0.2">
      <c r="A706" s="26"/>
      <c r="B706" s="14" t="str">
        <f>IF(A706="","",CHOOSE(WEEKDAY(A706),"日","月","火","水","木","金","土"))</f>
        <v/>
      </c>
      <c r="C706" s="27"/>
      <c r="D706" s="27"/>
      <c r="E706" s="14" t="str">
        <f>IF(F706="","",IFERROR(INDEX(マスター!$F$5:$F$200,MATCH(F706,マスター!$E$5:$E$200,0)),"※マスター未登録"))</f>
        <v/>
      </c>
      <c r="F706" s="27"/>
      <c r="G706" s="27"/>
      <c r="H706" s="27"/>
      <c r="I706" s="27"/>
      <c r="J706" s="27"/>
      <c r="K706" s="27"/>
    </row>
    <row r="707" spans="1:11" x14ac:dyDescent="0.2">
      <c r="A707" s="26"/>
      <c r="B707" s="14" t="str">
        <f>IF(A707="","",CHOOSE(WEEKDAY(A707),"日","月","火","水","木","金","土"))</f>
        <v/>
      </c>
      <c r="C707" s="27"/>
      <c r="D707" s="27"/>
      <c r="E707" s="14" t="str">
        <f>IF(F707="","",IFERROR(INDEX(マスター!$F$5:$F$200,MATCH(F707,マスター!$E$5:$E$200,0)),"※マスター未登録"))</f>
        <v/>
      </c>
      <c r="F707" s="27"/>
      <c r="G707" s="27"/>
      <c r="H707" s="27"/>
      <c r="I707" s="27"/>
      <c r="J707" s="27"/>
      <c r="K707" s="27"/>
    </row>
    <row r="708" spans="1:11" x14ac:dyDescent="0.2">
      <c r="A708" s="26"/>
      <c r="B708" s="14" t="str">
        <f>IF(A708="","",CHOOSE(WEEKDAY(A708),"日","月","火","水","木","金","土"))</f>
        <v/>
      </c>
      <c r="C708" s="27"/>
      <c r="D708" s="27"/>
      <c r="E708" s="14" t="str">
        <f>IF(F708="","",IFERROR(INDEX(マスター!$F$5:$F$200,MATCH(F708,マスター!$E$5:$E$200,0)),"※マスター未登録"))</f>
        <v/>
      </c>
      <c r="F708" s="27"/>
      <c r="G708" s="27"/>
      <c r="H708" s="27"/>
      <c r="I708" s="27"/>
      <c r="J708" s="27"/>
      <c r="K708" s="27"/>
    </row>
    <row r="709" spans="1:11" x14ac:dyDescent="0.2">
      <c r="A709" s="26"/>
      <c r="B709" s="14" t="str">
        <f>IF(A709="","",CHOOSE(WEEKDAY(A709),"日","月","火","水","木","金","土"))</f>
        <v/>
      </c>
      <c r="C709" s="27"/>
      <c r="D709" s="27"/>
      <c r="E709" s="14" t="str">
        <f>IF(F709="","",IFERROR(INDEX(マスター!$F$5:$F$200,MATCH(F709,マスター!$E$5:$E$200,0)),"※マスター未登録"))</f>
        <v/>
      </c>
      <c r="F709" s="27"/>
      <c r="G709" s="27"/>
      <c r="H709" s="27"/>
      <c r="I709" s="27"/>
      <c r="J709" s="27"/>
      <c r="K709" s="27"/>
    </row>
    <row r="710" spans="1:11" x14ac:dyDescent="0.2">
      <c r="A710" s="26"/>
      <c r="B710" s="14" t="str">
        <f>IF(A710="","",CHOOSE(WEEKDAY(A710),"日","月","火","水","木","金","土"))</f>
        <v/>
      </c>
      <c r="C710" s="27"/>
      <c r="D710" s="27"/>
      <c r="E710" s="14" t="str">
        <f>IF(F710="","",IFERROR(INDEX(マスター!$F$5:$F$200,MATCH(F710,マスター!$E$5:$E$200,0)),"※マスター未登録"))</f>
        <v/>
      </c>
      <c r="F710" s="27"/>
      <c r="G710" s="27"/>
      <c r="H710" s="27"/>
      <c r="I710" s="27"/>
      <c r="J710" s="27"/>
      <c r="K710" s="27"/>
    </row>
    <row r="711" spans="1:11" x14ac:dyDescent="0.2">
      <c r="A711" s="26"/>
      <c r="B711" s="14" t="str">
        <f>IF(A711="","",CHOOSE(WEEKDAY(A711),"日","月","火","水","木","金","土"))</f>
        <v/>
      </c>
      <c r="C711" s="27"/>
      <c r="D711" s="27"/>
      <c r="E711" s="14" t="str">
        <f>IF(F711="","",IFERROR(INDEX(マスター!$F$5:$F$200,MATCH(F711,マスター!$E$5:$E$200,0)),"※マスター未登録"))</f>
        <v/>
      </c>
      <c r="F711" s="27"/>
      <c r="G711" s="27"/>
      <c r="H711" s="27"/>
      <c r="I711" s="27"/>
      <c r="J711" s="27"/>
      <c r="K711" s="27"/>
    </row>
    <row r="712" spans="1:11" x14ac:dyDescent="0.2">
      <c r="A712" s="26"/>
      <c r="B712" s="14" t="str">
        <f>IF(A712="","",CHOOSE(WEEKDAY(A712),"日","月","火","水","木","金","土"))</f>
        <v/>
      </c>
      <c r="C712" s="27"/>
      <c r="D712" s="27"/>
      <c r="E712" s="14" t="str">
        <f>IF(F712="","",IFERROR(INDEX(マスター!$F$5:$F$200,MATCH(F712,マスター!$E$5:$E$200,0)),"※マスター未登録"))</f>
        <v/>
      </c>
      <c r="F712" s="27"/>
      <c r="G712" s="27"/>
      <c r="H712" s="27"/>
      <c r="I712" s="27"/>
      <c r="J712" s="27"/>
      <c r="K712" s="27"/>
    </row>
    <row r="713" spans="1:11" x14ac:dyDescent="0.2">
      <c r="A713" s="26"/>
      <c r="B713" s="14" t="str">
        <f>IF(A713="","",CHOOSE(WEEKDAY(A713),"日","月","火","水","木","金","土"))</f>
        <v/>
      </c>
      <c r="C713" s="27"/>
      <c r="D713" s="27"/>
      <c r="E713" s="14" t="str">
        <f>IF(F713="","",IFERROR(INDEX(マスター!$F$5:$F$200,MATCH(F713,マスター!$E$5:$E$200,0)),"※マスター未登録"))</f>
        <v/>
      </c>
      <c r="F713" s="27"/>
      <c r="G713" s="27"/>
      <c r="H713" s="27"/>
      <c r="I713" s="27"/>
      <c r="J713" s="27"/>
      <c r="K713" s="27"/>
    </row>
    <row r="714" spans="1:11" x14ac:dyDescent="0.2">
      <c r="A714" s="26"/>
      <c r="B714" s="14" t="str">
        <f>IF(A714="","",CHOOSE(WEEKDAY(A714),"日","月","火","水","木","金","土"))</f>
        <v/>
      </c>
      <c r="C714" s="27"/>
      <c r="D714" s="27"/>
      <c r="E714" s="14" t="str">
        <f>IF(F714="","",IFERROR(INDEX(マスター!$F$5:$F$200,MATCH(F714,マスター!$E$5:$E$200,0)),"※マスター未登録"))</f>
        <v/>
      </c>
      <c r="F714" s="27"/>
      <c r="G714" s="27"/>
      <c r="H714" s="27"/>
      <c r="I714" s="27"/>
      <c r="J714" s="27"/>
      <c r="K714" s="27"/>
    </row>
    <row r="715" spans="1:11" x14ac:dyDescent="0.2">
      <c r="A715" s="26"/>
      <c r="B715" s="14" t="str">
        <f>IF(A715="","",CHOOSE(WEEKDAY(A715),"日","月","火","水","木","金","土"))</f>
        <v/>
      </c>
      <c r="C715" s="27"/>
      <c r="D715" s="27"/>
      <c r="E715" s="14" t="str">
        <f>IF(F715="","",IFERROR(INDEX(マスター!$F$5:$F$200,MATCH(F715,マスター!$E$5:$E$200,0)),"※マスター未登録"))</f>
        <v/>
      </c>
      <c r="F715" s="27"/>
      <c r="G715" s="27"/>
      <c r="H715" s="27"/>
      <c r="I715" s="27"/>
      <c r="J715" s="27"/>
      <c r="K715" s="27"/>
    </row>
    <row r="716" spans="1:11" x14ac:dyDescent="0.2">
      <c r="A716" s="26"/>
      <c r="B716" s="14" t="str">
        <f>IF(A716="","",CHOOSE(WEEKDAY(A716),"日","月","火","水","木","金","土"))</f>
        <v/>
      </c>
      <c r="C716" s="27"/>
      <c r="D716" s="27"/>
      <c r="E716" s="14" t="str">
        <f>IF(F716="","",IFERROR(INDEX(マスター!$F$5:$F$200,MATCH(F716,マスター!$E$5:$E$200,0)),"※マスター未登録"))</f>
        <v/>
      </c>
      <c r="F716" s="27"/>
      <c r="G716" s="27"/>
      <c r="H716" s="27"/>
      <c r="I716" s="27"/>
      <c r="J716" s="27"/>
      <c r="K716" s="27"/>
    </row>
    <row r="717" spans="1:11" x14ac:dyDescent="0.2">
      <c r="A717" s="26"/>
      <c r="B717" s="14" t="str">
        <f>IF(A717="","",CHOOSE(WEEKDAY(A717),"日","月","火","水","木","金","土"))</f>
        <v/>
      </c>
      <c r="C717" s="27"/>
      <c r="D717" s="27"/>
      <c r="E717" s="14" t="str">
        <f>IF(F717="","",IFERROR(INDEX(マスター!$F$5:$F$200,MATCH(F717,マスター!$E$5:$E$200,0)),"※マスター未登録"))</f>
        <v/>
      </c>
      <c r="F717" s="27"/>
      <c r="G717" s="27"/>
      <c r="H717" s="27"/>
      <c r="I717" s="27"/>
      <c r="J717" s="27"/>
      <c r="K717" s="27"/>
    </row>
    <row r="718" spans="1:11" x14ac:dyDescent="0.2">
      <c r="A718" s="26"/>
      <c r="B718" s="14" t="str">
        <f>IF(A718="","",CHOOSE(WEEKDAY(A718),"日","月","火","水","木","金","土"))</f>
        <v/>
      </c>
      <c r="C718" s="27"/>
      <c r="D718" s="27"/>
      <c r="E718" s="14" t="str">
        <f>IF(F718="","",IFERROR(INDEX(マスター!$F$5:$F$200,MATCH(F718,マスター!$E$5:$E$200,0)),"※マスター未登録"))</f>
        <v/>
      </c>
      <c r="F718" s="27"/>
      <c r="G718" s="27"/>
      <c r="H718" s="27"/>
      <c r="I718" s="27"/>
      <c r="J718" s="27"/>
      <c r="K718" s="27"/>
    </row>
    <row r="719" spans="1:11" x14ac:dyDescent="0.2">
      <c r="A719" s="26"/>
      <c r="B719" s="14" t="str">
        <f>IF(A719="","",CHOOSE(WEEKDAY(A719),"日","月","火","水","木","金","土"))</f>
        <v/>
      </c>
      <c r="C719" s="27"/>
      <c r="D719" s="27"/>
      <c r="E719" s="14" t="str">
        <f>IF(F719="","",IFERROR(INDEX(マスター!$F$5:$F$200,MATCH(F719,マスター!$E$5:$E$200,0)),"※マスター未登録"))</f>
        <v/>
      </c>
      <c r="F719" s="27"/>
      <c r="G719" s="27"/>
      <c r="H719" s="27"/>
      <c r="I719" s="27"/>
      <c r="J719" s="27"/>
      <c r="K719" s="27"/>
    </row>
    <row r="720" spans="1:11" x14ac:dyDescent="0.2">
      <c r="A720" s="26"/>
      <c r="B720" s="14" t="str">
        <f>IF(A720="","",CHOOSE(WEEKDAY(A720),"日","月","火","水","木","金","土"))</f>
        <v/>
      </c>
      <c r="C720" s="27"/>
      <c r="D720" s="27"/>
      <c r="E720" s="14" t="str">
        <f>IF(F720="","",IFERROR(INDEX(マスター!$F$5:$F$200,MATCH(F720,マスター!$E$5:$E$200,0)),"※マスター未登録"))</f>
        <v/>
      </c>
      <c r="F720" s="27"/>
      <c r="G720" s="27"/>
      <c r="H720" s="27"/>
      <c r="I720" s="27"/>
      <c r="J720" s="27"/>
      <c r="K720" s="27"/>
    </row>
    <row r="721" spans="1:11" x14ac:dyDescent="0.2">
      <c r="A721" s="26"/>
      <c r="B721" s="14" t="str">
        <f>IF(A721="","",CHOOSE(WEEKDAY(A721),"日","月","火","水","木","金","土"))</f>
        <v/>
      </c>
      <c r="C721" s="27"/>
      <c r="D721" s="27"/>
      <c r="E721" s="14" t="str">
        <f>IF(F721="","",IFERROR(INDEX(マスター!$F$5:$F$200,MATCH(F721,マスター!$E$5:$E$200,0)),"※マスター未登録"))</f>
        <v/>
      </c>
      <c r="F721" s="27"/>
      <c r="G721" s="27"/>
      <c r="H721" s="27"/>
      <c r="I721" s="27"/>
      <c r="J721" s="27"/>
      <c r="K721" s="27"/>
    </row>
    <row r="722" spans="1:11" x14ac:dyDescent="0.2">
      <c r="A722" s="26"/>
      <c r="B722" s="14" t="str">
        <f>IF(A722="","",CHOOSE(WEEKDAY(A722),"日","月","火","水","木","金","土"))</f>
        <v/>
      </c>
      <c r="C722" s="27"/>
      <c r="D722" s="27"/>
      <c r="E722" s="14" t="str">
        <f>IF(F722="","",IFERROR(INDEX(マスター!$F$5:$F$200,MATCH(F722,マスター!$E$5:$E$200,0)),"※マスター未登録"))</f>
        <v/>
      </c>
      <c r="F722" s="27"/>
      <c r="G722" s="27"/>
      <c r="H722" s="27"/>
      <c r="I722" s="27"/>
      <c r="J722" s="27"/>
      <c r="K722" s="27"/>
    </row>
    <row r="723" spans="1:11" x14ac:dyDescent="0.2">
      <c r="A723" s="26"/>
      <c r="B723" s="14" t="str">
        <f>IF(A723="","",CHOOSE(WEEKDAY(A723),"日","月","火","水","木","金","土"))</f>
        <v/>
      </c>
      <c r="C723" s="27"/>
      <c r="D723" s="27"/>
      <c r="E723" s="14" t="str">
        <f>IF(F723="","",IFERROR(INDEX(マスター!$F$5:$F$200,MATCH(F723,マスター!$E$5:$E$200,0)),"※マスター未登録"))</f>
        <v/>
      </c>
      <c r="F723" s="27"/>
      <c r="G723" s="27"/>
      <c r="H723" s="27"/>
      <c r="I723" s="27"/>
      <c r="J723" s="27"/>
      <c r="K723" s="27"/>
    </row>
    <row r="724" spans="1:11" x14ac:dyDescent="0.2">
      <c r="A724" s="26"/>
      <c r="B724" s="14" t="str">
        <f>IF(A724="","",CHOOSE(WEEKDAY(A724),"日","月","火","水","木","金","土"))</f>
        <v/>
      </c>
      <c r="C724" s="27"/>
      <c r="D724" s="27"/>
      <c r="E724" s="14" t="str">
        <f>IF(F724="","",IFERROR(INDEX(マスター!$F$5:$F$200,MATCH(F724,マスター!$E$5:$E$200,0)),"※マスター未登録"))</f>
        <v/>
      </c>
      <c r="F724" s="27"/>
      <c r="G724" s="27"/>
      <c r="H724" s="27"/>
      <c r="I724" s="27"/>
      <c r="J724" s="27"/>
      <c r="K724" s="27"/>
    </row>
    <row r="725" spans="1:11" x14ac:dyDescent="0.2">
      <c r="A725" s="26"/>
      <c r="B725" s="14" t="str">
        <f>IF(A725="","",CHOOSE(WEEKDAY(A725),"日","月","火","水","木","金","土"))</f>
        <v/>
      </c>
      <c r="C725" s="27"/>
      <c r="D725" s="27"/>
      <c r="E725" s="14" t="str">
        <f>IF(F725="","",IFERROR(INDEX(マスター!$F$5:$F$200,MATCH(F725,マスター!$E$5:$E$200,0)),"※マスター未登録"))</f>
        <v/>
      </c>
      <c r="F725" s="27"/>
      <c r="G725" s="27"/>
      <c r="H725" s="27"/>
      <c r="I725" s="27"/>
      <c r="J725" s="27"/>
      <c r="K725" s="27"/>
    </row>
    <row r="726" spans="1:11" x14ac:dyDescent="0.2">
      <c r="A726" s="26"/>
      <c r="B726" s="14" t="str">
        <f>IF(A726="","",CHOOSE(WEEKDAY(A726),"日","月","火","水","木","金","土"))</f>
        <v/>
      </c>
      <c r="C726" s="27"/>
      <c r="D726" s="27"/>
      <c r="E726" s="14" t="str">
        <f>IF(F726="","",IFERROR(INDEX(マスター!$F$5:$F$200,MATCH(F726,マスター!$E$5:$E$200,0)),"※マスター未登録"))</f>
        <v/>
      </c>
      <c r="F726" s="27"/>
      <c r="G726" s="27"/>
      <c r="H726" s="27"/>
      <c r="I726" s="27"/>
      <c r="J726" s="27"/>
      <c r="K726" s="27"/>
    </row>
    <row r="727" spans="1:11" x14ac:dyDescent="0.2">
      <c r="A727" s="26"/>
      <c r="B727" s="14" t="str">
        <f>IF(A727="","",CHOOSE(WEEKDAY(A727),"日","月","火","水","木","金","土"))</f>
        <v/>
      </c>
      <c r="C727" s="27"/>
      <c r="D727" s="27"/>
      <c r="E727" s="14" t="str">
        <f>IF(F727="","",IFERROR(INDEX(マスター!$F$5:$F$200,MATCH(F727,マスター!$E$5:$E$200,0)),"※マスター未登録"))</f>
        <v/>
      </c>
      <c r="F727" s="27"/>
      <c r="G727" s="27"/>
      <c r="H727" s="27"/>
      <c r="I727" s="27"/>
      <c r="J727" s="27"/>
      <c r="K727" s="27"/>
    </row>
    <row r="728" spans="1:11" x14ac:dyDescent="0.2">
      <c r="A728" s="26"/>
      <c r="B728" s="14" t="str">
        <f>IF(A728="","",CHOOSE(WEEKDAY(A728),"日","月","火","水","木","金","土"))</f>
        <v/>
      </c>
      <c r="C728" s="27"/>
      <c r="D728" s="27"/>
      <c r="E728" s="14" t="str">
        <f>IF(F728="","",IFERROR(INDEX(マスター!$F$5:$F$200,MATCH(F728,マスター!$E$5:$E$200,0)),"※マスター未登録"))</f>
        <v/>
      </c>
      <c r="F728" s="27"/>
      <c r="G728" s="27"/>
      <c r="H728" s="27"/>
      <c r="I728" s="27"/>
      <c r="J728" s="27"/>
      <c r="K728" s="27"/>
    </row>
    <row r="729" spans="1:11" x14ac:dyDescent="0.2">
      <c r="A729" s="26"/>
      <c r="B729" s="14" t="str">
        <f>IF(A729="","",CHOOSE(WEEKDAY(A729),"日","月","火","水","木","金","土"))</f>
        <v/>
      </c>
      <c r="C729" s="27"/>
      <c r="D729" s="27"/>
      <c r="E729" s="14" t="str">
        <f>IF(F729="","",IFERROR(INDEX(マスター!$F$5:$F$200,MATCH(F729,マスター!$E$5:$E$200,0)),"※マスター未登録"))</f>
        <v/>
      </c>
      <c r="F729" s="27"/>
      <c r="G729" s="27"/>
      <c r="H729" s="27"/>
      <c r="I729" s="27"/>
      <c r="J729" s="27"/>
      <c r="K729" s="27"/>
    </row>
    <row r="730" spans="1:11" x14ac:dyDescent="0.2">
      <c r="A730" s="26"/>
      <c r="B730" s="14" t="str">
        <f>IF(A730="","",CHOOSE(WEEKDAY(A730),"日","月","火","水","木","金","土"))</f>
        <v/>
      </c>
      <c r="C730" s="27"/>
      <c r="D730" s="27"/>
      <c r="E730" s="14" t="str">
        <f>IF(F730="","",IFERROR(INDEX(マスター!$F$5:$F$200,MATCH(F730,マスター!$E$5:$E$200,0)),"※マスター未登録"))</f>
        <v/>
      </c>
      <c r="F730" s="27"/>
      <c r="G730" s="27"/>
      <c r="H730" s="27"/>
      <c r="I730" s="27"/>
      <c r="J730" s="27"/>
      <c r="K730" s="27"/>
    </row>
    <row r="731" spans="1:11" x14ac:dyDescent="0.2">
      <c r="A731" s="26"/>
      <c r="B731" s="14" t="str">
        <f>IF(A731="","",CHOOSE(WEEKDAY(A731),"日","月","火","水","木","金","土"))</f>
        <v/>
      </c>
      <c r="C731" s="27"/>
      <c r="D731" s="27"/>
      <c r="E731" s="14" t="str">
        <f>IF(F731="","",IFERROR(INDEX(マスター!$F$5:$F$200,MATCH(F731,マスター!$E$5:$E$200,0)),"※マスター未登録"))</f>
        <v/>
      </c>
      <c r="F731" s="27"/>
      <c r="G731" s="27"/>
      <c r="H731" s="27"/>
      <c r="I731" s="27"/>
      <c r="J731" s="27"/>
      <c r="K731" s="27"/>
    </row>
    <row r="732" spans="1:11" x14ac:dyDescent="0.2">
      <c r="A732" s="26"/>
      <c r="B732" s="14" t="str">
        <f>IF(A732="","",CHOOSE(WEEKDAY(A732),"日","月","火","水","木","金","土"))</f>
        <v/>
      </c>
      <c r="C732" s="27"/>
      <c r="D732" s="27"/>
      <c r="E732" s="14" t="str">
        <f>IF(F732="","",IFERROR(INDEX(マスター!$F$5:$F$200,MATCH(F732,マスター!$E$5:$E$200,0)),"※マスター未登録"))</f>
        <v/>
      </c>
      <c r="F732" s="27"/>
      <c r="G732" s="27"/>
      <c r="H732" s="27"/>
      <c r="I732" s="27"/>
      <c r="J732" s="27"/>
      <c r="K732" s="27"/>
    </row>
    <row r="733" spans="1:11" x14ac:dyDescent="0.2">
      <c r="A733" s="26"/>
      <c r="B733" s="14" t="str">
        <f>IF(A733="","",CHOOSE(WEEKDAY(A733),"日","月","火","水","木","金","土"))</f>
        <v/>
      </c>
      <c r="C733" s="27"/>
      <c r="D733" s="27"/>
      <c r="E733" s="14" t="str">
        <f>IF(F733="","",IFERROR(INDEX(マスター!$F$5:$F$200,MATCH(F733,マスター!$E$5:$E$200,0)),"※マスター未登録"))</f>
        <v/>
      </c>
      <c r="F733" s="27"/>
      <c r="G733" s="27"/>
      <c r="H733" s="27"/>
      <c r="I733" s="27"/>
      <c r="J733" s="27"/>
      <c r="K733" s="27"/>
    </row>
    <row r="734" spans="1:11" x14ac:dyDescent="0.2">
      <c r="A734" s="26"/>
      <c r="B734" s="14" t="str">
        <f>IF(A734="","",CHOOSE(WEEKDAY(A734),"日","月","火","水","木","金","土"))</f>
        <v/>
      </c>
      <c r="C734" s="27"/>
      <c r="D734" s="27"/>
      <c r="E734" s="14" t="str">
        <f>IF(F734="","",IFERROR(INDEX(マスター!$F$5:$F$200,MATCH(F734,マスター!$E$5:$E$200,0)),"※マスター未登録"))</f>
        <v/>
      </c>
      <c r="F734" s="27"/>
      <c r="G734" s="27"/>
      <c r="H734" s="27"/>
      <c r="I734" s="27"/>
      <c r="J734" s="27"/>
      <c r="K734" s="27"/>
    </row>
    <row r="735" spans="1:11" x14ac:dyDescent="0.2">
      <c r="A735" s="26"/>
      <c r="B735" s="14" t="str">
        <f>IF(A735="","",CHOOSE(WEEKDAY(A735),"日","月","火","水","木","金","土"))</f>
        <v/>
      </c>
      <c r="C735" s="27"/>
      <c r="D735" s="27"/>
      <c r="E735" s="14" t="str">
        <f>IF(F735="","",IFERROR(INDEX(マスター!$F$5:$F$200,MATCH(F735,マスター!$E$5:$E$200,0)),"※マスター未登録"))</f>
        <v/>
      </c>
      <c r="F735" s="27"/>
      <c r="G735" s="27"/>
      <c r="H735" s="27"/>
      <c r="I735" s="27"/>
      <c r="J735" s="27"/>
      <c r="K735" s="27"/>
    </row>
    <row r="736" spans="1:11" x14ac:dyDescent="0.2">
      <c r="A736" s="26"/>
      <c r="B736" s="14" t="str">
        <f>IF(A736="","",CHOOSE(WEEKDAY(A736),"日","月","火","水","木","金","土"))</f>
        <v/>
      </c>
      <c r="C736" s="27"/>
      <c r="D736" s="27"/>
      <c r="E736" s="14" t="str">
        <f>IF(F736="","",IFERROR(INDEX(マスター!$F$5:$F$200,MATCH(F736,マスター!$E$5:$E$200,0)),"※マスター未登録"))</f>
        <v/>
      </c>
      <c r="F736" s="27"/>
      <c r="G736" s="27"/>
      <c r="H736" s="27"/>
      <c r="I736" s="27"/>
      <c r="J736" s="27"/>
      <c r="K736" s="27"/>
    </row>
    <row r="737" spans="1:11" x14ac:dyDescent="0.2">
      <c r="A737" s="26"/>
      <c r="B737" s="14" t="str">
        <f>IF(A737="","",CHOOSE(WEEKDAY(A737),"日","月","火","水","木","金","土"))</f>
        <v/>
      </c>
      <c r="C737" s="27"/>
      <c r="D737" s="27"/>
      <c r="E737" s="14" t="str">
        <f>IF(F737="","",IFERROR(INDEX(マスター!$F$5:$F$200,MATCH(F737,マスター!$E$5:$E$200,0)),"※マスター未登録"))</f>
        <v/>
      </c>
      <c r="F737" s="27"/>
      <c r="G737" s="27"/>
      <c r="H737" s="27"/>
      <c r="I737" s="27"/>
      <c r="J737" s="27"/>
      <c r="K737" s="27"/>
    </row>
    <row r="738" spans="1:11" x14ac:dyDescent="0.2">
      <c r="A738" s="26"/>
      <c r="B738" s="14" t="str">
        <f>IF(A738="","",CHOOSE(WEEKDAY(A738),"日","月","火","水","木","金","土"))</f>
        <v/>
      </c>
      <c r="C738" s="27"/>
      <c r="D738" s="27"/>
      <c r="E738" s="14" t="str">
        <f>IF(F738="","",IFERROR(INDEX(マスター!$F$5:$F$200,MATCH(F738,マスター!$E$5:$E$200,0)),"※マスター未登録"))</f>
        <v/>
      </c>
      <c r="F738" s="27"/>
      <c r="G738" s="27"/>
      <c r="H738" s="27"/>
      <c r="I738" s="27"/>
      <c r="J738" s="27"/>
      <c r="K738" s="27"/>
    </row>
    <row r="739" spans="1:11" x14ac:dyDescent="0.2">
      <c r="A739" s="26"/>
      <c r="B739" s="14" t="str">
        <f>IF(A739="","",CHOOSE(WEEKDAY(A739),"日","月","火","水","木","金","土"))</f>
        <v/>
      </c>
      <c r="C739" s="27"/>
      <c r="D739" s="27"/>
      <c r="E739" s="14" t="str">
        <f>IF(F739="","",IFERROR(INDEX(マスター!$F$5:$F$200,MATCH(F739,マスター!$E$5:$E$200,0)),"※マスター未登録"))</f>
        <v/>
      </c>
      <c r="F739" s="27"/>
      <c r="G739" s="27"/>
      <c r="H739" s="27"/>
      <c r="I739" s="27"/>
      <c r="J739" s="27"/>
      <c r="K739" s="27"/>
    </row>
    <row r="740" spans="1:11" x14ac:dyDescent="0.2">
      <c r="A740" s="26"/>
      <c r="B740" s="14" t="str">
        <f>IF(A740="","",CHOOSE(WEEKDAY(A740),"日","月","火","水","木","金","土"))</f>
        <v/>
      </c>
      <c r="C740" s="27"/>
      <c r="D740" s="27"/>
      <c r="E740" s="14" t="str">
        <f>IF(F740="","",IFERROR(INDEX(マスター!$F$5:$F$200,MATCH(F740,マスター!$E$5:$E$200,0)),"※マスター未登録"))</f>
        <v/>
      </c>
      <c r="F740" s="27"/>
      <c r="G740" s="27"/>
      <c r="H740" s="27"/>
      <c r="I740" s="27"/>
      <c r="J740" s="27"/>
      <c r="K740" s="27"/>
    </row>
    <row r="741" spans="1:11" x14ac:dyDescent="0.2">
      <c r="A741" s="26"/>
      <c r="B741" s="14" t="str">
        <f>IF(A741="","",CHOOSE(WEEKDAY(A741),"日","月","火","水","木","金","土"))</f>
        <v/>
      </c>
      <c r="C741" s="27"/>
      <c r="D741" s="27"/>
      <c r="E741" s="14" t="str">
        <f>IF(F741="","",IFERROR(INDEX(マスター!$F$5:$F$200,MATCH(F741,マスター!$E$5:$E$200,0)),"※マスター未登録"))</f>
        <v/>
      </c>
      <c r="F741" s="27"/>
      <c r="G741" s="27"/>
      <c r="H741" s="27"/>
      <c r="I741" s="27"/>
      <c r="J741" s="27"/>
      <c r="K741" s="27"/>
    </row>
    <row r="742" spans="1:11" x14ac:dyDescent="0.2">
      <c r="A742" s="26"/>
      <c r="B742" s="14" t="str">
        <f>IF(A742="","",CHOOSE(WEEKDAY(A742),"日","月","火","水","木","金","土"))</f>
        <v/>
      </c>
      <c r="C742" s="27"/>
      <c r="D742" s="27"/>
      <c r="E742" s="14" t="str">
        <f>IF(F742="","",IFERROR(INDEX(マスター!$F$5:$F$200,MATCH(F742,マスター!$E$5:$E$200,0)),"※マスター未登録"))</f>
        <v/>
      </c>
      <c r="F742" s="27"/>
      <c r="G742" s="27"/>
      <c r="H742" s="27"/>
      <c r="I742" s="27"/>
      <c r="J742" s="27"/>
      <c r="K742" s="27"/>
    </row>
    <row r="743" spans="1:11" x14ac:dyDescent="0.2">
      <c r="A743" s="26"/>
      <c r="B743" s="14" t="str">
        <f>IF(A743="","",CHOOSE(WEEKDAY(A743),"日","月","火","水","木","金","土"))</f>
        <v/>
      </c>
      <c r="C743" s="27"/>
      <c r="D743" s="27"/>
      <c r="E743" s="14" t="str">
        <f>IF(F743="","",IFERROR(INDEX(マスター!$F$5:$F$200,MATCH(F743,マスター!$E$5:$E$200,0)),"※マスター未登録"))</f>
        <v/>
      </c>
      <c r="F743" s="27"/>
      <c r="G743" s="27"/>
      <c r="H743" s="27"/>
      <c r="I743" s="27"/>
      <c r="J743" s="27"/>
      <c r="K743" s="27"/>
    </row>
    <row r="744" spans="1:11" x14ac:dyDescent="0.2">
      <c r="A744" s="26"/>
      <c r="B744" s="14" t="str">
        <f>IF(A744="","",CHOOSE(WEEKDAY(A744),"日","月","火","水","木","金","土"))</f>
        <v/>
      </c>
      <c r="C744" s="27"/>
      <c r="D744" s="27"/>
      <c r="E744" s="14" t="str">
        <f>IF(F744="","",IFERROR(INDEX(マスター!$F$5:$F$200,MATCH(F744,マスター!$E$5:$E$200,0)),"※マスター未登録"))</f>
        <v/>
      </c>
      <c r="F744" s="27"/>
      <c r="G744" s="27"/>
      <c r="H744" s="27"/>
      <c r="I744" s="27"/>
      <c r="J744" s="27"/>
      <c r="K744" s="27"/>
    </row>
    <row r="745" spans="1:11" x14ac:dyDescent="0.2">
      <c r="A745" s="26"/>
      <c r="B745" s="14" t="str">
        <f>IF(A745="","",CHOOSE(WEEKDAY(A745),"日","月","火","水","木","金","土"))</f>
        <v/>
      </c>
      <c r="C745" s="27"/>
      <c r="D745" s="27"/>
      <c r="E745" s="14" t="str">
        <f>IF(F745="","",IFERROR(INDEX(マスター!$F$5:$F$200,MATCH(F745,マスター!$E$5:$E$200,0)),"※マスター未登録"))</f>
        <v/>
      </c>
      <c r="F745" s="27"/>
      <c r="G745" s="27"/>
      <c r="H745" s="27"/>
      <c r="I745" s="27"/>
      <c r="J745" s="27"/>
      <c r="K745" s="27"/>
    </row>
    <row r="746" spans="1:11" x14ac:dyDescent="0.2">
      <c r="A746" s="26"/>
      <c r="B746" s="14" t="str">
        <f>IF(A746="","",CHOOSE(WEEKDAY(A746),"日","月","火","水","木","金","土"))</f>
        <v/>
      </c>
      <c r="C746" s="27"/>
      <c r="D746" s="27"/>
      <c r="E746" s="14" t="str">
        <f>IF(F746="","",IFERROR(INDEX(マスター!$F$5:$F$200,MATCH(F746,マスター!$E$5:$E$200,0)),"※マスター未登録"))</f>
        <v/>
      </c>
      <c r="F746" s="27"/>
      <c r="G746" s="27"/>
      <c r="H746" s="27"/>
      <c r="I746" s="27"/>
      <c r="J746" s="27"/>
      <c r="K746" s="27"/>
    </row>
    <row r="747" spans="1:11" x14ac:dyDescent="0.2">
      <c r="A747" s="26"/>
      <c r="B747" s="14" t="str">
        <f>IF(A747="","",CHOOSE(WEEKDAY(A747),"日","月","火","水","木","金","土"))</f>
        <v/>
      </c>
      <c r="C747" s="27"/>
      <c r="D747" s="27"/>
      <c r="E747" s="14" t="str">
        <f>IF(F747="","",IFERROR(INDEX(マスター!$F$5:$F$200,MATCH(F747,マスター!$E$5:$E$200,0)),"※マスター未登録"))</f>
        <v/>
      </c>
      <c r="F747" s="27"/>
      <c r="G747" s="27"/>
      <c r="H747" s="27"/>
      <c r="I747" s="27"/>
      <c r="J747" s="27"/>
      <c r="K747" s="27"/>
    </row>
    <row r="748" spans="1:11" x14ac:dyDescent="0.2">
      <c r="A748" s="26"/>
      <c r="B748" s="14" t="str">
        <f>IF(A748="","",CHOOSE(WEEKDAY(A748),"日","月","火","水","木","金","土"))</f>
        <v/>
      </c>
      <c r="C748" s="27"/>
      <c r="D748" s="27"/>
      <c r="E748" s="14" t="str">
        <f>IF(F748="","",IFERROR(INDEX(マスター!$F$5:$F$200,MATCH(F748,マスター!$E$5:$E$200,0)),"※マスター未登録"))</f>
        <v/>
      </c>
      <c r="F748" s="27"/>
      <c r="G748" s="27"/>
      <c r="H748" s="27"/>
      <c r="I748" s="27"/>
      <c r="J748" s="27"/>
      <c r="K748" s="27"/>
    </row>
    <row r="749" spans="1:11" x14ac:dyDescent="0.2">
      <c r="A749" s="26"/>
      <c r="B749" s="14" t="str">
        <f>IF(A749="","",CHOOSE(WEEKDAY(A749),"日","月","火","水","木","金","土"))</f>
        <v/>
      </c>
      <c r="C749" s="27"/>
      <c r="D749" s="27"/>
      <c r="E749" s="14" t="str">
        <f>IF(F749="","",IFERROR(INDEX(マスター!$F$5:$F$200,MATCH(F749,マスター!$E$5:$E$200,0)),"※マスター未登録"))</f>
        <v/>
      </c>
      <c r="F749" s="27"/>
      <c r="G749" s="27"/>
      <c r="H749" s="27"/>
      <c r="I749" s="27"/>
      <c r="J749" s="27"/>
      <c r="K749" s="27"/>
    </row>
    <row r="750" spans="1:11" x14ac:dyDescent="0.2">
      <c r="A750" s="26"/>
      <c r="B750" s="14" t="str">
        <f>IF(A750="","",CHOOSE(WEEKDAY(A750),"日","月","火","水","木","金","土"))</f>
        <v/>
      </c>
      <c r="C750" s="27"/>
      <c r="D750" s="27"/>
      <c r="E750" s="14" t="str">
        <f>IF(F750="","",IFERROR(INDEX(マスター!$F$5:$F$200,MATCH(F750,マスター!$E$5:$E$200,0)),"※マスター未登録"))</f>
        <v/>
      </c>
      <c r="F750" s="27"/>
      <c r="G750" s="27"/>
      <c r="H750" s="27"/>
      <c r="I750" s="27"/>
      <c r="J750" s="27"/>
      <c r="K750" s="27"/>
    </row>
    <row r="751" spans="1:11" x14ac:dyDescent="0.2">
      <c r="A751" s="26"/>
      <c r="B751" s="14" t="str">
        <f>IF(A751="","",CHOOSE(WEEKDAY(A751),"日","月","火","水","木","金","土"))</f>
        <v/>
      </c>
      <c r="C751" s="27"/>
      <c r="D751" s="27"/>
      <c r="E751" s="14" t="str">
        <f>IF(F751="","",IFERROR(INDEX(マスター!$F$5:$F$200,MATCH(F751,マスター!$E$5:$E$200,0)),"※マスター未登録"))</f>
        <v/>
      </c>
      <c r="F751" s="27"/>
      <c r="G751" s="27"/>
      <c r="H751" s="27"/>
      <c r="I751" s="27"/>
      <c r="J751" s="27"/>
      <c r="K751" s="27"/>
    </row>
    <row r="752" spans="1:11" x14ac:dyDescent="0.2">
      <c r="A752" s="26"/>
      <c r="B752" s="14" t="str">
        <f>IF(A752="","",CHOOSE(WEEKDAY(A752),"日","月","火","水","木","金","土"))</f>
        <v/>
      </c>
      <c r="C752" s="27"/>
      <c r="D752" s="27"/>
      <c r="E752" s="14" t="str">
        <f>IF(F752="","",IFERROR(INDEX(マスター!$F$5:$F$200,MATCH(F752,マスター!$E$5:$E$200,0)),"※マスター未登録"))</f>
        <v/>
      </c>
      <c r="F752" s="27"/>
      <c r="G752" s="27"/>
      <c r="H752" s="27"/>
      <c r="I752" s="27"/>
      <c r="J752" s="27"/>
      <c r="K752" s="27"/>
    </row>
    <row r="753" spans="1:11" x14ac:dyDescent="0.2">
      <c r="A753" s="26"/>
      <c r="B753" s="14" t="str">
        <f>IF(A753="","",CHOOSE(WEEKDAY(A753),"日","月","火","水","木","金","土"))</f>
        <v/>
      </c>
      <c r="C753" s="27"/>
      <c r="D753" s="27"/>
      <c r="E753" s="14" t="str">
        <f>IF(F753="","",IFERROR(INDEX(マスター!$F$5:$F$200,MATCH(F753,マスター!$E$5:$E$200,0)),"※マスター未登録"))</f>
        <v/>
      </c>
      <c r="F753" s="27"/>
      <c r="G753" s="27"/>
      <c r="H753" s="27"/>
      <c r="I753" s="27"/>
      <c r="J753" s="27"/>
      <c r="K753" s="27"/>
    </row>
    <row r="754" spans="1:11" x14ac:dyDescent="0.2">
      <c r="A754" s="26"/>
      <c r="B754" s="14" t="str">
        <f>IF(A754="","",CHOOSE(WEEKDAY(A754),"日","月","火","水","木","金","土"))</f>
        <v/>
      </c>
      <c r="C754" s="27"/>
      <c r="D754" s="27"/>
      <c r="E754" s="14" t="str">
        <f>IF(F754="","",IFERROR(INDEX(マスター!$F$5:$F$200,MATCH(F754,マスター!$E$5:$E$200,0)),"※マスター未登録"))</f>
        <v/>
      </c>
      <c r="F754" s="27"/>
      <c r="G754" s="27"/>
      <c r="H754" s="27"/>
      <c r="I754" s="27"/>
      <c r="J754" s="27"/>
      <c r="K754" s="27"/>
    </row>
    <row r="755" spans="1:11" x14ac:dyDescent="0.2">
      <c r="A755" s="26"/>
      <c r="B755" s="14" t="str">
        <f>IF(A755="","",CHOOSE(WEEKDAY(A755),"日","月","火","水","木","金","土"))</f>
        <v/>
      </c>
      <c r="C755" s="27"/>
      <c r="D755" s="27"/>
      <c r="E755" s="14" t="str">
        <f>IF(F755="","",IFERROR(INDEX(マスター!$F$5:$F$200,MATCH(F755,マスター!$E$5:$E$200,0)),"※マスター未登録"))</f>
        <v/>
      </c>
      <c r="F755" s="27"/>
      <c r="G755" s="27"/>
      <c r="H755" s="27"/>
      <c r="I755" s="27"/>
      <c r="J755" s="27"/>
      <c r="K755" s="27"/>
    </row>
    <row r="756" spans="1:11" x14ac:dyDescent="0.2">
      <c r="A756" s="26"/>
      <c r="B756" s="14" t="str">
        <f>IF(A756="","",CHOOSE(WEEKDAY(A756),"日","月","火","水","木","金","土"))</f>
        <v/>
      </c>
      <c r="C756" s="27"/>
      <c r="D756" s="27"/>
      <c r="E756" s="14" t="str">
        <f>IF(F756="","",IFERROR(INDEX(マスター!$F$5:$F$200,MATCH(F756,マスター!$E$5:$E$200,0)),"※マスター未登録"))</f>
        <v/>
      </c>
      <c r="F756" s="27"/>
      <c r="G756" s="27"/>
      <c r="H756" s="27"/>
      <c r="I756" s="27"/>
      <c r="J756" s="27"/>
      <c r="K756" s="27"/>
    </row>
    <row r="757" spans="1:11" x14ac:dyDescent="0.2">
      <c r="A757" s="26"/>
      <c r="B757" s="14" t="str">
        <f>IF(A757="","",CHOOSE(WEEKDAY(A757),"日","月","火","水","木","金","土"))</f>
        <v/>
      </c>
      <c r="C757" s="27"/>
      <c r="D757" s="27"/>
      <c r="E757" s="14" t="str">
        <f>IF(F757="","",IFERROR(INDEX(マスター!$F$5:$F$200,MATCH(F757,マスター!$E$5:$E$200,0)),"※マスター未登録"))</f>
        <v/>
      </c>
      <c r="F757" s="27"/>
      <c r="G757" s="27"/>
      <c r="H757" s="27"/>
      <c r="I757" s="27"/>
      <c r="J757" s="27"/>
      <c r="K757" s="27"/>
    </row>
    <row r="758" spans="1:11" x14ac:dyDescent="0.2">
      <c r="A758" s="26"/>
      <c r="B758" s="14" t="str">
        <f>IF(A758="","",CHOOSE(WEEKDAY(A758),"日","月","火","水","木","金","土"))</f>
        <v/>
      </c>
      <c r="C758" s="27"/>
      <c r="D758" s="27"/>
      <c r="E758" s="14" t="str">
        <f>IF(F758="","",IFERROR(INDEX(マスター!$F$5:$F$200,MATCH(F758,マスター!$E$5:$E$200,0)),"※マスター未登録"))</f>
        <v/>
      </c>
      <c r="F758" s="27"/>
      <c r="G758" s="27"/>
      <c r="H758" s="27"/>
      <c r="I758" s="27"/>
      <c r="J758" s="27"/>
      <c r="K758" s="27"/>
    </row>
    <row r="759" spans="1:11" x14ac:dyDescent="0.2">
      <c r="A759" s="26"/>
      <c r="B759" s="14" t="str">
        <f>IF(A759="","",CHOOSE(WEEKDAY(A759),"日","月","火","水","木","金","土"))</f>
        <v/>
      </c>
      <c r="C759" s="27"/>
      <c r="D759" s="27"/>
      <c r="E759" s="14" t="str">
        <f>IF(F759="","",IFERROR(INDEX(マスター!$F$5:$F$200,MATCH(F759,マスター!$E$5:$E$200,0)),"※マスター未登録"))</f>
        <v/>
      </c>
      <c r="F759" s="27"/>
      <c r="G759" s="27"/>
      <c r="H759" s="27"/>
      <c r="I759" s="27"/>
      <c r="J759" s="27"/>
      <c r="K759" s="27"/>
    </row>
    <row r="760" spans="1:11" x14ac:dyDescent="0.2">
      <c r="A760" s="26"/>
      <c r="B760" s="14" t="str">
        <f>IF(A760="","",CHOOSE(WEEKDAY(A760),"日","月","火","水","木","金","土"))</f>
        <v/>
      </c>
      <c r="C760" s="27"/>
      <c r="D760" s="27"/>
      <c r="E760" s="14" t="str">
        <f>IF(F760="","",IFERROR(INDEX(マスター!$F$5:$F$200,MATCH(F760,マスター!$E$5:$E$200,0)),"※マスター未登録"))</f>
        <v/>
      </c>
      <c r="F760" s="27"/>
      <c r="G760" s="27"/>
      <c r="H760" s="27"/>
      <c r="I760" s="27"/>
      <c r="J760" s="27"/>
      <c r="K760" s="27"/>
    </row>
    <row r="761" spans="1:11" x14ac:dyDescent="0.2">
      <c r="A761" s="26"/>
      <c r="B761" s="14" t="str">
        <f>IF(A761="","",CHOOSE(WEEKDAY(A761),"日","月","火","水","木","金","土"))</f>
        <v/>
      </c>
      <c r="C761" s="27"/>
      <c r="D761" s="27"/>
      <c r="E761" s="14" t="str">
        <f>IF(F761="","",IFERROR(INDEX(マスター!$F$5:$F$200,MATCH(F761,マスター!$E$5:$E$200,0)),"※マスター未登録"))</f>
        <v/>
      </c>
      <c r="F761" s="27"/>
      <c r="G761" s="27"/>
      <c r="H761" s="27"/>
      <c r="I761" s="27"/>
      <c r="J761" s="27"/>
      <c r="K761" s="27"/>
    </row>
    <row r="762" spans="1:11" x14ac:dyDescent="0.2">
      <c r="A762" s="26"/>
      <c r="B762" s="14" t="str">
        <f>IF(A762="","",CHOOSE(WEEKDAY(A762),"日","月","火","水","木","金","土"))</f>
        <v/>
      </c>
      <c r="C762" s="27"/>
      <c r="D762" s="27"/>
      <c r="E762" s="14" t="str">
        <f>IF(F762="","",IFERROR(INDEX(マスター!$F$5:$F$200,MATCH(F762,マスター!$E$5:$E$200,0)),"※マスター未登録"))</f>
        <v/>
      </c>
      <c r="F762" s="27"/>
      <c r="G762" s="27"/>
      <c r="H762" s="27"/>
      <c r="I762" s="27"/>
      <c r="J762" s="27"/>
      <c r="K762" s="27"/>
    </row>
    <row r="763" spans="1:11" x14ac:dyDescent="0.2">
      <c r="A763" s="26"/>
      <c r="B763" s="14" t="str">
        <f>IF(A763="","",CHOOSE(WEEKDAY(A763),"日","月","火","水","木","金","土"))</f>
        <v/>
      </c>
      <c r="C763" s="27"/>
      <c r="D763" s="27"/>
      <c r="E763" s="14" t="str">
        <f>IF(F763="","",IFERROR(INDEX(マスター!$F$5:$F$200,MATCH(F763,マスター!$E$5:$E$200,0)),"※マスター未登録"))</f>
        <v/>
      </c>
      <c r="F763" s="27"/>
      <c r="G763" s="27"/>
      <c r="H763" s="27"/>
      <c r="I763" s="27"/>
      <c r="J763" s="27"/>
      <c r="K763" s="27"/>
    </row>
    <row r="764" spans="1:11" x14ac:dyDescent="0.2">
      <c r="A764" s="26"/>
      <c r="B764" s="14" t="str">
        <f>IF(A764="","",CHOOSE(WEEKDAY(A764),"日","月","火","水","木","金","土"))</f>
        <v/>
      </c>
      <c r="C764" s="27"/>
      <c r="D764" s="27"/>
      <c r="E764" s="14" t="str">
        <f>IF(F764="","",IFERROR(INDEX(マスター!$F$5:$F$200,MATCH(F764,マスター!$E$5:$E$200,0)),"※マスター未登録"))</f>
        <v/>
      </c>
      <c r="F764" s="27"/>
      <c r="G764" s="27"/>
      <c r="H764" s="27"/>
      <c r="I764" s="27"/>
      <c r="J764" s="27"/>
      <c r="K764" s="27"/>
    </row>
    <row r="765" spans="1:11" x14ac:dyDescent="0.2">
      <c r="A765" s="26"/>
      <c r="B765" s="14" t="str">
        <f>IF(A765="","",CHOOSE(WEEKDAY(A765),"日","月","火","水","木","金","土"))</f>
        <v/>
      </c>
      <c r="C765" s="27"/>
      <c r="D765" s="27"/>
      <c r="E765" s="14" t="str">
        <f>IF(F765="","",IFERROR(INDEX(マスター!$F$5:$F$200,MATCH(F765,マスター!$E$5:$E$200,0)),"※マスター未登録"))</f>
        <v/>
      </c>
      <c r="F765" s="27"/>
      <c r="G765" s="27"/>
      <c r="H765" s="27"/>
      <c r="I765" s="27"/>
      <c r="J765" s="27"/>
      <c r="K765" s="27"/>
    </row>
    <row r="766" spans="1:11" x14ac:dyDescent="0.2">
      <c r="A766" s="26"/>
      <c r="B766" s="14" t="str">
        <f>IF(A766="","",CHOOSE(WEEKDAY(A766),"日","月","火","水","木","金","土"))</f>
        <v/>
      </c>
      <c r="C766" s="27"/>
      <c r="D766" s="27"/>
      <c r="E766" s="14" t="str">
        <f>IF(F766="","",IFERROR(INDEX(マスター!$F$5:$F$200,MATCH(F766,マスター!$E$5:$E$200,0)),"※マスター未登録"))</f>
        <v/>
      </c>
      <c r="F766" s="27"/>
      <c r="G766" s="27"/>
      <c r="H766" s="27"/>
      <c r="I766" s="27"/>
      <c r="J766" s="27"/>
      <c r="K766" s="27"/>
    </row>
    <row r="767" spans="1:11" x14ac:dyDescent="0.2">
      <c r="A767" s="26"/>
      <c r="B767" s="14" t="str">
        <f>IF(A767="","",CHOOSE(WEEKDAY(A767),"日","月","火","水","木","金","土"))</f>
        <v/>
      </c>
      <c r="C767" s="27"/>
      <c r="D767" s="27"/>
      <c r="E767" s="14" t="str">
        <f>IF(F767="","",IFERROR(INDEX(マスター!$F$5:$F$200,MATCH(F767,マスター!$E$5:$E$200,0)),"※マスター未登録"))</f>
        <v/>
      </c>
      <c r="F767" s="27"/>
      <c r="G767" s="27"/>
      <c r="H767" s="27"/>
      <c r="I767" s="27"/>
      <c r="J767" s="27"/>
      <c r="K767" s="27"/>
    </row>
    <row r="768" spans="1:11" x14ac:dyDescent="0.2">
      <c r="A768" s="26"/>
      <c r="B768" s="14" t="str">
        <f>IF(A768="","",CHOOSE(WEEKDAY(A768),"日","月","火","水","木","金","土"))</f>
        <v/>
      </c>
      <c r="C768" s="27"/>
      <c r="D768" s="27"/>
      <c r="E768" s="14" t="str">
        <f>IF(F768="","",IFERROR(INDEX(マスター!$F$5:$F$200,MATCH(F768,マスター!$E$5:$E$200,0)),"※マスター未登録"))</f>
        <v/>
      </c>
      <c r="F768" s="27"/>
      <c r="G768" s="27"/>
      <c r="H768" s="27"/>
      <c r="I768" s="27"/>
      <c r="J768" s="27"/>
      <c r="K768" s="27"/>
    </row>
    <row r="769" spans="1:11" x14ac:dyDescent="0.2">
      <c r="A769" s="26"/>
      <c r="B769" s="14" t="str">
        <f>IF(A769="","",CHOOSE(WEEKDAY(A769),"日","月","火","水","木","金","土"))</f>
        <v/>
      </c>
      <c r="C769" s="27"/>
      <c r="D769" s="27"/>
      <c r="E769" s="14" t="str">
        <f>IF(F769="","",IFERROR(INDEX(マスター!$F$5:$F$200,MATCH(F769,マスター!$E$5:$E$200,0)),"※マスター未登録"))</f>
        <v/>
      </c>
      <c r="F769" s="27"/>
      <c r="G769" s="27"/>
      <c r="H769" s="27"/>
      <c r="I769" s="27"/>
      <c r="J769" s="27"/>
      <c r="K769" s="27"/>
    </row>
    <row r="770" spans="1:11" x14ac:dyDescent="0.2">
      <c r="A770" s="26"/>
      <c r="B770" s="14" t="str">
        <f>IF(A770="","",CHOOSE(WEEKDAY(A770),"日","月","火","水","木","金","土"))</f>
        <v/>
      </c>
      <c r="C770" s="27"/>
      <c r="D770" s="27"/>
      <c r="E770" s="14" t="str">
        <f>IF(F770="","",IFERROR(INDEX(マスター!$F$5:$F$200,MATCH(F770,マスター!$E$5:$E$200,0)),"※マスター未登録"))</f>
        <v/>
      </c>
      <c r="F770" s="27"/>
      <c r="G770" s="27"/>
      <c r="H770" s="27"/>
      <c r="I770" s="27"/>
      <c r="J770" s="27"/>
      <c r="K770" s="27"/>
    </row>
    <row r="771" spans="1:11" x14ac:dyDescent="0.2">
      <c r="A771" s="26"/>
      <c r="B771" s="14" t="str">
        <f>IF(A771="","",CHOOSE(WEEKDAY(A771),"日","月","火","水","木","金","土"))</f>
        <v/>
      </c>
      <c r="C771" s="27"/>
      <c r="D771" s="27"/>
      <c r="E771" s="14" t="str">
        <f>IF(F771="","",IFERROR(INDEX(マスター!$F$5:$F$200,MATCH(F771,マスター!$E$5:$E$200,0)),"※マスター未登録"))</f>
        <v/>
      </c>
      <c r="F771" s="27"/>
      <c r="G771" s="27"/>
      <c r="H771" s="27"/>
      <c r="I771" s="27"/>
      <c r="J771" s="27"/>
      <c r="K771" s="27"/>
    </row>
    <row r="772" spans="1:11" x14ac:dyDescent="0.2">
      <c r="A772" s="26"/>
      <c r="B772" s="14" t="str">
        <f>IF(A772="","",CHOOSE(WEEKDAY(A772),"日","月","火","水","木","金","土"))</f>
        <v/>
      </c>
      <c r="C772" s="27"/>
      <c r="D772" s="27"/>
      <c r="E772" s="14" t="str">
        <f>IF(F772="","",IFERROR(INDEX(マスター!$F$5:$F$200,MATCH(F772,マスター!$E$5:$E$200,0)),"※マスター未登録"))</f>
        <v/>
      </c>
      <c r="F772" s="27"/>
      <c r="G772" s="27"/>
      <c r="H772" s="27"/>
      <c r="I772" s="27"/>
      <c r="J772" s="27"/>
      <c r="K772" s="27"/>
    </row>
    <row r="773" spans="1:11" x14ac:dyDescent="0.2">
      <c r="A773" s="26"/>
      <c r="B773" s="14" t="str">
        <f>IF(A773="","",CHOOSE(WEEKDAY(A773),"日","月","火","水","木","金","土"))</f>
        <v/>
      </c>
      <c r="C773" s="27"/>
      <c r="D773" s="27"/>
      <c r="E773" s="14" t="str">
        <f>IF(F773="","",IFERROR(INDEX(マスター!$F$5:$F$200,MATCH(F773,マスター!$E$5:$E$200,0)),"※マスター未登録"))</f>
        <v/>
      </c>
      <c r="F773" s="27"/>
      <c r="G773" s="27"/>
      <c r="H773" s="27"/>
      <c r="I773" s="27"/>
      <c r="J773" s="27"/>
      <c r="K773" s="27"/>
    </row>
    <row r="774" spans="1:11" x14ac:dyDescent="0.2">
      <c r="A774" s="26"/>
      <c r="B774" s="14" t="str">
        <f>IF(A774="","",CHOOSE(WEEKDAY(A774),"日","月","火","水","木","金","土"))</f>
        <v/>
      </c>
      <c r="C774" s="27"/>
      <c r="D774" s="27"/>
      <c r="E774" s="14" t="str">
        <f>IF(F774="","",IFERROR(INDEX(マスター!$F$5:$F$200,MATCH(F774,マスター!$E$5:$E$200,0)),"※マスター未登録"))</f>
        <v/>
      </c>
      <c r="F774" s="27"/>
      <c r="G774" s="27"/>
      <c r="H774" s="27"/>
      <c r="I774" s="27"/>
      <c r="J774" s="27"/>
      <c r="K774" s="27"/>
    </row>
    <row r="775" spans="1:11" x14ac:dyDescent="0.2">
      <c r="A775" s="26"/>
      <c r="B775" s="14" t="str">
        <f>IF(A775="","",CHOOSE(WEEKDAY(A775),"日","月","火","水","木","金","土"))</f>
        <v/>
      </c>
      <c r="C775" s="27"/>
      <c r="D775" s="27"/>
      <c r="E775" s="14" t="str">
        <f>IF(F775="","",IFERROR(INDEX(マスター!$F$5:$F$200,MATCH(F775,マスター!$E$5:$E$200,0)),"※マスター未登録"))</f>
        <v/>
      </c>
      <c r="F775" s="27"/>
      <c r="G775" s="27"/>
      <c r="H775" s="27"/>
      <c r="I775" s="27"/>
      <c r="J775" s="27"/>
      <c r="K775" s="27"/>
    </row>
    <row r="776" spans="1:11" x14ac:dyDescent="0.2">
      <c r="A776" s="26"/>
      <c r="B776" s="14" t="str">
        <f>IF(A776="","",CHOOSE(WEEKDAY(A776),"日","月","火","水","木","金","土"))</f>
        <v/>
      </c>
      <c r="C776" s="27"/>
      <c r="D776" s="27"/>
      <c r="E776" s="14" t="str">
        <f>IF(F776="","",IFERROR(INDEX(マスター!$F$5:$F$200,MATCH(F776,マスター!$E$5:$E$200,0)),"※マスター未登録"))</f>
        <v/>
      </c>
      <c r="F776" s="27"/>
      <c r="G776" s="27"/>
      <c r="H776" s="27"/>
      <c r="I776" s="27"/>
      <c r="J776" s="27"/>
      <c r="K776" s="27"/>
    </row>
    <row r="777" spans="1:11" x14ac:dyDescent="0.2">
      <c r="A777" s="26"/>
      <c r="B777" s="14" t="str">
        <f>IF(A777="","",CHOOSE(WEEKDAY(A777),"日","月","火","水","木","金","土"))</f>
        <v/>
      </c>
      <c r="C777" s="27"/>
      <c r="D777" s="27"/>
      <c r="E777" s="14" t="str">
        <f>IF(F777="","",IFERROR(INDEX(マスター!$F$5:$F$200,MATCH(F777,マスター!$E$5:$E$200,0)),"※マスター未登録"))</f>
        <v/>
      </c>
      <c r="F777" s="27"/>
      <c r="G777" s="27"/>
      <c r="H777" s="27"/>
      <c r="I777" s="27"/>
      <c r="J777" s="27"/>
      <c r="K777" s="27"/>
    </row>
    <row r="778" spans="1:11" x14ac:dyDescent="0.2">
      <c r="A778" s="26"/>
      <c r="B778" s="14" t="str">
        <f>IF(A778="","",CHOOSE(WEEKDAY(A778),"日","月","火","水","木","金","土"))</f>
        <v/>
      </c>
      <c r="C778" s="27"/>
      <c r="D778" s="27"/>
      <c r="E778" s="14" t="str">
        <f>IF(F778="","",IFERROR(INDEX(マスター!$F$5:$F$200,MATCH(F778,マスター!$E$5:$E$200,0)),"※マスター未登録"))</f>
        <v/>
      </c>
      <c r="F778" s="27"/>
      <c r="G778" s="27"/>
      <c r="H778" s="27"/>
      <c r="I778" s="27"/>
      <c r="J778" s="27"/>
      <c r="K778" s="27"/>
    </row>
    <row r="779" spans="1:11" x14ac:dyDescent="0.2">
      <c r="A779" s="26"/>
      <c r="B779" s="14" t="str">
        <f>IF(A779="","",CHOOSE(WEEKDAY(A779),"日","月","火","水","木","金","土"))</f>
        <v/>
      </c>
      <c r="C779" s="27"/>
      <c r="D779" s="27"/>
      <c r="E779" s="14" t="str">
        <f>IF(F779="","",IFERROR(INDEX(マスター!$F$5:$F$200,MATCH(F779,マスター!$E$5:$E$200,0)),"※マスター未登録"))</f>
        <v/>
      </c>
      <c r="F779" s="27"/>
      <c r="G779" s="27"/>
      <c r="H779" s="27"/>
      <c r="I779" s="27"/>
      <c r="J779" s="27"/>
      <c r="K779" s="27"/>
    </row>
    <row r="780" spans="1:11" x14ac:dyDescent="0.2">
      <c r="A780" s="26"/>
      <c r="B780" s="14" t="str">
        <f>IF(A780="","",CHOOSE(WEEKDAY(A780),"日","月","火","水","木","金","土"))</f>
        <v/>
      </c>
      <c r="C780" s="27"/>
      <c r="D780" s="27"/>
      <c r="E780" s="14" t="str">
        <f>IF(F780="","",IFERROR(INDEX(マスター!$F$5:$F$200,MATCH(F780,マスター!$E$5:$E$200,0)),"※マスター未登録"))</f>
        <v/>
      </c>
      <c r="F780" s="27"/>
      <c r="G780" s="27"/>
      <c r="H780" s="27"/>
      <c r="I780" s="27"/>
      <c r="J780" s="27"/>
      <c r="K780" s="27"/>
    </row>
    <row r="781" spans="1:11" x14ac:dyDescent="0.2">
      <c r="A781" s="26"/>
      <c r="B781" s="14" t="str">
        <f>IF(A781="","",CHOOSE(WEEKDAY(A781),"日","月","火","水","木","金","土"))</f>
        <v/>
      </c>
      <c r="C781" s="27"/>
      <c r="D781" s="27"/>
      <c r="E781" s="14" t="str">
        <f>IF(F781="","",IFERROR(INDEX(マスター!$F$5:$F$200,MATCH(F781,マスター!$E$5:$E$200,0)),"※マスター未登録"))</f>
        <v/>
      </c>
      <c r="F781" s="27"/>
      <c r="G781" s="27"/>
      <c r="H781" s="27"/>
      <c r="I781" s="27"/>
      <c r="J781" s="27"/>
      <c r="K781" s="27"/>
    </row>
    <row r="782" spans="1:11" x14ac:dyDescent="0.2">
      <c r="A782" s="26"/>
      <c r="B782" s="14" t="str">
        <f>IF(A782="","",CHOOSE(WEEKDAY(A782),"日","月","火","水","木","金","土"))</f>
        <v/>
      </c>
      <c r="C782" s="27"/>
      <c r="D782" s="27"/>
      <c r="E782" s="14" t="str">
        <f>IF(F782="","",IFERROR(INDEX(マスター!$F$5:$F$200,MATCH(F782,マスター!$E$5:$E$200,0)),"※マスター未登録"))</f>
        <v/>
      </c>
      <c r="F782" s="27"/>
      <c r="G782" s="27"/>
      <c r="H782" s="27"/>
      <c r="I782" s="27"/>
      <c r="J782" s="27"/>
      <c r="K782" s="27"/>
    </row>
    <row r="783" spans="1:11" x14ac:dyDescent="0.2">
      <c r="A783" s="26"/>
      <c r="B783" s="14" t="str">
        <f>IF(A783="","",CHOOSE(WEEKDAY(A783),"日","月","火","水","木","金","土"))</f>
        <v/>
      </c>
      <c r="C783" s="27"/>
      <c r="D783" s="27"/>
      <c r="E783" s="14" t="str">
        <f>IF(F783="","",IFERROR(INDEX(マスター!$F$5:$F$200,MATCH(F783,マスター!$E$5:$E$200,0)),"※マスター未登録"))</f>
        <v/>
      </c>
      <c r="F783" s="27"/>
      <c r="G783" s="27"/>
      <c r="H783" s="27"/>
      <c r="I783" s="27"/>
      <c r="J783" s="27"/>
      <c r="K783" s="27"/>
    </row>
    <row r="784" spans="1:11" x14ac:dyDescent="0.2">
      <c r="A784" s="26"/>
      <c r="B784" s="14" t="str">
        <f>IF(A784="","",CHOOSE(WEEKDAY(A784),"日","月","火","水","木","金","土"))</f>
        <v/>
      </c>
      <c r="C784" s="27"/>
      <c r="D784" s="27"/>
      <c r="E784" s="14" t="str">
        <f>IF(F784="","",IFERROR(INDEX(マスター!$F$5:$F$200,MATCH(F784,マスター!$E$5:$E$200,0)),"※マスター未登録"))</f>
        <v/>
      </c>
      <c r="F784" s="27"/>
      <c r="G784" s="27"/>
      <c r="H784" s="27"/>
      <c r="I784" s="27"/>
      <c r="J784" s="27"/>
      <c r="K784" s="27"/>
    </row>
    <row r="785" spans="1:11" x14ac:dyDescent="0.2">
      <c r="A785" s="26"/>
      <c r="B785" s="14" t="str">
        <f>IF(A785="","",CHOOSE(WEEKDAY(A785),"日","月","火","水","木","金","土"))</f>
        <v/>
      </c>
      <c r="C785" s="27"/>
      <c r="D785" s="27"/>
      <c r="E785" s="14" t="str">
        <f>IF(F785="","",IFERROR(INDEX(マスター!$F$5:$F$200,MATCH(F785,マスター!$E$5:$E$200,0)),"※マスター未登録"))</f>
        <v/>
      </c>
      <c r="F785" s="27"/>
      <c r="G785" s="27"/>
      <c r="H785" s="27"/>
      <c r="I785" s="27"/>
      <c r="J785" s="27"/>
      <c r="K785" s="27"/>
    </row>
    <row r="786" spans="1:11" x14ac:dyDescent="0.2">
      <c r="A786" s="26"/>
      <c r="B786" s="14" t="str">
        <f>IF(A786="","",CHOOSE(WEEKDAY(A786),"日","月","火","水","木","金","土"))</f>
        <v/>
      </c>
      <c r="C786" s="27"/>
      <c r="D786" s="27"/>
      <c r="E786" s="14" t="str">
        <f>IF(F786="","",IFERROR(INDEX(マスター!$F$5:$F$200,MATCH(F786,マスター!$E$5:$E$200,0)),"※マスター未登録"))</f>
        <v/>
      </c>
      <c r="F786" s="27"/>
      <c r="G786" s="27"/>
      <c r="H786" s="27"/>
      <c r="I786" s="27"/>
      <c r="J786" s="27"/>
      <c r="K786" s="27"/>
    </row>
    <row r="787" spans="1:11" x14ac:dyDescent="0.2">
      <c r="A787" s="26"/>
      <c r="B787" s="14" t="str">
        <f>IF(A787="","",CHOOSE(WEEKDAY(A787),"日","月","火","水","木","金","土"))</f>
        <v/>
      </c>
      <c r="C787" s="27"/>
      <c r="D787" s="27"/>
      <c r="E787" s="14" t="str">
        <f>IF(F787="","",IFERROR(INDEX(マスター!$F$5:$F$200,MATCH(F787,マスター!$E$5:$E$200,0)),"※マスター未登録"))</f>
        <v/>
      </c>
      <c r="F787" s="27"/>
      <c r="G787" s="27"/>
      <c r="H787" s="27"/>
      <c r="I787" s="27"/>
      <c r="J787" s="27"/>
      <c r="K787" s="27"/>
    </row>
    <row r="788" spans="1:11" x14ac:dyDescent="0.2">
      <c r="A788" s="26"/>
      <c r="B788" s="14" t="str">
        <f>IF(A788="","",CHOOSE(WEEKDAY(A788),"日","月","火","水","木","金","土"))</f>
        <v/>
      </c>
      <c r="C788" s="27"/>
      <c r="D788" s="27"/>
      <c r="E788" s="14" t="str">
        <f>IF(F788="","",IFERROR(INDEX(マスター!$F$5:$F$200,MATCH(F788,マスター!$E$5:$E$200,0)),"※マスター未登録"))</f>
        <v/>
      </c>
      <c r="F788" s="27"/>
      <c r="G788" s="27"/>
      <c r="H788" s="27"/>
      <c r="I788" s="27"/>
      <c r="J788" s="27"/>
      <c r="K788" s="27"/>
    </row>
    <row r="789" spans="1:11" x14ac:dyDescent="0.2">
      <c r="A789" s="26"/>
      <c r="B789" s="14" t="str">
        <f>IF(A789="","",CHOOSE(WEEKDAY(A789),"日","月","火","水","木","金","土"))</f>
        <v/>
      </c>
      <c r="C789" s="27"/>
      <c r="D789" s="27"/>
      <c r="E789" s="14" t="str">
        <f>IF(F789="","",IFERROR(INDEX(マスター!$F$5:$F$200,MATCH(F789,マスター!$E$5:$E$200,0)),"※マスター未登録"))</f>
        <v/>
      </c>
      <c r="F789" s="27"/>
      <c r="G789" s="27"/>
      <c r="H789" s="27"/>
      <c r="I789" s="27"/>
      <c r="J789" s="27"/>
      <c r="K789" s="27"/>
    </row>
    <row r="790" spans="1:11" x14ac:dyDescent="0.2">
      <c r="A790" s="26"/>
      <c r="B790" s="14" t="str">
        <f>IF(A790="","",CHOOSE(WEEKDAY(A790),"日","月","火","水","木","金","土"))</f>
        <v/>
      </c>
      <c r="C790" s="27"/>
      <c r="D790" s="27"/>
      <c r="E790" s="14" t="str">
        <f>IF(F790="","",IFERROR(INDEX(マスター!$F$5:$F$200,MATCH(F790,マスター!$E$5:$E$200,0)),"※マスター未登録"))</f>
        <v/>
      </c>
      <c r="F790" s="27"/>
      <c r="G790" s="27"/>
      <c r="H790" s="27"/>
      <c r="I790" s="27"/>
      <c r="J790" s="27"/>
      <c r="K790" s="27"/>
    </row>
    <row r="791" spans="1:11" x14ac:dyDescent="0.2">
      <c r="A791" s="26"/>
      <c r="B791" s="14" t="str">
        <f>IF(A791="","",CHOOSE(WEEKDAY(A791),"日","月","火","水","木","金","土"))</f>
        <v/>
      </c>
      <c r="C791" s="27"/>
      <c r="D791" s="27"/>
      <c r="E791" s="14" t="str">
        <f>IF(F791="","",IFERROR(INDEX(マスター!$F$5:$F$200,MATCH(F791,マスター!$E$5:$E$200,0)),"※マスター未登録"))</f>
        <v/>
      </c>
      <c r="F791" s="27"/>
      <c r="G791" s="27"/>
      <c r="H791" s="27"/>
      <c r="I791" s="27"/>
      <c r="J791" s="27"/>
      <c r="K791" s="27"/>
    </row>
    <row r="792" spans="1:11" x14ac:dyDescent="0.2">
      <c r="A792" s="26"/>
      <c r="B792" s="14" t="str">
        <f>IF(A792="","",CHOOSE(WEEKDAY(A792),"日","月","火","水","木","金","土"))</f>
        <v/>
      </c>
      <c r="C792" s="27"/>
      <c r="D792" s="27"/>
      <c r="E792" s="14" t="str">
        <f>IF(F792="","",IFERROR(INDEX(マスター!$F$5:$F$200,MATCH(F792,マスター!$E$5:$E$200,0)),"※マスター未登録"))</f>
        <v/>
      </c>
      <c r="F792" s="27"/>
      <c r="G792" s="27"/>
      <c r="H792" s="27"/>
      <c r="I792" s="27"/>
      <c r="J792" s="27"/>
      <c r="K792" s="27"/>
    </row>
    <row r="793" spans="1:11" x14ac:dyDescent="0.2">
      <c r="A793" s="26"/>
      <c r="B793" s="14" t="str">
        <f>IF(A793="","",CHOOSE(WEEKDAY(A793),"日","月","火","水","木","金","土"))</f>
        <v/>
      </c>
      <c r="C793" s="27"/>
      <c r="D793" s="27"/>
      <c r="E793" s="14" t="str">
        <f>IF(F793="","",IFERROR(INDEX(マスター!$F$5:$F$200,MATCH(F793,マスター!$E$5:$E$200,0)),"※マスター未登録"))</f>
        <v/>
      </c>
      <c r="F793" s="27"/>
      <c r="G793" s="27"/>
      <c r="H793" s="27"/>
      <c r="I793" s="27"/>
      <c r="J793" s="27"/>
      <c r="K793" s="27"/>
    </row>
    <row r="794" spans="1:11" x14ac:dyDescent="0.2">
      <c r="A794" s="26"/>
      <c r="B794" s="14" t="str">
        <f>IF(A794="","",CHOOSE(WEEKDAY(A794),"日","月","火","水","木","金","土"))</f>
        <v/>
      </c>
      <c r="C794" s="27"/>
      <c r="D794" s="27"/>
      <c r="E794" s="14" t="str">
        <f>IF(F794="","",IFERROR(INDEX(マスター!$F$5:$F$200,MATCH(F794,マスター!$E$5:$E$200,0)),"※マスター未登録"))</f>
        <v/>
      </c>
      <c r="F794" s="27"/>
      <c r="G794" s="27"/>
      <c r="H794" s="27"/>
      <c r="I794" s="27"/>
      <c r="J794" s="27"/>
      <c r="K794" s="27"/>
    </row>
    <row r="795" spans="1:11" x14ac:dyDescent="0.2">
      <c r="A795" s="26"/>
      <c r="B795" s="14" t="str">
        <f>IF(A795="","",CHOOSE(WEEKDAY(A795),"日","月","火","水","木","金","土"))</f>
        <v/>
      </c>
      <c r="C795" s="27"/>
      <c r="D795" s="27"/>
      <c r="E795" s="14" t="str">
        <f>IF(F795="","",IFERROR(INDEX(マスター!$F$5:$F$200,MATCH(F795,マスター!$E$5:$E$200,0)),"※マスター未登録"))</f>
        <v/>
      </c>
      <c r="F795" s="27"/>
      <c r="G795" s="27"/>
      <c r="H795" s="27"/>
      <c r="I795" s="27"/>
      <c r="J795" s="27"/>
      <c r="K795" s="27"/>
    </row>
    <row r="796" spans="1:11" x14ac:dyDescent="0.2">
      <c r="A796" s="26"/>
      <c r="B796" s="14" t="str">
        <f>IF(A796="","",CHOOSE(WEEKDAY(A796),"日","月","火","水","木","金","土"))</f>
        <v/>
      </c>
      <c r="C796" s="27"/>
      <c r="D796" s="27"/>
      <c r="E796" s="14" t="str">
        <f>IF(F796="","",IFERROR(INDEX(マスター!$F$5:$F$200,MATCH(F796,マスター!$E$5:$E$200,0)),"※マスター未登録"))</f>
        <v/>
      </c>
      <c r="F796" s="27"/>
      <c r="G796" s="27"/>
      <c r="H796" s="27"/>
      <c r="I796" s="27"/>
      <c r="J796" s="27"/>
      <c r="K796" s="27"/>
    </row>
    <row r="797" spans="1:11" x14ac:dyDescent="0.2">
      <c r="A797" s="26"/>
      <c r="B797" s="14" t="str">
        <f>IF(A797="","",CHOOSE(WEEKDAY(A797),"日","月","火","水","木","金","土"))</f>
        <v/>
      </c>
      <c r="C797" s="27"/>
      <c r="D797" s="27"/>
      <c r="E797" s="14" t="str">
        <f>IF(F797="","",IFERROR(INDEX(マスター!$F$5:$F$200,MATCH(F797,マスター!$E$5:$E$200,0)),"※マスター未登録"))</f>
        <v/>
      </c>
      <c r="F797" s="27"/>
      <c r="G797" s="27"/>
      <c r="H797" s="27"/>
      <c r="I797" s="27"/>
      <c r="J797" s="27"/>
      <c r="K797" s="27"/>
    </row>
    <row r="798" spans="1:11" x14ac:dyDescent="0.2">
      <c r="A798" s="26"/>
      <c r="B798" s="14" t="str">
        <f>IF(A798="","",CHOOSE(WEEKDAY(A798),"日","月","火","水","木","金","土"))</f>
        <v/>
      </c>
      <c r="C798" s="27"/>
      <c r="D798" s="27"/>
      <c r="E798" s="14" t="str">
        <f>IF(F798="","",IFERROR(INDEX(マスター!$F$5:$F$200,MATCH(F798,マスター!$E$5:$E$200,0)),"※マスター未登録"))</f>
        <v/>
      </c>
      <c r="F798" s="27"/>
      <c r="G798" s="27"/>
      <c r="H798" s="27"/>
      <c r="I798" s="27"/>
      <c r="J798" s="27"/>
      <c r="K798" s="27"/>
    </row>
    <row r="799" spans="1:11" x14ac:dyDescent="0.2">
      <c r="A799" s="26"/>
      <c r="B799" s="14" t="str">
        <f>IF(A799="","",CHOOSE(WEEKDAY(A799),"日","月","火","水","木","金","土"))</f>
        <v/>
      </c>
      <c r="C799" s="27"/>
      <c r="D799" s="27"/>
      <c r="E799" s="14" t="str">
        <f>IF(F799="","",IFERROR(INDEX(マスター!$F$5:$F$200,MATCH(F799,マスター!$E$5:$E$200,0)),"※マスター未登録"))</f>
        <v/>
      </c>
      <c r="F799" s="27"/>
      <c r="G799" s="27"/>
      <c r="H799" s="27"/>
      <c r="I799" s="27"/>
      <c r="J799" s="27"/>
      <c r="K799" s="27"/>
    </row>
    <row r="800" spans="1:11" x14ac:dyDescent="0.2">
      <c r="A800" s="26"/>
      <c r="B800" s="14" t="str">
        <f>IF(A800="","",CHOOSE(WEEKDAY(A800),"日","月","火","水","木","金","土"))</f>
        <v/>
      </c>
      <c r="C800" s="27"/>
      <c r="D800" s="27"/>
      <c r="E800" s="14" t="str">
        <f>IF(F800="","",IFERROR(INDEX(マスター!$F$5:$F$200,MATCH(F800,マスター!$E$5:$E$200,0)),"※マスター未登録"))</f>
        <v/>
      </c>
      <c r="F800" s="27"/>
      <c r="G800" s="27"/>
      <c r="H800" s="27"/>
      <c r="I800" s="27"/>
      <c r="J800" s="27"/>
      <c r="K800" s="27"/>
    </row>
    <row r="801" spans="1:11" x14ac:dyDescent="0.2">
      <c r="A801" s="26"/>
      <c r="B801" s="14" t="str">
        <f>IF(A801="","",CHOOSE(WEEKDAY(A801),"日","月","火","水","木","金","土"))</f>
        <v/>
      </c>
      <c r="C801" s="27"/>
      <c r="D801" s="27"/>
      <c r="E801" s="14" t="str">
        <f>IF(F801="","",IFERROR(INDEX(マスター!$F$5:$F$200,MATCH(F801,マスター!$E$5:$E$200,0)),"※マスター未登録"))</f>
        <v/>
      </c>
      <c r="F801" s="27"/>
      <c r="G801" s="27"/>
      <c r="H801" s="27"/>
      <c r="I801" s="27"/>
      <c r="J801" s="27"/>
      <c r="K801" s="27"/>
    </row>
    <row r="802" spans="1:11" x14ac:dyDescent="0.2">
      <c r="A802" s="26"/>
      <c r="B802" s="14" t="str">
        <f>IF(A802="","",CHOOSE(WEEKDAY(A802),"日","月","火","水","木","金","土"))</f>
        <v/>
      </c>
      <c r="C802" s="27"/>
      <c r="D802" s="27"/>
      <c r="E802" s="14" t="str">
        <f>IF(F802="","",IFERROR(INDEX(マスター!$F$5:$F$200,MATCH(F802,マスター!$E$5:$E$200,0)),"※マスター未登録"))</f>
        <v/>
      </c>
      <c r="F802" s="27"/>
      <c r="G802" s="27"/>
      <c r="H802" s="27"/>
      <c r="I802" s="27"/>
      <c r="J802" s="27"/>
      <c r="K802" s="27"/>
    </row>
    <row r="803" spans="1:11" x14ac:dyDescent="0.2">
      <c r="A803" s="26"/>
      <c r="B803" s="14" t="str">
        <f>IF(A803="","",CHOOSE(WEEKDAY(A803),"日","月","火","水","木","金","土"))</f>
        <v/>
      </c>
      <c r="C803" s="27"/>
      <c r="D803" s="27"/>
      <c r="E803" s="14" t="str">
        <f>IF(F803="","",IFERROR(INDEX(マスター!$F$5:$F$200,MATCH(F803,マスター!$E$5:$E$200,0)),"※マスター未登録"))</f>
        <v/>
      </c>
      <c r="F803" s="27"/>
      <c r="G803" s="27"/>
      <c r="H803" s="27"/>
      <c r="I803" s="27"/>
      <c r="J803" s="27"/>
      <c r="K803" s="27"/>
    </row>
    <row r="804" spans="1:11" x14ac:dyDescent="0.2">
      <c r="A804" s="26"/>
      <c r="B804" s="14" t="str">
        <f>IF(A804="","",CHOOSE(WEEKDAY(A804),"日","月","火","水","木","金","土"))</f>
        <v/>
      </c>
      <c r="C804" s="27"/>
      <c r="D804" s="27"/>
      <c r="E804" s="14" t="str">
        <f>IF(F804="","",IFERROR(INDEX(マスター!$F$5:$F$200,MATCH(F804,マスター!$E$5:$E$200,0)),"※マスター未登録"))</f>
        <v/>
      </c>
      <c r="F804" s="27"/>
      <c r="G804" s="27"/>
      <c r="H804" s="27"/>
      <c r="I804" s="27"/>
      <c r="J804" s="27"/>
      <c r="K804" s="27"/>
    </row>
    <row r="805" spans="1:11" x14ac:dyDescent="0.2">
      <c r="A805" s="26"/>
      <c r="B805" s="14" t="str">
        <f>IF(A805="","",CHOOSE(WEEKDAY(A805),"日","月","火","水","木","金","土"))</f>
        <v/>
      </c>
      <c r="C805" s="27"/>
      <c r="D805" s="27"/>
      <c r="E805" s="14" t="str">
        <f>IF(F805="","",IFERROR(INDEX(マスター!$F$5:$F$200,MATCH(F805,マスター!$E$5:$E$200,0)),"※マスター未登録"))</f>
        <v/>
      </c>
      <c r="F805" s="27"/>
      <c r="G805" s="27"/>
      <c r="H805" s="27"/>
      <c r="I805" s="27"/>
      <c r="J805" s="27"/>
      <c r="K805" s="27"/>
    </row>
    <row r="806" spans="1:11" x14ac:dyDescent="0.2">
      <c r="A806" s="26"/>
      <c r="B806" s="14" t="str">
        <f>IF(A806="","",CHOOSE(WEEKDAY(A806),"日","月","火","水","木","金","土"))</f>
        <v/>
      </c>
      <c r="C806" s="27"/>
      <c r="D806" s="27"/>
      <c r="E806" s="14" t="str">
        <f>IF(F806="","",IFERROR(INDEX(マスター!$F$5:$F$200,MATCH(F806,マスター!$E$5:$E$200,0)),"※マスター未登録"))</f>
        <v/>
      </c>
      <c r="F806" s="27"/>
      <c r="G806" s="27"/>
      <c r="H806" s="27"/>
      <c r="I806" s="27"/>
      <c r="J806" s="27"/>
      <c r="K806" s="27"/>
    </row>
    <row r="807" spans="1:11" x14ac:dyDescent="0.2">
      <c r="A807" s="26"/>
      <c r="B807" s="14" t="str">
        <f>IF(A807="","",CHOOSE(WEEKDAY(A807),"日","月","火","水","木","金","土"))</f>
        <v/>
      </c>
      <c r="C807" s="27"/>
      <c r="D807" s="27"/>
      <c r="E807" s="14" t="str">
        <f>IF(F807="","",IFERROR(INDEX(マスター!$F$5:$F$200,MATCH(F807,マスター!$E$5:$E$200,0)),"※マスター未登録"))</f>
        <v/>
      </c>
      <c r="F807" s="27"/>
      <c r="G807" s="27"/>
      <c r="H807" s="27"/>
      <c r="I807" s="27"/>
      <c r="J807" s="27"/>
      <c r="K807" s="27"/>
    </row>
    <row r="808" spans="1:11" x14ac:dyDescent="0.2">
      <c r="A808" s="26"/>
      <c r="B808" s="14" t="str">
        <f>IF(A808="","",CHOOSE(WEEKDAY(A808),"日","月","火","水","木","金","土"))</f>
        <v/>
      </c>
      <c r="C808" s="27"/>
      <c r="D808" s="27"/>
      <c r="E808" s="14" t="str">
        <f>IF(F808="","",IFERROR(INDEX(マスター!$F$5:$F$200,MATCH(F808,マスター!$E$5:$E$200,0)),"※マスター未登録"))</f>
        <v/>
      </c>
      <c r="F808" s="27"/>
      <c r="G808" s="27"/>
      <c r="H808" s="27"/>
      <c r="I808" s="27"/>
      <c r="J808" s="27"/>
      <c r="K808" s="27"/>
    </row>
    <row r="809" spans="1:11" x14ac:dyDescent="0.2">
      <c r="A809" s="26"/>
      <c r="B809" s="14" t="str">
        <f>IF(A809="","",CHOOSE(WEEKDAY(A809),"日","月","火","水","木","金","土"))</f>
        <v/>
      </c>
      <c r="C809" s="27"/>
      <c r="D809" s="27"/>
      <c r="E809" s="14" t="str">
        <f>IF(F809="","",IFERROR(INDEX(マスター!$F$5:$F$200,MATCH(F809,マスター!$E$5:$E$200,0)),"※マスター未登録"))</f>
        <v/>
      </c>
      <c r="F809" s="27"/>
      <c r="G809" s="27"/>
      <c r="H809" s="27"/>
      <c r="I809" s="27"/>
      <c r="J809" s="27"/>
      <c r="K809" s="27"/>
    </row>
    <row r="810" spans="1:11" x14ac:dyDescent="0.2">
      <c r="A810" s="26"/>
      <c r="B810" s="14" t="str">
        <f>IF(A810="","",CHOOSE(WEEKDAY(A810),"日","月","火","水","木","金","土"))</f>
        <v/>
      </c>
      <c r="C810" s="27"/>
      <c r="D810" s="27"/>
      <c r="E810" s="14" t="str">
        <f>IF(F810="","",IFERROR(INDEX(マスター!$F$5:$F$200,MATCH(F810,マスター!$E$5:$E$200,0)),"※マスター未登録"))</f>
        <v/>
      </c>
      <c r="F810" s="27"/>
      <c r="G810" s="27"/>
      <c r="H810" s="27"/>
      <c r="I810" s="27"/>
      <c r="J810" s="27"/>
      <c r="K810" s="27"/>
    </row>
    <row r="811" spans="1:11" x14ac:dyDescent="0.2">
      <c r="A811" s="26"/>
      <c r="B811" s="14" t="str">
        <f>IF(A811="","",CHOOSE(WEEKDAY(A811),"日","月","火","水","木","金","土"))</f>
        <v/>
      </c>
      <c r="C811" s="27"/>
      <c r="D811" s="27"/>
      <c r="E811" s="14" t="str">
        <f>IF(F811="","",IFERROR(INDEX(マスター!$F$5:$F$200,MATCH(F811,マスター!$E$5:$E$200,0)),"※マスター未登録"))</f>
        <v/>
      </c>
      <c r="F811" s="27"/>
      <c r="G811" s="27"/>
      <c r="H811" s="27"/>
      <c r="I811" s="27"/>
      <c r="J811" s="27"/>
      <c r="K811" s="27"/>
    </row>
    <row r="812" spans="1:11" x14ac:dyDescent="0.2">
      <c r="A812" s="26"/>
      <c r="B812" s="14" t="str">
        <f>IF(A812="","",CHOOSE(WEEKDAY(A812),"日","月","火","水","木","金","土"))</f>
        <v/>
      </c>
      <c r="C812" s="27"/>
      <c r="D812" s="27"/>
      <c r="E812" s="14" t="str">
        <f>IF(F812="","",IFERROR(INDEX(マスター!$F$5:$F$200,MATCH(F812,マスター!$E$5:$E$200,0)),"※マスター未登録"))</f>
        <v/>
      </c>
      <c r="F812" s="27"/>
      <c r="G812" s="27"/>
      <c r="H812" s="27"/>
      <c r="I812" s="27"/>
      <c r="J812" s="27"/>
      <c r="K812" s="27"/>
    </row>
    <row r="813" spans="1:11" x14ac:dyDescent="0.2">
      <c r="A813" s="26"/>
      <c r="B813" s="14" t="str">
        <f>IF(A813="","",CHOOSE(WEEKDAY(A813),"日","月","火","水","木","金","土"))</f>
        <v/>
      </c>
      <c r="C813" s="27"/>
      <c r="D813" s="27"/>
      <c r="E813" s="14" t="str">
        <f>IF(F813="","",IFERROR(INDEX(マスター!$F$5:$F$200,MATCH(F813,マスター!$E$5:$E$200,0)),"※マスター未登録"))</f>
        <v/>
      </c>
      <c r="F813" s="27"/>
      <c r="G813" s="27"/>
      <c r="H813" s="27"/>
      <c r="I813" s="27"/>
      <c r="J813" s="27"/>
      <c r="K813" s="27"/>
    </row>
    <row r="814" spans="1:11" x14ac:dyDescent="0.2">
      <c r="A814" s="26"/>
      <c r="B814" s="14" t="str">
        <f>IF(A814="","",CHOOSE(WEEKDAY(A814),"日","月","火","水","木","金","土"))</f>
        <v/>
      </c>
      <c r="C814" s="27"/>
      <c r="D814" s="27"/>
      <c r="E814" s="14" t="str">
        <f>IF(F814="","",IFERROR(INDEX(マスター!$F$5:$F$200,MATCH(F814,マスター!$E$5:$E$200,0)),"※マスター未登録"))</f>
        <v/>
      </c>
      <c r="F814" s="27"/>
      <c r="G814" s="27"/>
      <c r="H814" s="27"/>
      <c r="I814" s="27"/>
      <c r="J814" s="27"/>
      <c r="K814" s="27"/>
    </row>
    <row r="815" spans="1:11" x14ac:dyDescent="0.2">
      <c r="A815" s="26"/>
      <c r="B815" s="14" t="str">
        <f>IF(A815="","",CHOOSE(WEEKDAY(A815),"日","月","火","水","木","金","土"))</f>
        <v/>
      </c>
      <c r="C815" s="27"/>
      <c r="D815" s="27"/>
      <c r="E815" s="14" t="str">
        <f>IF(F815="","",IFERROR(INDEX(マスター!$F$5:$F$200,MATCH(F815,マスター!$E$5:$E$200,0)),"※マスター未登録"))</f>
        <v/>
      </c>
      <c r="F815" s="27"/>
      <c r="G815" s="27"/>
      <c r="H815" s="27"/>
      <c r="I815" s="27"/>
      <c r="J815" s="27"/>
      <c r="K815" s="27"/>
    </row>
    <row r="816" spans="1:11" x14ac:dyDescent="0.2">
      <c r="A816" s="26"/>
      <c r="B816" s="14" t="str">
        <f>IF(A816="","",CHOOSE(WEEKDAY(A816),"日","月","火","水","木","金","土"))</f>
        <v/>
      </c>
      <c r="C816" s="27"/>
      <c r="D816" s="27"/>
      <c r="E816" s="14" t="str">
        <f>IF(F816="","",IFERROR(INDEX(マスター!$F$5:$F$200,MATCH(F816,マスター!$E$5:$E$200,0)),"※マスター未登録"))</f>
        <v/>
      </c>
      <c r="F816" s="27"/>
      <c r="G816" s="27"/>
      <c r="H816" s="27"/>
      <c r="I816" s="27"/>
      <c r="J816" s="27"/>
      <c r="K816" s="27"/>
    </row>
    <row r="817" spans="1:11" x14ac:dyDescent="0.2">
      <c r="A817" s="26"/>
      <c r="B817" s="14" t="str">
        <f>IF(A817="","",CHOOSE(WEEKDAY(A817),"日","月","火","水","木","金","土"))</f>
        <v/>
      </c>
      <c r="C817" s="27"/>
      <c r="D817" s="27"/>
      <c r="E817" s="14" t="str">
        <f>IF(F817="","",IFERROR(INDEX(マスター!$F$5:$F$200,MATCH(F817,マスター!$E$5:$E$200,0)),"※マスター未登録"))</f>
        <v/>
      </c>
      <c r="F817" s="27"/>
      <c r="G817" s="27"/>
      <c r="H817" s="27"/>
      <c r="I817" s="27"/>
      <c r="J817" s="27"/>
      <c r="K817" s="27"/>
    </row>
    <row r="818" spans="1:11" x14ac:dyDescent="0.2">
      <c r="A818" s="26"/>
      <c r="B818" s="14" t="str">
        <f>IF(A818="","",CHOOSE(WEEKDAY(A818),"日","月","火","水","木","金","土"))</f>
        <v/>
      </c>
      <c r="C818" s="27"/>
      <c r="D818" s="27"/>
      <c r="E818" s="14" t="str">
        <f>IF(F818="","",IFERROR(INDEX(マスター!$F$5:$F$200,MATCH(F818,マスター!$E$5:$E$200,0)),"※マスター未登録"))</f>
        <v/>
      </c>
      <c r="F818" s="27"/>
      <c r="G818" s="27"/>
      <c r="H818" s="27"/>
      <c r="I818" s="27"/>
      <c r="J818" s="27"/>
      <c r="K818" s="27"/>
    </row>
    <row r="819" spans="1:11" x14ac:dyDescent="0.2">
      <c r="A819" s="26"/>
      <c r="B819" s="14" t="str">
        <f>IF(A819="","",CHOOSE(WEEKDAY(A819),"日","月","火","水","木","金","土"))</f>
        <v/>
      </c>
      <c r="C819" s="27"/>
      <c r="D819" s="27"/>
      <c r="E819" s="14" t="str">
        <f>IF(F819="","",IFERROR(INDEX(マスター!$F$5:$F$200,MATCH(F819,マスター!$E$5:$E$200,0)),"※マスター未登録"))</f>
        <v/>
      </c>
      <c r="F819" s="27"/>
      <c r="G819" s="27"/>
      <c r="H819" s="27"/>
      <c r="I819" s="27"/>
      <c r="J819" s="27"/>
      <c r="K819" s="27"/>
    </row>
    <row r="820" spans="1:11" x14ac:dyDescent="0.2">
      <c r="A820" s="26"/>
      <c r="B820" s="14" t="str">
        <f>IF(A820="","",CHOOSE(WEEKDAY(A820),"日","月","火","水","木","金","土"))</f>
        <v/>
      </c>
      <c r="C820" s="27"/>
      <c r="D820" s="27"/>
      <c r="E820" s="14" t="str">
        <f>IF(F820="","",IFERROR(INDEX(マスター!$F$5:$F$200,MATCH(F820,マスター!$E$5:$E$200,0)),"※マスター未登録"))</f>
        <v/>
      </c>
      <c r="F820" s="27"/>
      <c r="G820" s="27"/>
      <c r="H820" s="27"/>
      <c r="I820" s="27"/>
      <c r="J820" s="27"/>
      <c r="K820" s="27"/>
    </row>
    <row r="821" spans="1:11" x14ac:dyDescent="0.2">
      <c r="A821" s="26"/>
      <c r="B821" s="14" t="str">
        <f>IF(A821="","",CHOOSE(WEEKDAY(A821),"日","月","火","水","木","金","土"))</f>
        <v/>
      </c>
      <c r="C821" s="27"/>
      <c r="D821" s="27"/>
      <c r="E821" s="14" t="str">
        <f>IF(F821="","",IFERROR(INDEX(マスター!$F$5:$F$200,MATCH(F821,マスター!$E$5:$E$200,0)),"※マスター未登録"))</f>
        <v/>
      </c>
      <c r="F821" s="27"/>
      <c r="G821" s="27"/>
      <c r="H821" s="27"/>
      <c r="I821" s="27"/>
      <c r="J821" s="27"/>
      <c r="K821" s="27"/>
    </row>
    <row r="822" spans="1:11" x14ac:dyDescent="0.2">
      <c r="A822" s="26"/>
      <c r="B822" s="14" t="str">
        <f>IF(A822="","",CHOOSE(WEEKDAY(A822),"日","月","火","水","木","金","土"))</f>
        <v/>
      </c>
      <c r="C822" s="27"/>
      <c r="D822" s="27"/>
      <c r="E822" s="14" t="str">
        <f>IF(F822="","",IFERROR(INDEX(マスター!$F$5:$F$200,MATCH(F822,マスター!$E$5:$E$200,0)),"※マスター未登録"))</f>
        <v/>
      </c>
      <c r="F822" s="27"/>
      <c r="G822" s="27"/>
      <c r="H822" s="27"/>
      <c r="I822" s="27"/>
      <c r="J822" s="27"/>
      <c r="K822" s="27"/>
    </row>
    <row r="823" spans="1:11" x14ac:dyDescent="0.2">
      <c r="A823" s="26"/>
      <c r="B823" s="14" t="str">
        <f>IF(A823="","",CHOOSE(WEEKDAY(A823),"日","月","火","水","木","金","土"))</f>
        <v/>
      </c>
      <c r="C823" s="27"/>
      <c r="D823" s="27"/>
      <c r="E823" s="14" t="str">
        <f>IF(F823="","",IFERROR(INDEX(マスター!$F$5:$F$200,MATCH(F823,マスター!$E$5:$E$200,0)),"※マスター未登録"))</f>
        <v/>
      </c>
      <c r="F823" s="27"/>
      <c r="G823" s="27"/>
      <c r="H823" s="27"/>
      <c r="I823" s="27"/>
      <c r="J823" s="27"/>
      <c r="K823" s="27"/>
    </row>
    <row r="824" spans="1:11" x14ac:dyDescent="0.2">
      <c r="A824" s="26"/>
      <c r="B824" s="14" t="str">
        <f>IF(A824="","",CHOOSE(WEEKDAY(A824),"日","月","火","水","木","金","土"))</f>
        <v/>
      </c>
      <c r="C824" s="27"/>
      <c r="D824" s="27"/>
      <c r="E824" s="14" t="str">
        <f>IF(F824="","",IFERROR(INDEX(マスター!$F$5:$F$200,MATCH(F824,マスター!$E$5:$E$200,0)),"※マスター未登録"))</f>
        <v/>
      </c>
      <c r="F824" s="27"/>
      <c r="G824" s="27"/>
      <c r="H824" s="27"/>
      <c r="I824" s="27"/>
      <c r="J824" s="27"/>
      <c r="K824" s="27"/>
    </row>
    <row r="825" spans="1:11" x14ac:dyDescent="0.2">
      <c r="A825" s="26"/>
      <c r="B825" s="14" t="str">
        <f>IF(A825="","",CHOOSE(WEEKDAY(A825),"日","月","火","水","木","金","土"))</f>
        <v/>
      </c>
      <c r="C825" s="27"/>
      <c r="D825" s="27"/>
      <c r="E825" s="14" t="str">
        <f>IF(F825="","",IFERROR(INDEX(マスター!$F$5:$F$200,MATCH(F825,マスター!$E$5:$E$200,0)),"※マスター未登録"))</f>
        <v/>
      </c>
      <c r="F825" s="27"/>
      <c r="G825" s="27"/>
      <c r="H825" s="27"/>
      <c r="I825" s="27"/>
      <c r="J825" s="27"/>
      <c r="K825" s="27"/>
    </row>
    <row r="826" spans="1:11" x14ac:dyDescent="0.2">
      <c r="A826" s="26"/>
      <c r="B826" s="14" t="str">
        <f>IF(A826="","",CHOOSE(WEEKDAY(A826),"日","月","火","水","木","金","土"))</f>
        <v/>
      </c>
      <c r="C826" s="27"/>
      <c r="D826" s="27"/>
      <c r="E826" s="14" t="str">
        <f>IF(F826="","",IFERROR(INDEX(マスター!$F$5:$F$200,MATCH(F826,マスター!$E$5:$E$200,0)),"※マスター未登録"))</f>
        <v/>
      </c>
      <c r="F826" s="27"/>
      <c r="G826" s="27"/>
      <c r="H826" s="27"/>
      <c r="I826" s="27"/>
      <c r="J826" s="27"/>
      <c r="K826" s="27"/>
    </row>
    <row r="827" spans="1:11" x14ac:dyDescent="0.2">
      <c r="A827" s="26"/>
      <c r="B827" s="14" t="str">
        <f>IF(A827="","",CHOOSE(WEEKDAY(A827),"日","月","火","水","木","金","土"))</f>
        <v/>
      </c>
      <c r="C827" s="27"/>
      <c r="D827" s="27"/>
      <c r="E827" s="14" t="str">
        <f>IF(F827="","",IFERROR(INDEX(マスター!$F$5:$F$200,MATCH(F827,マスター!$E$5:$E$200,0)),"※マスター未登録"))</f>
        <v/>
      </c>
      <c r="F827" s="27"/>
      <c r="G827" s="27"/>
      <c r="H827" s="27"/>
      <c r="I827" s="27"/>
      <c r="J827" s="27"/>
      <c r="K827" s="27"/>
    </row>
    <row r="828" spans="1:11" x14ac:dyDescent="0.2">
      <c r="A828" s="26"/>
      <c r="B828" s="14" t="str">
        <f>IF(A828="","",CHOOSE(WEEKDAY(A828),"日","月","火","水","木","金","土"))</f>
        <v/>
      </c>
      <c r="C828" s="27"/>
      <c r="D828" s="27"/>
      <c r="E828" s="14" t="str">
        <f>IF(F828="","",IFERROR(INDEX(マスター!$F$5:$F$200,MATCH(F828,マスター!$E$5:$E$200,0)),"※マスター未登録"))</f>
        <v/>
      </c>
      <c r="F828" s="27"/>
      <c r="G828" s="27"/>
      <c r="H828" s="27"/>
      <c r="I828" s="27"/>
      <c r="J828" s="27"/>
      <c r="K828" s="27"/>
    </row>
    <row r="829" spans="1:11" x14ac:dyDescent="0.2">
      <c r="A829" s="26"/>
      <c r="B829" s="14" t="str">
        <f>IF(A829="","",CHOOSE(WEEKDAY(A829),"日","月","火","水","木","金","土"))</f>
        <v/>
      </c>
      <c r="C829" s="27"/>
      <c r="D829" s="27"/>
      <c r="E829" s="14" t="str">
        <f>IF(F829="","",IFERROR(INDEX(マスター!$F$5:$F$200,MATCH(F829,マスター!$E$5:$E$200,0)),"※マスター未登録"))</f>
        <v/>
      </c>
      <c r="F829" s="27"/>
      <c r="G829" s="27"/>
      <c r="H829" s="27"/>
      <c r="I829" s="27"/>
      <c r="J829" s="27"/>
      <c r="K829" s="27"/>
    </row>
    <row r="830" spans="1:11" x14ac:dyDescent="0.2">
      <c r="A830" s="26"/>
      <c r="B830" s="14" t="str">
        <f>IF(A830="","",CHOOSE(WEEKDAY(A830),"日","月","火","水","木","金","土"))</f>
        <v/>
      </c>
      <c r="C830" s="27"/>
      <c r="D830" s="27"/>
      <c r="E830" s="14" t="str">
        <f>IF(F830="","",IFERROR(INDEX(マスター!$F$5:$F$200,MATCH(F830,マスター!$E$5:$E$200,0)),"※マスター未登録"))</f>
        <v/>
      </c>
      <c r="F830" s="27"/>
      <c r="G830" s="27"/>
      <c r="H830" s="27"/>
      <c r="I830" s="27"/>
      <c r="J830" s="27"/>
      <c r="K830" s="27"/>
    </row>
    <row r="831" spans="1:11" x14ac:dyDescent="0.2">
      <c r="A831" s="26"/>
      <c r="B831" s="14" t="str">
        <f>IF(A831="","",CHOOSE(WEEKDAY(A831),"日","月","火","水","木","金","土"))</f>
        <v/>
      </c>
      <c r="C831" s="27"/>
      <c r="D831" s="27"/>
      <c r="E831" s="14" t="str">
        <f>IF(F831="","",IFERROR(INDEX(マスター!$F$5:$F$200,MATCH(F831,マスター!$E$5:$E$200,0)),"※マスター未登録"))</f>
        <v/>
      </c>
      <c r="F831" s="27"/>
      <c r="G831" s="27"/>
      <c r="H831" s="27"/>
      <c r="I831" s="27"/>
      <c r="J831" s="27"/>
      <c r="K831" s="27"/>
    </row>
    <row r="832" spans="1:11" x14ac:dyDescent="0.2">
      <c r="A832" s="26"/>
      <c r="B832" s="14" t="str">
        <f>IF(A832="","",CHOOSE(WEEKDAY(A832),"日","月","火","水","木","金","土"))</f>
        <v/>
      </c>
      <c r="C832" s="27"/>
      <c r="D832" s="27"/>
      <c r="E832" s="14" t="str">
        <f>IF(F832="","",IFERROR(INDEX(マスター!$F$5:$F$200,MATCH(F832,マスター!$E$5:$E$200,0)),"※マスター未登録"))</f>
        <v/>
      </c>
      <c r="F832" s="27"/>
      <c r="G832" s="27"/>
      <c r="H832" s="27"/>
      <c r="I832" s="27"/>
      <c r="J832" s="27"/>
      <c r="K832" s="27"/>
    </row>
    <row r="833" spans="1:11" x14ac:dyDescent="0.2">
      <c r="A833" s="26"/>
      <c r="B833" s="14" t="str">
        <f>IF(A833="","",CHOOSE(WEEKDAY(A833),"日","月","火","水","木","金","土"))</f>
        <v/>
      </c>
      <c r="C833" s="27"/>
      <c r="D833" s="27"/>
      <c r="E833" s="14" t="str">
        <f>IF(F833="","",IFERROR(INDEX(マスター!$F$5:$F$200,MATCH(F833,マスター!$E$5:$E$200,0)),"※マスター未登録"))</f>
        <v/>
      </c>
      <c r="F833" s="27"/>
      <c r="G833" s="27"/>
      <c r="H833" s="27"/>
      <c r="I833" s="27"/>
      <c r="J833" s="27"/>
      <c r="K833" s="27"/>
    </row>
    <row r="834" spans="1:11" x14ac:dyDescent="0.2">
      <c r="A834" s="26"/>
      <c r="B834" s="14" t="str">
        <f>IF(A834="","",CHOOSE(WEEKDAY(A834),"日","月","火","水","木","金","土"))</f>
        <v/>
      </c>
      <c r="C834" s="27"/>
      <c r="D834" s="27"/>
      <c r="E834" s="14" t="str">
        <f>IF(F834="","",IFERROR(INDEX(マスター!$F$5:$F$200,MATCH(F834,マスター!$E$5:$E$200,0)),"※マスター未登録"))</f>
        <v/>
      </c>
      <c r="F834" s="27"/>
      <c r="G834" s="27"/>
      <c r="H834" s="27"/>
      <c r="I834" s="27"/>
      <c r="J834" s="27"/>
      <c r="K834" s="27"/>
    </row>
    <row r="835" spans="1:11" x14ac:dyDescent="0.2">
      <c r="A835" s="26"/>
      <c r="B835" s="14" t="str">
        <f>IF(A835="","",CHOOSE(WEEKDAY(A835),"日","月","火","水","木","金","土"))</f>
        <v/>
      </c>
      <c r="C835" s="27"/>
      <c r="D835" s="27"/>
      <c r="E835" s="14" t="str">
        <f>IF(F835="","",IFERROR(INDEX(マスター!$F$5:$F$200,MATCH(F835,マスター!$E$5:$E$200,0)),"※マスター未登録"))</f>
        <v/>
      </c>
      <c r="F835" s="27"/>
      <c r="G835" s="27"/>
      <c r="H835" s="27"/>
      <c r="I835" s="27"/>
      <c r="J835" s="27"/>
      <c r="K835" s="27"/>
    </row>
    <row r="836" spans="1:11" x14ac:dyDescent="0.2">
      <c r="A836" s="26"/>
      <c r="B836" s="14" t="str">
        <f>IF(A836="","",CHOOSE(WEEKDAY(A836),"日","月","火","水","木","金","土"))</f>
        <v/>
      </c>
      <c r="C836" s="27"/>
      <c r="D836" s="27"/>
      <c r="E836" s="14" t="str">
        <f>IF(F836="","",IFERROR(INDEX(マスター!$F$5:$F$200,MATCH(F836,マスター!$E$5:$E$200,0)),"※マスター未登録"))</f>
        <v/>
      </c>
      <c r="F836" s="27"/>
      <c r="G836" s="27"/>
      <c r="H836" s="27"/>
      <c r="I836" s="27"/>
      <c r="J836" s="27"/>
      <c r="K836" s="27"/>
    </row>
    <row r="837" spans="1:11" x14ac:dyDescent="0.2">
      <c r="A837" s="26"/>
      <c r="B837" s="14" t="str">
        <f>IF(A837="","",CHOOSE(WEEKDAY(A837),"日","月","火","水","木","金","土"))</f>
        <v/>
      </c>
      <c r="C837" s="27"/>
      <c r="D837" s="27"/>
      <c r="E837" s="14" t="str">
        <f>IF(F837="","",IFERROR(INDEX(マスター!$F$5:$F$200,MATCH(F837,マスター!$E$5:$E$200,0)),"※マスター未登録"))</f>
        <v/>
      </c>
      <c r="F837" s="27"/>
      <c r="G837" s="27"/>
      <c r="H837" s="27"/>
      <c r="I837" s="27"/>
      <c r="J837" s="27"/>
      <c r="K837" s="27"/>
    </row>
    <row r="838" spans="1:11" x14ac:dyDescent="0.2">
      <c r="A838" s="26"/>
      <c r="B838" s="14" t="str">
        <f>IF(A838="","",CHOOSE(WEEKDAY(A838),"日","月","火","水","木","金","土"))</f>
        <v/>
      </c>
      <c r="C838" s="27"/>
      <c r="D838" s="27"/>
      <c r="E838" s="14" t="str">
        <f>IF(F838="","",IFERROR(INDEX(マスター!$F$5:$F$200,MATCH(F838,マスター!$E$5:$E$200,0)),"※マスター未登録"))</f>
        <v/>
      </c>
      <c r="F838" s="27"/>
      <c r="G838" s="27"/>
      <c r="H838" s="27"/>
      <c r="I838" s="27"/>
      <c r="J838" s="27"/>
      <c r="K838" s="27"/>
    </row>
    <row r="839" spans="1:11" x14ac:dyDescent="0.2">
      <c r="A839" s="26"/>
      <c r="B839" s="14" t="str">
        <f>IF(A839="","",CHOOSE(WEEKDAY(A839),"日","月","火","水","木","金","土"))</f>
        <v/>
      </c>
      <c r="C839" s="27"/>
      <c r="D839" s="27"/>
      <c r="E839" s="14" t="str">
        <f>IF(F839="","",IFERROR(INDEX(マスター!$F$5:$F$200,MATCH(F839,マスター!$E$5:$E$200,0)),"※マスター未登録"))</f>
        <v/>
      </c>
      <c r="F839" s="27"/>
      <c r="G839" s="27"/>
      <c r="H839" s="27"/>
      <c r="I839" s="27"/>
      <c r="J839" s="27"/>
      <c r="K839" s="27"/>
    </row>
    <row r="840" spans="1:11" x14ac:dyDescent="0.2">
      <c r="A840" s="26"/>
      <c r="B840" s="14" t="str">
        <f>IF(A840="","",CHOOSE(WEEKDAY(A840),"日","月","火","水","木","金","土"))</f>
        <v/>
      </c>
      <c r="C840" s="27"/>
      <c r="D840" s="27"/>
      <c r="E840" s="14" t="str">
        <f>IF(F840="","",IFERROR(INDEX(マスター!$F$5:$F$200,MATCH(F840,マスター!$E$5:$E$200,0)),"※マスター未登録"))</f>
        <v/>
      </c>
      <c r="F840" s="27"/>
      <c r="G840" s="27"/>
      <c r="H840" s="27"/>
      <c r="I840" s="27"/>
      <c r="J840" s="27"/>
      <c r="K840" s="27"/>
    </row>
    <row r="841" spans="1:11" x14ac:dyDescent="0.2">
      <c r="A841" s="26"/>
      <c r="B841" s="14" t="str">
        <f>IF(A841="","",CHOOSE(WEEKDAY(A841),"日","月","火","水","木","金","土"))</f>
        <v/>
      </c>
      <c r="C841" s="27"/>
      <c r="D841" s="27"/>
      <c r="E841" s="14" t="str">
        <f>IF(F841="","",IFERROR(INDEX(マスター!$F$5:$F$200,MATCH(F841,マスター!$E$5:$E$200,0)),"※マスター未登録"))</f>
        <v/>
      </c>
      <c r="F841" s="27"/>
      <c r="G841" s="27"/>
      <c r="H841" s="27"/>
      <c r="I841" s="27"/>
      <c r="J841" s="27"/>
      <c r="K841" s="27"/>
    </row>
    <row r="842" spans="1:11" x14ac:dyDescent="0.2">
      <c r="A842" s="26"/>
      <c r="B842" s="14" t="str">
        <f>IF(A842="","",CHOOSE(WEEKDAY(A842),"日","月","火","水","木","金","土"))</f>
        <v/>
      </c>
      <c r="C842" s="27"/>
      <c r="D842" s="27"/>
      <c r="E842" s="14" t="str">
        <f>IF(F842="","",IFERROR(INDEX(マスター!$F$5:$F$200,MATCH(F842,マスター!$E$5:$E$200,0)),"※マスター未登録"))</f>
        <v/>
      </c>
      <c r="F842" s="27"/>
      <c r="G842" s="27"/>
      <c r="H842" s="27"/>
      <c r="I842" s="27"/>
      <c r="J842" s="27"/>
      <c r="K842" s="27"/>
    </row>
    <row r="843" spans="1:11" x14ac:dyDescent="0.2">
      <c r="A843" s="26"/>
      <c r="B843" s="14" t="str">
        <f>IF(A843="","",CHOOSE(WEEKDAY(A843),"日","月","火","水","木","金","土"))</f>
        <v/>
      </c>
      <c r="C843" s="27"/>
      <c r="D843" s="27"/>
      <c r="E843" s="14" t="str">
        <f>IF(F843="","",IFERROR(INDEX(マスター!$F$5:$F$200,MATCH(F843,マスター!$E$5:$E$200,0)),"※マスター未登録"))</f>
        <v/>
      </c>
      <c r="F843" s="27"/>
      <c r="G843" s="27"/>
      <c r="H843" s="27"/>
      <c r="I843" s="27"/>
      <c r="J843" s="27"/>
      <c r="K843" s="27"/>
    </row>
    <row r="844" spans="1:11" x14ac:dyDescent="0.2">
      <c r="A844" s="26"/>
      <c r="B844" s="14" t="str">
        <f>IF(A844="","",CHOOSE(WEEKDAY(A844),"日","月","火","水","木","金","土"))</f>
        <v/>
      </c>
      <c r="C844" s="27"/>
      <c r="D844" s="27"/>
      <c r="E844" s="14" t="str">
        <f>IF(F844="","",IFERROR(INDEX(マスター!$F$5:$F$200,MATCH(F844,マスター!$E$5:$E$200,0)),"※マスター未登録"))</f>
        <v/>
      </c>
      <c r="F844" s="27"/>
      <c r="G844" s="27"/>
      <c r="H844" s="27"/>
      <c r="I844" s="27"/>
      <c r="J844" s="27"/>
      <c r="K844" s="27"/>
    </row>
    <row r="845" spans="1:11" x14ac:dyDescent="0.2">
      <c r="A845" s="26"/>
      <c r="B845" s="14" t="str">
        <f>IF(A845="","",CHOOSE(WEEKDAY(A845),"日","月","火","水","木","金","土"))</f>
        <v/>
      </c>
      <c r="C845" s="27"/>
      <c r="D845" s="27"/>
      <c r="E845" s="14" t="str">
        <f>IF(F845="","",IFERROR(INDEX(マスター!$F$5:$F$200,MATCH(F845,マスター!$E$5:$E$200,0)),"※マスター未登録"))</f>
        <v/>
      </c>
      <c r="F845" s="27"/>
      <c r="G845" s="27"/>
      <c r="H845" s="27"/>
      <c r="I845" s="27"/>
      <c r="J845" s="27"/>
      <c r="K845" s="27"/>
    </row>
    <row r="846" spans="1:11" x14ac:dyDescent="0.2">
      <c r="A846" s="26"/>
      <c r="B846" s="14" t="str">
        <f>IF(A846="","",CHOOSE(WEEKDAY(A846),"日","月","火","水","木","金","土"))</f>
        <v/>
      </c>
      <c r="C846" s="27"/>
      <c r="D846" s="27"/>
      <c r="E846" s="14" t="str">
        <f>IF(F846="","",IFERROR(INDEX(マスター!$F$5:$F$200,MATCH(F846,マスター!$E$5:$E$200,0)),"※マスター未登録"))</f>
        <v/>
      </c>
      <c r="F846" s="27"/>
      <c r="G846" s="27"/>
      <c r="H846" s="27"/>
      <c r="I846" s="27"/>
      <c r="J846" s="27"/>
      <c r="K846" s="27"/>
    </row>
    <row r="847" spans="1:11" x14ac:dyDescent="0.2">
      <c r="A847" s="26"/>
      <c r="B847" s="14" t="str">
        <f>IF(A847="","",CHOOSE(WEEKDAY(A847),"日","月","火","水","木","金","土"))</f>
        <v/>
      </c>
      <c r="C847" s="27"/>
      <c r="D847" s="27"/>
      <c r="E847" s="14" t="str">
        <f>IF(F847="","",IFERROR(INDEX(マスター!$F$5:$F$200,MATCH(F847,マスター!$E$5:$E$200,0)),"※マスター未登録"))</f>
        <v/>
      </c>
      <c r="F847" s="27"/>
      <c r="G847" s="27"/>
      <c r="H847" s="27"/>
      <c r="I847" s="27"/>
      <c r="J847" s="27"/>
      <c r="K847" s="27"/>
    </row>
    <row r="848" spans="1:11" x14ac:dyDescent="0.2">
      <c r="A848" s="26"/>
      <c r="B848" s="14" t="str">
        <f>IF(A848="","",CHOOSE(WEEKDAY(A848),"日","月","火","水","木","金","土"))</f>
        <v/>
      </c>
      <c r="C848" s="27"/>
      <c r="D848" s="27"/>
      <c r="E848" s="14" t="str">
        <f>IF(F848="","",IFERROR(INDEX(マスター!$F$5:$F$200,MATCH(F848,マスター!$E$5:$E$200,0)),"※マスター未登録"))</f>
        <v/>
      </c>
      <c r="F848" s="27"/>
      <c r="G848" s="27"/>
      <c r="H848" s="27"/>
      <c r="I848" s="27"/>
      <c r="J848" s="27"/>
      <c r="K848" s="27"/>
    </row>
    <row r="849" spans="1:11" x14ac:dyDescent="0.2">
      <c r="A849" s="26"/>
      <c r="B849" s="14" t="str">
        <f>IF(A849="","",CHOOSE(WEEKDAY(A849),"日","月","火","水","木","金","土"))</f>
        <v/>
      </c>
      <c r="C849" s="27"/>
      <c r="D849" s="27"/>
      <c r="E849" s="14" t="str">
        <f>IF(F849="","",IFERROR(INDEX(マスター!$F$5:$F$200,MATCH(F849,マスター!$E$5:$E$200,0)),"※マスター未登録"))</f>
        <v/>
      </c>
      <c r="F849" s="27"/>
      <c r="G849" s="27"/>
      <c r="H849" s="27"/>
      <c r="I849" s="27"/>
      <c r="J849" s="27"/>
      <c r="K849" s="27"/>
    </row>
    <row r="850" spans="1:11" x14ac:dyDescent="0.2">
      <c r="A850" s="26"/>
      <c r="B850" s="14" t="str">
        <f>IF(A850="","",CHOOSE(WEEKDAY(A850),"日","月","火","水","木","金","土"))</f>
        <v/>
      </c>
      <c r="C850" s="27"/>
      <c r="D850" s="27"/>
      <c r="E850" s="14" t="str">
        <f>IF(F850="","",IFERROR(INDEX(マスター!$F$5:$F$200,MATCH(F850,マスター!$E$5:$E$200,0)),"※マスター未登録"))</f>
        <v/>
      </c>
      <c r="F850" s="27"/>
      <c r="G850" s="27"/>
      <c r="H850" s="27"/>
      <c r="I850" s="27"/>
      <c r="J850" s="27"/>
      <c r="K850" s="27"/>
    </row>
    <row r="851" spans="1:11" x14ac:dyDescent="0.2">
      <c r="A851" s="26"/>
      <c r="B851" s="14" t="str">
        <f>IF(A851="","",CHOOSE(WEEKDAY(A851),"日","月","火","水","木","金","土"))</f>
        <v/>
      </c>
      <c r="C851" s="27"/>
      <c r="D851" s="27"/>
      <c r="E851" s="14" t="str">
        <f>IF(F851="","",IFERROR(INDEX(マスター!$F$5:$F$200,MATCH(F851,マスター!$E$5:$E$200,0)),"※マスター未登録"))</f>
        <v/>
      </c>
      <c r="F851" s="27"/>
      <c r="G851" s="27"/>
      <c r="H851" s="27"/>
      <c r="I851" s="27"/>
      <c r="J851" s="27"/>
      <c r="K851" s="27"/>
    </row>
    <row r="852" spans="1:11" x14ac:dyDescent="0.2">
      <c r="A852" s="26"/>
      <c r="B852" s="14" t="str">
        <f>IF(A852="","",CHOOSE(WEEKDAY(A852),"日","月","火","水","木","金","土"))</f>
        <v/>
      </c>
      <c r="C852" s="27"/>
      <c r="D852" s="27"/>
      <c r="E852" s="14" t="str">
        <f>IF(F852="","",IFERROR(INDEX(マスター!$F$5:$F$200,MATCH(F852,マスター!$E$5:$E$200,0)),"※マスター未登録"))</f>
        <v/>
      </c>
      <c r="F852" s="27"/>
      <c r="G852" s="27"/>
      <c r="H852" s="27"/>
      <c r="I852" s="27"/>
      <c r="J852" s="27"/>
      <c r="K852" s="27"/>
    </row>
    <row r="853" spans="1:11" x14ac:dyDescent="0.2">
      <c r="A853" s="26"/>
      <c r="B853" s="14" t="str">
        <f>IF(A853="","",CHOOSE(WEEKDAY(A853),"日","月","火","水","木","金","土"))</f>
        <v/>
      </c>
      <c r="C853" s="27"/>
      <c r="D853" s="27"/>
      <c r="E853" s="14" t="str">
        <f>IF(F853="","",IFERROR(INDEX(マスター!$F$5:$F$200,MATCH(F853,マスター!$E$5:$E$200,0)),"※マスター未登録"))</f>
        <v/>
      </c>
      <c r="F853" s="27"/>
      <c r="G853" s="27"/>
      <c r="H853" s="27"/>
      <c r="I853" s="27"/>
      <c r="J853" s="27"/>
      <c r="K853" s="27"/>
    </row>
    <row r="854" spans="1:11" x14ac:dyDescent="0.2">
      <c r="A854" s="26"/>
      <c r="B854" s="14" t="str">
        <f>IF(A854="","",CHOOSE(WEEKDAY(A854),"日","月","火","水","木","金","土"))</f>
        <v/>
      </c>
      <c r="C854" s="27"/>
      <c r="D854" s="27"/>
      <c r="E854" s="14" t="str">
        <f>IF(F854="","",IFERROR(INDEX(マスター!$F$5:$F$200,MATCH(F854,マスター!$E$5:$E$200,0)),"※マスター未登録"))</f>
        <v/>
      </c>
      <c r="F854" s="27"/>
      <c r="G854" s="27"/>
      <c r="H854" s="27"/>
      <c r="I854" s="27"/>
      <c r="J854" s="27"/>
      <c r="K854" s="27"/>
    </row>
    <row r="855" spans="1:11" x14ac:dyDescent="0.2">
      <c r="A855" s="26"/>
      <c r="B855" s="14" t="str">
        <f>IF(A855="","",CHOOSE(WEEKDAY(A855),"日","月","火","水","木","金","土"))</f>
        <v/>
      </c>
      <c r="C855" s="27"/>
      <c r="D855" s="27"/>
      <c r="E855" s="14" t="str">
        <f>IF(F855="","",IFERROR(INDEX(マスター!$F$5:$F$200,MATCH(F855,マスター!$E$5:$E$200,0)),"※マスター未登録"))</f>
        <v/>
      </c>
      <c r="F855" s="27"/>
      <c r="G855" s="27"/>
      <c r="H855" s="27"/>
      <c r="I855" s="27"/>
      <c r="J855" s="27"/>
      <c r="K855" s="27"/>
    </row>
    <row r="856" spans="1:11" x14ac:dyDescent="0.2">
      <c r="A856" s="26"/>
      <c r="B856" s="14" t="str">
        <f>IF(A856="","",CHOOSE(WEEKDAY(A856),"日","月","火","水","木","金","土"))</f>
        <v/>
      </c>
      <c r="C856" s="27"/>
      <c r="D856" s="27"/>
      <c r="E856" s="14" t="str">
        <f>IF(F856="","",IFERROR(INDEX(マスター!$F$5:$F$200,MATCH(F856,マスター!$E$5:$E$200,0)),"※マスター未登録"))</f>
        <v/>
      </c>
      <c r="F856" s="27"/>
      <c r="G856" s="27"/>
      <c r="H856" s="27"/>
      <c r="I856" s="27"/>
      <c r="J856" s="27"/>
      <c r="K856" s="27"/>
    </row>
    <row r="857" spans="1:11" x14ac:dyDescent="0.2">
      <c r="A857" s="26"/>
      <c r="B857" s="14" t="str">
        <f>IF(A857="","",CHOOSE(WEEKDAY(A857),"日","月","火","水","木","金","土"))</f>
        <v/>
      </c>
      <c r="C857" s="27"/>
      <c r="D857" s="27"/>
      <c r="E857" s="14" t="str">
        <f>IF(F857="","",IFERROR(INDEX(マスター!$F$5:$F$200,MATCH(F857,マスター!$E$5:$E$200,0)),"※マスター未登録"))</f>
        <v/>
      </c>
      <c r="F857" s="27"/>
      <c r="G857" s="27"/>
      <c r="H857" s="27"/>
      <c r="I857" s="27"/>
      <c r="J857" s="27"/>
      <c r="K857" s="27"/>
    </row>
    <row r="858" spans="1:11" x14ac:dyDescent="0.2">
      <c r="A858" s="26"/>
      <c r="B858" s="14" t="str">
        <f>IF(A858="","",CHOOSE(WEEKDAY(A858),"日","月","火","水","木","金","土"))</f>
        <v/>
      </c>
      <c r="C858" s="27"/>
      <c r="D858" s="27"/>
      <c r="E858" s="14" t="str">
        <f>IF(F858="","",IFERROR(INDEX(マスター!$F$5:$F$200,MATCH(F858,マスター!$E$5:$E$200,0)),"※マスター未登録"))</f>
        <v/>
      </c>
      <c r="F858" s="27"/>
      <c r="G858" s="27"/>
      <c r="H858" s="27"/>
      <c r="I858" s="27"/>
      <c r="J858" s="27"/>
      <c r="K858" s="27"/>
    </row>
    <row r="859" spans="1:11" x14ac:dyDescent="0.2">
      <c r="A859" s="26"/>
      <c r="B859" s="14" t="str">
        <f>IF(A859="","",CHOOSE(WEEKDAY(A859),"日","月","火","水","木","金","土"))</f>
        <v/>
      </c>
      <c r="C859" s="27"/>
      <c r="D859" s="27"/>
      <c r="E859" s="14" t="str">
        <f>IF(F859="","",IFERROR(INDEX(マスター!$F$5:$F$200,MATCH(F859,マスター!$E$5:$E$200,0)),"※マスター未登録"))</f>
        <v/>
      </c>
      <c r="F859" s="27"/>
      <c r="G859" s="27"/>
      <c r="H859" s="27"/>
      <c r="I859" s="27"/>
      <c r="J859" s="27"/>
      <c r="K859" s="27"/>
    </row>
    <row r="860" spans="1:11" x14ac:dyDescent="0.2">
      <c r="A860" s="26"/>
      <c r="B860" s="14" t="str">
        <f>IF(A860="","",CHOOSE(WEEKDAY(A860),"日","月","火","水","木","金","土"))</f>
        <v/>
      </c>
      <c r="C860" s="27"/>
      <c r="D860" s="27"/>
      <c r="E860" s="14" t="str">
        <f>IF(F860="","",IFERROR(INDEX(マスター!$F$5:$F$200,MATCH(F860,マスター!$E$5:$E$200,0)),"※マスター未登録"))</f>
        <v/>
      </c>
      <c r="F860" s="27"/>
      <c r="G860" s="27"/>
      <c r="H860" s="27"/>
      <c r="I860" s="27"/>
      <c r="J860" s="27"/>
      <c r="K860" s="27"/>
    </row>
    <row r="861" spans="1:11" x14ac:dyDescent="0.2">
      <c r="A861" s="26"/>
      <c r="B861" s="14" t="str">
        <f>IF(A861="","",CHOOSE(WEEKDAY(A861),"日","月","火","水","木","金","土"))</f>
        <v/>
      </c>
      <c r="C861" s="27"/>
      <c r="D861" s="27"/>
      <c r="E861" s="14" t="str">
        <f>IF(F861="","",IFERROR(INDEX(マスター!$F$5:$F$200,MATCH(F861,マスター!$E$5:$E$200,0)),"※マスター未登録"))</f>
        <v/>
      </c>
      <c r="F861" s="27"/>
      <c r="G861" s="27"/>
      <c r="H861" s="27"/>
      <c r="I861" s="27"/>
      <c r="J861" s="27"/>
      <c r="K861" s="27"/>
    </row>
    <row r="862" spans="1:11" x14ac:dyDescent="0.2">
      <c r="A862" s="26"/>
      <c r="B862" s="14" t="str">
        <f>IF(A862="","",CHOOSE(WEEKDAY(A862),"日","月","火","水","木","金","土"))</f>
        <v/>
      </c>
      <c r="C862" s="27"/>
      <c r="D862" s="27"/>
      <c r="E862" s="14" t="str">
        <f>IF(F862="","",IFERROR(INDEX(マスター!$F$5:$F$200,MATCH(F862,マスター!$E$5:$E$200,0)),"※マスター未登録"))</f>
        <v/>
      </c>
      <c r="F862" s="27"/>
      <c r="G862" s="27"/>
      <c r="H862" s="27"/>
      <c r="I862" s="27"/>
      <c r="J862" s="27"/>
      <c r="K862" s="27"/>
    </row>
    <row r="863" spans="1:11" x14ac:dyDescent="0.2">
      <c r="A863" s="26"/>
      <c r="B863" s="14" t="str">
        <f>IF(A863="","",CHOOSE(WEEKDAY(A863),"日","月","火","水","木","金","土"))</f>
        <v/>
      </c>
      <c r="C863" s="27"/>
      <c r="D863" s="27"/>
      <c r="E863" s="14" t="str">
        <f>IF(F863="","",IFERROR(INDEX(マスター!$F$5:$F$200,MATCH(F863,マスター!$E$5:$E$200,0)),"※マスター未登録"))</f>
        <v/>
      </c>
      <c r="F863" s="27"/>
      <c r="G863" s="27"/>
      <c r="H863" s="27"/>
      <c r="I863" s="27"/>
      <c r="J863" s="27"/>
      <c r="K863" s="27"/>
    </row>
    <row r="864" spans="1:11" x14ac:dyDescent="0.2">
      <c r="A864" s="26"/>
      <c r="B864" s="14" t="str">
        <f>IF(A864="","",CHOOSE(WEEKDAY(A864),"日","月","火","水","木","金","土"))</f>
        <v/>
      </c>
      <c r="C864" s="27"/>
      <c r="D864" s="27"/>
      <c r="E864" s="14" t="str">
        <f>IF(F864="","",IFERROR(INDEX(マスター!$F$5:$F$200,MATCH(F864,マスター!$E$5:$E$200,0)),"※マスター未登録"))</f>
        <v/>
      </c>
      <c r="F864" s="27"/>
      <c r="G864" s="27"/>
      <c r="H864" s="27"/>
      <c r="I864" s="27"/>
      <c r="J864" s="27"/>
      <c r="K864" s="27"/>
    </row>
    <row r="865" spans="1:11" x14ac:dyDescent="0.2">
      <c r="A865" s="26"/>
      <c r="B865" s="14" t="str">
        <f>IF(A865="","",CHOOSE(WEEKDAY(A865),"日","月","火","水","木","金","土"))</f>
        <v/>
      </c>
      <c r="C865" s="27"/>
      <c r="D865" s="27"/>
      <c r="E865" s="14" t="str">
        <f>IF(F865="","",IFERROR(INDEX(マスター!$F$5:$F$200,MATCH(F865,マスター!$E$5:$E$200,0)),"※マスター未登録"))</f>
        <v/>
      </c>
      <c r="F865" s="27"/>
      <c r="G865" s="27"/>
      <c r="H865" s="27"/>
      <c r="I865" s="27"/>
      <c r="J865" s="27"/>
      <c r="K865" s="27"/>
    </row>
    <row r="866" spans="1:11" x14ac:dyDescent="0.2">
      <c r="A866" s="26"/>
      <c r="B866" s="14" t="str">
        <f>IF(A866="","",CHOOSE(WEEKDAY(A866),"日","月","火","水","木","金","土"))</f>
        <v/>
      </c>
      <c r="C866" s="27"/>
      <c r="D866" s="27"/>
      <c r="E866" s="14" t="str">
        <f>IF(F866="","",IFERROR(INDEX(マスター!$F$5:$F$200,MATCH(F866,マスター!$E$5:$E$200,0)),"※マスター未登録"))</f>
        <v/>
      </c>
      <c r="F866" s="27"/>
      <c r="G866" s="27"/>
      <c r="H866" s="27"/>
      <c r="I866" s="27"/>
      <c r="J866" s="27"/>
      <c r="K866" s="27"/>
    </row>
    <row r="867" spans="1:11" x14ac:dyDescent="0.2">
      <c r="A867" s="26"/>
      <c r="B867" s="14" t="str">
        <f>IF(A867="","",CHOOSE(WEEKDAY(A867),"日","月","火","水","木","金","土"))</f>
        <v/>
      </c>
      <c r="C867" s="27"/>
      <c r="D867" s="27"/>
      <c r="E867" s="14" t="str">
        <f>IF(F867="","",IFERROR(INDEX(マスター!$F$5:$F$200,MATCH(F867,マスター!$E$5:$E$200,0)),"※マスター未登録"))</f>
        <v/>
      </c>
      <c r="F867" s="27"/>
      <c r="G867" s="27"/>
      <c r="H867" s="27"/>
      <c r="I867" s="27"/>
      <c r="J867" s="27"/>
      <c r="K867" s="27"/>
    </row>
    <row r="868" spans="1:11" x14ac:dyDescent="0.2">
      <c r="A868" s="26"/>
      <c r="B868" s="14" t="str">
        <f>IF(A868="","",CHOOSE(WEEKDAY(A868),"日","月","火","水","木","金","土"))</f>
        <v/>
      </c>
      <c r="C868" s="27"/>
      <c r="D868" s="27"/>
      <c r="E868" s="14" t="str">
        <f>IF(F868="","",IFERROR(INDEX(マスター!$F$5:$F$200,MATCH(F868,マスター!$E$5:$E$200,0)),"※マスター未登録"))</f>
        <v/>
      </c>
      <c r="F868" s="27"/>
      <c r="G868" s="27"/>
      <c r="H868" s="27"/>
      <c r="I868" s="27"/>
      <c r="J868" s="27"/>
      <c r="K868" s="27"/>
    </row>
    <row r="869" spans="1:11" x14ac:dyDescent="0.2">
      <c r="A869" s="26"/>
      <c r="B869" s="14" t="str">
        <f>IF(A869="","",CHOOSE(WEEKDAY(A869),"日","月","火","水","木","金","土"))</f>
        <v/>
      </c>
      <c r="C869" s="27"/>
      <c r="D869" s="27"/>
      <c r="E869" s="14" t="str">
        <f>IF(F869="","",IFERROR(INDEX(マスター!$F$5:$F$200,MATCH(F869,マスター!$E$5:$E$200,0)),"※マスター未登録"))</f>
        <v/>
      </c>
      <c r="F869" s="27"/>
      <c r="G869" s="27"/>
      <c r="H869" s="27"/>
      <c r="I869" s="27"/>
      <c r="J869" s="27"/>
      <c r="K869" s="27"/>
    </row>
    <row r="870" spans="1:11" x14ac:dyDescent="0.2">
      <c r="A870" s="26"/>
      <c r="B870" s="14" t="str">
        <f>IF(A870="","",CHOOSE(WEEKDAY(A870),"日","月","火","水","木","金","土"))</f>
        <v/>
      </c>
      <c r="C870" s="27"/>
      <c r="D870" s="27"/>
      <c r="E870" s="14" t="str">
        <f>IF(F870="","",IFERROR(INDEX(マスター!$F$5:$F$200,MATCH(F870,マスター!$E$5:$E$200,0)),"※マスター未登録"))</f>
        <v/>
      </c>
      <c r="F870" s="27"/>
      <c r="G870" s="27"/>
      <c r="H870" s="27"/>
      <c r="I870" s="27"/>
      <c r="J870" s="27"/>
      <c r="K870" s="27"/>
    </row>
    <row r="871" spans="1:11" x14ac:dyDescent="0.2">
      <c r="A871" s="26"/>
      <c r="B871" s="14" t="str">
        <f>IF(A871="","",CHOOSE(WEEKDAY(A871),"日","月","火","水","木","金","土"))</f>
        <v/>
      </c>
      <c r="C871" s="27"/>
      <c r="D871" s="27"/>
      <c r="E871" s="14" t="str">
        <f>IF(F871="","",IFERROR(INDEX(マスター!$F$5:$F$200,MATCH(F871,マスター!$E$5:$E$200,0)),"※マスター未登録"))</f>
        <v/>
      </c>
      <c r="F871" s="27"/>
      <c r="G871" s="27"/>
      <c r="H871" s="27"/>
      <c r="I871" s="27"/>
      <c r="J871" s="27"/>
      <c r="K871" s="27"/>
    </row>
    <row r="872" spans="1:11" x14ac:dyDescent="0.2">
      <c r="A872" s="26"/>
      <c r="B872" s="14" t="str">
        <f>IF(A872="","",CHOOSE(WEEKDAY(A872),"日","月","火","水","木","金","土"))</f>
        <v/>
      </c>
      <c r="C872" s="27"/>
      <c r="D872" s="27"/>
      <c r="E872" s="14" t="str">
        <f>IF(F872="","",IFERROR(INDEX(マスター!$F$5:$F$200,MATCH(F872,マスター!$E$5:$E$200,0)),"※マスター未登録"))</f>
        <v/>
      </c>
      <c r="F872" s="27"/>
      <c r="G872" s="27"/>
      <c r="H872" s="27"/>
      <c r="I872" s="27"/>
      <c r="J872" s="27"/>
      <c r="K872" s="27"/>
    </row>
    <row r="873" spans="1:11" x14ac:dyDescent="0.2">
      <c r="A873" s="26"/>
      <c r="B873" s="14" t="str">
        <f>IF(A873="","",CHOOSE(WEEKDAY(A873),"日","月","火","水","木","金","土"))</f>
        <v/>
      </c>
      <c r="C873" s="27"/>
      <c r="D873" s="27"/>
      <c r="E873" s="14" t="str">
        <f>IF(F873="","",IFERROR(INDEX(マスター!$F$5:$F$200,MATCH(F873,マスター!$E$5:$E$200,0)),"※マスター未登録"))</f>
        <v/>
      </c>
      <c r="F873" s="27"/>
      <c r="G873" s="27"/>
      <c r="H873" s="27"/>
      <c r="I873" s="27"/>
      <c r="J873" s="27"/>
      <c r="K873" s="27"/>
    </row>
    <row r="874" spans="1:11" x14ac:dyDescent="0.2">
      <c r="A874" s="26"/>
      <c r="B874" s="14" t="str">
        <f>IF(A874="","",CHOOSE(WEEKDAY(A874),"日","月","火","水","木","金","土"))</f>
        <v/>
      </c>
      <c r="C874" s="27"/>
      <c r="D874" s="27"/>
      <c r="E874" s="14" t="str">
        <f>IF(F874="","",IFERROR(INDEX(マスター!$F$5:$F$200,MATCH(F874,マスター!$E$5:$E$200,0)),"※マスター未登録"))</f>
        <v/>
      </c>
      <c r="F874" s="27"/>
      <c r="G874" s="27"/>
      <c r="H874" s="27"/>
      <c r="I874" s="27"/>
      <c r="J874" s="27"/>
      <c r="K874" s="27"/>
    </row>
    <row r="875" spans="1:11" x14ac:dyDescent="0.2">
      <c r="A875" s="26"/>
      <c r="B875" s="14" t="str">
        <f>IF(A875="","",CHOOSE(WEEKDAY(A875),"日","月","火","水","木","金","土"))</f>
        <v/>
      </c>
      <c r="C875" s="27"/>
      <c r="D875" s="27"/>
      <c r="E875" s="14" t="str">
        <f>IF(F875="","",IFERROR(INDEX(マスター!$F$5:$F$200,MATCH(F875,マスター!$E$5:$E$200,0)),"※マスター未登録"))</f>
        <v/>
      </c>
      <c r="F875" s="27"/>
      <c r="G875" s="27"/>
      <c r="H875" s="27"/>
      <c r="I875" s="27"/>
      <c r="J875" s="27"/>
      <c r="K875" s="27"/>
    </row>
    <row r="876" spans="1:11" x14ac:dyDescent="0.2">
      <c r="A876" s="26"/>
      <c r="B876" s="14" t="str">
        <f>IF(A876="","",CHOOSE(WEEKDAY(A876),"日","月","火","水","木","金","土"))</f>
        <v/>
      </c>
      <c r="C876" s="27"/>
      <c r="D876" s="27"/>
      <c r="E876" s="14" t="str">
        <f>IF(F876="","",IFERROR(INDEX(マスター!$F$5:$F$200,MATCH(F876,マスター!$E$5:$E$200,0)),"※マスター未登録"))</f>
        <v/>
      </c>
      <c r="F876" s="27"/>
      <c r="G876" s="27"/>
      <c r="H876" s="27"/>
      <c r="I876" s="27"/>
      <c r="J876" s="27"/>
      <c r="K876" s="27"/>
    </row>
    <row r="877" spans="1:11" x14ac:dyDescent="0.2">
      <c r="A877" s="26"/>
      <c r="B877" s="14" t="str">
        <f>IF(A877="","",CHOOSE(WEEKDAY(A877),"日","月","火","水","木","金","土"))</f>
        <v/>
      </c>
      <c r="C877" s="27"/>
      <c r="D877" s="27"/>
      <c r="E877" s="14" t="str">
        <f>IF(F877="","",IFERROR(INDEX(マスター!$F$5:$F$200,MATCH(F877,マスター!$E$5:$E$200,0)),"※マスター未登録"))</f>
        <v/>
      </c>
      <c r="F877" s="27"/>
      <c r="G877" s="27"/>
      <c r="H877" s="27"/>
      <c r="I877" s="27"/>
      <c r="J877" s="27"/>
      <c r="K877" s="27"/>
    </row>
    <row r="878" spans="1:11" x14ac:dyDescent="0.2">
      <c r="A878" s="26"/>
      <c r="B878" s="14" t="str">
        <f>IF(A878="","",CHOOSE(WEEKDAY(A878),"日","月","火","水","木","金","土"))</f>
        <v/>
      </c>
      <c r="C878" s="27"/>
      <c r="D878" s="27"/>
      <c r="E878" s="14" t="str">
        <f>IF(F878="","",IFERROR(INDEX(マスター!$F$5:$F$200,MATCH(F878,マスター!$E$5:$E$200,0)),"※マスター未登録"))</f>
        <v/>
      </c>
      <c r="F878" s="27"/>
      <c r="G878" s="27"/>
      <c r="H878" s="27"/>
      <c r="I878" s="27"/>
      <c r="J878" s="27"/>
      <c r="K878" s="27"/>
    </row>
    <row r="879" spans="1:11" x14ac:dyDescent="0.2">
      <c r="A879" s="26"/>
      <c r="B879" s="14" t="str">
        <f>IF(A879="","",CHOOSE(WEEKDAY(A879),"日","月","火","水","木","金","土"))</f>
        <v/>
      </c>
      <c r="C879" s="27"/>
      <c r="D879" s="27"/>
      <c r="E879" s="14" t="str">
        <f>IF(F879="","",IFERROR(INDEX(マスター!$F$5:$F$200,MATCH(F879,マスター!$E$5:$E$200,0)),"※マスター未登録"))</f>
        <v/>
      </c>
      <c r="F879" s="27"/>
      <c r="G879" s="27"/>
      <c r="H879" s="27"/>
      <c r="I879" s="27"/>
      <c r="J879" s="27"/>
      <c r="K879" s="27"/>
    </row>
    <row r="880" spans="1:11" x14ac:dyDescent="0.2">
      <c r="A880" s="26"/>
      <c r="B880" s="14" t="str">
        <f>IF(A880="","",CHOOSE(WEEKDAY(A880),"日","月","火","水","木","金","土"))</f>
        <v/>
      </c>
      <c r="C880" s="27"/>
      <c r="D880" s="27"/>
      <c r="E880" s="14" t="str">
        <f>IF(F880="","",IFERROR(INDEX(マスター!$F$5:$F$200,MATCH(F880,マスター!$E$5:$E$200,0)),"※マスター未登録"))</f>
        <v/>
      </c>
      <c r="F880" s="27"/>
      <c r="G880" s="27"/>
      <c r="H880" s="27"/>
      <c r="I880" s="27"/>
      <c r="J880" s="27"/>
      <c r="K880" s="27"/>
    </row>
    <row r="881" spans="1:11" x14ac:dyDescent="0.2">
      <c r="A881" s="26"/>
      <c r="B881" s="14" t="str">
        <f>IF(A881="","",CHOOSE(WEEKDAY(A881),"日","月","火","水","木","金","土"))</f>
        <v/>
      </c>
      <c r="C881" s="27"/>
      <c r="D881" s="27"/>
      <c r="E881" s="14" t="str">
        <f>IF(F881="","",IFERROR(INDEX(マスター!$F$5:$F$200,MATCH(F881,マスター!$E$5:$E$200,0)),"※マスター未登録"))</f>
        <v/>
      </c>
      <c r="F881" s="27"/>
      <c r="G881" s="27"/>
      <c r="H881" s="27"/>
      <c r="I881" s="27"/>
      <c r="J881" s="27"/>
      <c r="K881" s="27"/>
    </row>
    <row r="882" spans="1:11" x14ac:dyDescent="0.2">
      <c r="A882" s="26"/>
      <c r="B882" s="14" t="str">
        <f>IF(A882="","",CHOOSE(WEEKDAY(A882),"日","月","火","水","木","金","土"))</f>
        <v/>
      </c>
      <c r="C882" s="27"/>
      <c r="D882" s="27"/>
      <c r="E882" s="14" t="str">
        <f>IF(F882="","",IFERROR(INDEX(マスター!$F$5:$F$200,MATCH(F882,マスター!$E$5:$E$200,0)),"※マスター未登録"))</f>
        <v/>
      </c>
      <c r="F882" s="27"/>
      <c r="G882" s="27"/>
      <c r="H882" s="27"/>
      <c r="I882" s="27"/>
      <c r="J882" s="27"/>
      <c r="K882" s="27"/>
    </row>
    <row r="883" spans="1:11" x14ac:dyDescent="0.2">
      <c r="A883" s="26"/>
      <c r="B883" s="14" t="str">
        <f>IF(A883="","",CHOOSE(WEEKDAY(A883),"日","月","火","水","木","金","土"))</f>
        <v/>
      </c>
      <c r="C883" s="27"/>
      <c r="D883" s="27"/>
      <c r="E883" s="14" t="str">
        <f>IF(F883="","",IFERROR(INDEX(マスター!$F$5:$F$200,MATCH(F883,マスター!$E$5:$E$200,0)),"※マスター未登録"))</f>
        <v/>
      </c>
      <c r="F883" s="27"/>
      <c r="G883" s="27"/>
      <c r="H883" s="27"/>
      <c r="I883" s="27"/>
      <c r="J883" s="27"/>
      <c r="K883" s="27"/>
    </row>
    <row r="884" spans="1:11" x14ac:dyDescent="0.2">
      <c r="A884" s="26"/>
      <c r="B884" s="14" t="str">
        <f>IF(A884="","",CHOOSE(WEEKDAY(A884),"日","月","火","水","木","金","土"))</f>
        <v/>
      </c>
      <c r="C884" s="27"/>
      <c r="D884" s="27"/>
      <c r="E884" s="14" t="str">
        <f>IF(F884="","",IFERROR(INDEX(マスター!$F$5:$F$200,MATCH(F884,マスター!$E$5:$E$200,0)),"※マスター未登録"))</f>
        <v/>
      </c>
      <c r="F884" s="27"/>
      <c r="G884" s="27"/>
      <c r="H884" s="27"/>
      <c r="I884" s="27"/>
      <c r="J884" s="27"/>
      <c r="K884" s="27"/>
    </row>
    <row r="885" spans="1:11" x14ac:dyDescent="0.2">
      <c r="A885" s="26"/>
      <c r="B885" s="14" t="str">
        <f>IF(A885="","",CHOOSE(WEEKDAY(A885),"日","月","火","水","木","金","土"))</f>
        <v/>
      </c>
      <c r="C885" s="27"/>
      <c r="D885" s="27"/>
      <c r="E885" s="14" t="str">
        <f>IF(F885="","",IFERROR(INDEX(マスター!$F$5:$F$200,MATCH(F885,マスター!$E$5:$E$200,0)),"※マスター未登録"))</f>
        <v/>
      </c>
      <c r="F885" s="27"/>
      <c r="G885" s="27"/>
      <c r="H885" s="27"/>
      <c r="I885" s="27"/>
      <c r="J885" s="27"/>
      <c r="K885" s="27"/>
    </row>
    <row r="886" spans="1:11" x14ac:dyDescent="0.2">
      <c r="A886" s="26"/>
      <c r="B886" s="14" t="str">
        <f>IF(A886="","",CHOOSE(WEEKDAY(A886),"日","月","火","水","木","金","土"))</f>
        <v/>
      </c>
      <c r="C886" s="27"/>
      <c r="D886" s="27"/>
      <c r="E886" s="14" t="str">
        <f>IF(F886="","",IFERROR(INDEX(マスター!$F$5:$F$200,MATCH(F886,マスター!$E$5:$E$200,0)),"※マスター未登録"))</f>
        <v/>
      </c>
      <c r="F886" s="27"/>
      <c r="G886" s="27"/>
      <c r="H886" s="27"/>
      <c r="I886" s="27"/>
      <c r="J886" s="27"/>
      <c r="K886" s="27"/>
    </row>
    <row r="887" spans="1:11" x14ac:dyDescent="0.2">
      <c r="A887" s="26"/>
      <c r="B887" s="14" t="str">
        <f>IF(A887="","",CHOOSE(WEEKDAY(A887),"日","月","火","水","木","金","土"))</f>
        <v/>
      </c>
      <c r="C887" s="27"/>
      <c r="D887" s="27"/>
      <c r="E887" s="14" t="str">
        <f>IF(F887="","",IFERROR(INDEX(マスター!$F$5:$F$200,MATCH(F887,マスター!$E$5:$E$200,0)),"※マスター未登録"))</f>
        <v/>
      </c>
      <c r="F887" s="27"/>
      <c r="G887" s="27"/>
      <c r="H887" s="27"/>
      <c r="I887" s="27"/>
      <c r="J887" s="27"/>
      <c r="K887" s="27"/>
    </row>
    <row r="888" spans="1:11" x14ac:dyDescent="0.2">
      <c r="A888" s="26"/>
      <c r="B888" s="14" t="str">
        <f>IF(A888="","",CHOOSE(WEEKDAY(A888),"日","月","火","水","木","金","土"))</f>
        <v/>
      </c>
      <c r="C888" s="27"/>
      <c r="D888" s="27"/>
      <c r="E888" s="14" t="str">
        <f>IF(F888="","",IFERROR(INDEX(マスター!$F$5:$F$200,MATCH(F888,マスター!$E$5:$E$200,0)),"※マスター未登録"))</f>
        <v/>
      </c>
      <c r="F888" s="27"/>
      <c r="G888" s="27"/>
      <c r="H888" s="27"/>
      <c r="I888" s="27"/>
      <c r="J888" s="27"/>
      <c r="K888" s="27"/>
    </row>
    <row r="889" spans="1:11" x14ac:dyDescent="0.2">
      <c r="A889" s="26"/>
      <c r="B889" s="14" t="str">
        <f>IF(A889="","",CHOOSE(WEEKDAY(A889),"日","月","火","水","木","金","土"))</f>
        <v/>
      </c>
      <c r="C889" s="27"/>
      <c r="D889" s="27"/>
      <c r="E889" s="14" t="str">
        <f>IF(F889="","",IFERROR(INDEX(マスター!$F$5:$F$200,MATCH(F889,マスター!$E$5:$E$200,0)),"※マスター未登録"))</f>
        <v/>
      </c>
      <c r="F889" s="27"/>
      <c r="G889" s="27"/>
      <c r="H889" s="27"/>
      <c r="I889" s="27"/>
      <c r="J889" s="27"/>
      <c r="K889" s="27"/>
    </row>
    <row r="890" spans="1:11" x14ac:dyDescent="0.2">
      <c r="A890" s="26"/>
      <c r="B890" s="14" t="str">
        <f>IF(A890="","",CHOOSE(WEEKDAY(A890),"日","月","火","水","木","金","土"))</f>
        <v/>
      </c>
      <c r="C890" s="27"/>
      <c r="D890" s="27"/>
      <c r="E890" s="14" t="str">
        <f>IF(F890="","",IFERROR(INDEX(マスター!$F$5:$F$200,MATCH(F890,マスター!$E$5:$E$200,0)),"※マスター未登録"))</f>
        <v/>
      </c>
      <c r="F890" s="27"/>
      <c r="G890" s="27"/>
      <c r="H890" s="27"/>
      <c r="I890" s="27"/>
      <c r="J890" s="27"/>
      <c r="K890" s="27"/>
    </row>
    <row r="891" spans="1:11" x14ac:dyDescent="0.2">
      <c r="A891" s="26"/>
      <c r="B891" s="14" t="str">
        <f>IF(A891="","",CHOOSE(WEEKDAY(A891),"日","月","火","水","木","金","土"))</f>
        <v/>
      </c>
      <c r="C891" s="27"/>
      <c r="D891" s="27"/>
      <c r="E891" s="14" t="str">
        <f>IF(F891="","",IFERROR(INDEX(マスター!$F$5:$F$200,MATCH(F891,マスター!$E$5:$E$200,0)),"※マスター未登録"))</f>
        <v/>
      </c>
      <c r="F891" s="27"/>
      <c r="G891" s="27"/>
      <c r="H891" s="27"/>
      <c r="I891" s="27"/>
      <c r="J891" s="27"/>
      <c r="K891" s="27"/>
    </row>
    <row r="892" spans="1:11" x14ac:dyDescent="0.2">
      <c r="A892" s="26"/>
      <c r="B892" s="14" t="str">
        <f>IF(A892="","",CHOOSE(WEEKDAY(A892),"日","月","火","水","木","金","土"))</f>
        <v/>
      </c>
      <c r="C892" s="27"/>
      <c r="D892" s="27"/>
      <c r="E892" s="14" t="str">
        <f>IF(F892="","",IFERROR(INDEX(マスター!$F$5:$F$200,MATCH(F892,マスター!$E$5:$E$200,0)),"※マスター未登録"))</f>
        <v/>
      </c>
      <c r="F892" s="27"/>
      <c r="G892" s="27"/>
      <c r="H892" s="27"/>
      <c r="I892" s="27"/>
      <c r="J892" s="27"/>
      <c r="K892" s="27"/>
    </row>
    <row r="893" spans="1:11" x14ac:dyDescent="0.2">
      <c r="A893" s="26"/>
      <c r="B893" s="14" t="str">
        <f>IF(A893="","",CHOOSE(WEEKDAY(A893),"日","月","火","水","木","金","土"))</f>
        <v/>
      </c>
      <c r="C893" s="27"/>
      <c r="D893" s="27"/>
      <c r="E893" s="14" t="str">
        <f>IF(F893="","",IFERROR(INDEX(マスター!$F$5:$F$200,MATCH(F893,マスター!$E$5:$E$200,0)),"※マスター未登録"))</f>
        <v/>
      </c>
      <c r="F893" s="27"/>
      <c r="G893" s="27"/>
      <c r="H893" s="27"/>
      <c r="I893" s="27"/>
      <c r="J893" s="27"/>
      <c r="K893" s="27"/>
    </row>
    <row r="894" spans="1:11" x14ac:dyDescent="0.2">
      <c r="A894" s="26"/>
      <c r="B894" s="14" t="str">
        <f>IF(A894="","",CHOOSE(WEEKDAY(A894),"日","月","火","水","木","金","土"))</f>
        <v/>
      </c>
      <c r="C894" s="27"/>
      <c r="D894" s="27"/>
      <c r="E894" s="14" t="str">
        <f>IF(F894="","",IFERROR(INDEX(マスター!$F$5:$F$200,MATCH(F894,マスター!$E$5:$E$200,0)),"※マスター未登録"))</f>
        <v/>
      </c>
      <c r="F894" s="27"/>
      <c r="G894" s="27"/>
      <c r="H894" s="27"/>
      <c r="I894" s="27"/>
      <c r="J894" s="27"/>
      <c r="K894" s="27"/>
    </row>
    <row r="895" spans="1:11" x14ac:dyDescent="0.2">
      <c r="A895" s="26"/>
      <c r="B895" s="14" t="str">
        <f>IF(A895="","",CHOOSE(WEEKDAY(A895),"日","月","火","水","木","金","土"))</f>
        <v/>
      </c>
      <c r="C895" s="27"/>
      <c r="D895" s="27"/>
      <c r="E895" s="14" t="str">
        <f>IF(F895="","",IFERROR(INDEX(マスター!$F$5:$F$200,MATCH(F895,マスター!$E$5:$E$200,0)),"※マスター未登録"))</f>
        <v/>
      </c>
      <c r="F895" s="27"/>
      <c r="G895" s="27"/>
      <c r="H895" s="27"/>
      <c r="I895" s="27"/>
      <c r="J895" s="27"/>
      <c r="K895" s="27"/>
    </row>
    <row r="896" spans="1:11" x14ac:dyDescent="0.2">
      <c r="A896" s="26"/>
      <c r="B896" s="14" t="str">
        <f>IF(A896="","",CHOOSE(WEEKDAY(A896),"日","月","火","水","木","金","土"))</f>
        <v/>
      </c>
      <c r="C896" s="27"/>
      <c r="D896" s="27"/>
      <c r="E896" s="14" t="str">
        <f>IF(F896="","",IFERROR(INDEX(マスター!$F$5:$F$200,MATCH(F896,マスター!$E$5:$E$200,0)),"※マスター未登録"))</f>
        <v/>
      </c>
      <c r="F896" s="27"/>
      <c r="G896" s="27"/>
      <c r="H896" s="27"/>
      <c r="I896" s="27"/>
      <c r="J896" s="27"/>
      <c r="K896" s="27"/>
    </row>
    <row r="897" spans="1:11" x14ac:dyDescent="0.2">
      <c r="A897" s="26"/>
      <c r="B897" s="14" t="str">
        <f>IF(A897="","",CHOOSE(WEEKDAY(A897),"日","月","火","水","木","金","土"))</f>
        <v/>
      </c>
      <c r="C897" s="27"/>
      <c r="D897" s="27"/>
      <c r="E897" s="14" t="str">
        <f>IF(F897="","",IFERROR(INDEX(マスター!$F$5:$F$200,MATCH(F897,マスター!$E$5:$E$200,0)),"※マスター未登録"))</f>
        <v/>
      </c>
      <c r="F897" s="27"/>
      <c r="G897" s="27"/>
      <c r="H897" s="27"/>
      <c r="I897" s="27"/>
      <c r="J897" s="27"/>
      <c r="K897" s="27"/>
    </row>
    <row r="898" spans="1:11" x14ac:dyDescent="0.2">
      <c r="A898" s="26"/>
      <c r="B898" s="14" t="str">
        <f>IF(A898="","",CHOOSE(WEEKDAY(A898),"日","月","火","水","木","金","土"))</f>
        <v/>
      </c>
      <c r="C898" s="27"/>
      <c r="D898" s="27"/>
      <c r="E898" s="14" t="str">
        <f>IF(F898="","",IFERROR(INDEX(マスター!$F$5:$F$200,MATCH(F898,マスター!$E$5:$E$200,0)),"※マスター未登録"))</f>
        <v/>
      </c>
      <c r="F898" s="27"/>
      <c r="G898" s="27"/>
      <c r="H898" s="27"/>
      <c r="I898" s="27"/>
      <c r="J898" s="27"/>
      <c r="K898" s="27"/>
    </row>
    <row r="899" spans="1:11" x14ac:dyDescent="0.2">
      <c r="A899" s="26"/>
      <c r="B899" s="14" t="str">
        <f>IF(A899="","",CHOOSE(WEEKDAY(A899),"日","月","火","水","木","金","土"))</f>
        <v/>
      </c>
      <c r="C899" s="27"/>
      <c r="D899" s="27"/>
      <c r="E899" s="14" t="str">
        <f>IF(F899="","",IFERROR(INDEX(マスター!$F$5:$F$200,MATCH(F899,マスター!$E$5:$E$200,0)),"※マスター未登録"))</f>
        <v/>
      </c>
      <c r="F899" s="27"/>
      <c r="G899" s="27"/>
      <c r="H899" s="27"/>
      <c r="I899" s="27"/>
      <c r="J899" s="27"/>
      <c r="K899" s="27"/>
    </row>
    <row r="900" spans="1:11" x14ac:dyDescent="0.2">
      <c r="A900" s="26"/>
      <c r="B900" s="14" t="str">
        <f>IF(A900="","",CHOOSE(WEEKDAY(A900),"日","月","火","水","木","金","土"))</f>
        <v/>
      </c>
      <c r="C900" s="27"/>
      <c r="D900" s="27"/>
      <c r="E900" s="14" t="str">
        <f>IF(F900="","",IFERROR(INDEX(マスター!$F$5:$F$200,MATCH(F900,マスター!$E$5:$E$200,0)),"※マスター未登録"))</f>
        <v/>
      </c>
      <c r="F900" s="27"/>
      <c r="G900" s="27"/>
      <c r="H900" s="27"/>
      <c r="I900" s="27"/>
      <c r="J900" s="27"/>
      <c r="K900" s="27"/>
    </row>
    <row r="901" spans="1:11" x14ac:dyDescent="0.2">
      <c r="A901" s="26"/>
      <c r="B901" s="14" t="str">
        <f>IF(A901="","",CHOOSE(WEEKDAY(A901),"日","月","火","水","木","金","土"))</f>
        <v/>
      </c>
      <c r="C901" s="27"/>
      <c r="D901" s="27"/>
      <c r="E901" s="14" t="str">
        <f>IF(F901="","",IFERROR(INDEX(マスター!$F$5:$F$200,MATCH(F901,マスター!$E$5:$E$200,0)),"※マスター未登録"))</f>
        <v/>
      </c>
      <c r="F901" s="27"/>
      <c r="G901" s="27"/>
      <c r="H901" s="27"/>
      <c r="I901" s="27"/>
      <c r="J901" s="27"/>
      <c r="K901" s="27"/>
    </row>
    <row r="902" spans="1:11" x14ac:dyDescent="0.2">
      <c r="A902" s="26"/>
      <c r="B902" s="14" t="str">
        <f>IF(A902="","",CHOOSE(WEEKDAY(A902),"日","月","火","水","木","金","土"))</f>
        <v/>
      </c>
      <c r="C902" s="27"/>
      <c r="D902" s="27"/>
      <c r="E902" s="14" t="str">
        <f>IF(F902="","",IFERROR(INDEX(マスター!$F$5:$F$200,MATCH(F902,マスター!$E$5:$E$200,0)),"※マスター未登録"))</f>
        <v/>
      </c>
      <c r="F902" s="27"/>
      <c r="G902" s="27"/>
      <c r="H902" s="27"/>
      <c r="I902" s="27"/>
      <c r="J902" s="27"/>
      <c r="K902" s="27"/>
    </row>
    <row r="903" spans="1:11" x14ac:dyDescent="0.2">
      <c r="A903" s="26"/>
      <c r="B903" s="14" t="str">
        <f>IF(A903="","",CHOOSE(WEEKDAY(A903),"日","月","火","水","木","金","土"))</f>
        <v/>
      </c>
      <c r="C903" s="27"/>
      <c r="D903" s="27"/>
      <c r="E903" s="14" t="str">
        <f>IF(F903="","",IFERROR(INDEX(マスター!$F$5:$F$200,MATCH(F903,マスター!$E$5:$E$200,0)),"※マスター未登録"))</f>
        <v/>
      </c>
      <c r="F903" s="27"/>
      <c r="G903" s="27"/>
      <c r="H903" s="27"/>
      <c r="I903" s="27"/>
      <c r="J903" s="27"/>
      <c r="K903" s="27"/>
    </row>
    <row r="904" spans="1:11" x14ac:dyDescent="0.2">
      <c r="A904" s="26"/>
      <c r="B904" s="14" t="str">
        <f>IF(A904="","",CHOOSE(WEEKDAY(A904),"日","月","火","水","木","金","土"))</f>
        <v/>
      </c>
      <c r="C904" s="27"/>
      <c r="D904" s="27"/>
      <c r="E904" s="14" t="str">
        <f>IF(F904="","",IFERROR(INDEX(マスター!$F$5:$F$200,MATCH(F904,マスター!$E$5:$E$200,0)),"※マスター未登録"))</f>
        <v/>
      </c>
      <c r="F904" s="27"/>
      <c r="G904" s="27"/>
      <c r="H904" s="27"/>
      <c r="I904" s="27"/>
      <c r="J904" s="27"/>
      <c r="K904" s="27"/>
    </row>
    <row r="905" spans="1:11" x14ac:dyDescent="0.2">
      <c r="A905" s="26"/>
      <c r="B905" s="14" t="str">
        <f>IF(A905="","",CHOOSE(WEEKDAY(A905),"日","月","火","水","木","金","土"))</f>
        <v/>
      </c>
      <c r="C905" s="27"/>
      <c r="D905" s="27"/>
      <c r="E905" s="14" t="str">
        <f>IF(F905="","",IFERROR(INDEX(マスター!$F$5:$F$200,MATCH(F905,マスター!$E$5:$E$200,0)),"※マスター未登録"))</f>
        <v/>
      </c>
      <c r="F905" s="27"/>
      <c r="G905" s="27"/>
      <c r="H905" s="27"/>
      <c r="I905" s="27"/>
      <c r="J905" s="27"/>
      <c r="K905" s="27"/>
    </row>
    <row r="906" spans="1:11" x14ac:dyDescent="0.2">
      <c r="A906" s="26"/>
      <c r="B906" s="14" t="str">
        <f>IF(A906="","",CHOOSE(WEEKDAY(A906),"日","月","火","水","木","金","土"))</f>
        <v/>
      </c>
      <c r="C906" s="27"/>
      <c r="D906" s="27"/>
      <c r="E906" s="14" t="str">
        <f>IF(F906="","",IFERROR(INDEX(マスター!$F$5:$F$200,MATCH(F906,マスター!$E$5:$E$200,0)),"※マスター未登録"))</f>
        <v/>
      </c>
      <c r="F906" s="27"/>
      <c r="G906" s="27"/>
      <c r="H906" s="27"/>
      <c r="I906" s="27"/>
      <c r="J906" s="27"/>
      <c r="K906" s="27"/>
    </row>
    <row r="907" spans="1:11" x14ac:dyDescent="0.2">
      <c r="A907" s="26"/>
      <c r="B907" s="14" t="str">
        <f>IF(A907="","",CHOOSE(WEEKDAY(A907),"日","月","火","水","木","金","土"))</f>
        <v/>
      </c>
      <c r="C907" s="27"/>
      <c r="D907" s="27"/>
      <c r="E907" s="14" t="str">
        <f>IF(F907="","",IFERROR(INDEX(マスター!$F$5:$F$200,MATCH(F907,マスター!$E$5:$E$200,0)),"※マスター未登録"))</f>
        <v/>
      </c>
      <c r="F907" s="27"/>
      <c r="G907" s="27"/>
      <c r="H907" s="27"/>
      <c r="I907" s="27"/>
      <c r="J907" s="27"/>
      <c r="K907" s="27"/>
    </row>
    <row r="908" spans="1:11" x14ac:dyDescent="0.2">
      <c r="A908" s="26"/>
      <c r="B908" s="14" t="str">
        <f>IF(A908="","",CHOOSE(WEEKDAY(A908),"日","月","火","水","木","金","土"))</f>
        <v/>
      </c>
      <c r="C908" s="27"/>
      <c r="D908" s="27"/>
      <c r="E908" s="14" t="str">
        <f>IF(F908="","",IFERROR(INDEX(マスター!$F$5:$F$200,MATCH(F908,マスター!$E$5:$E$200,0)),"※マスター未登録"))</f>
        <v/>
      </c>
      <c r="F908" s="27"/>
      <c r="G908" s="27"/>
      <c r="H908" s="27"/>
      <c r="I908" s="27"/>
      <c r="J908" s="27"/>
      <c r="K908" s="27"/>
    </row>
    <row r="909" spans="1:11" x14ac:dyDescent="0.2">
      <c r="A909" s="26"/>
      <c r="B909" s="14" t="str">
        <f>IF(A909="","",CHOOSE(WEEKDAY(A909),"日","月","火","水","木","金","土"))</f>
        <v/>
      </c>
      <c r="C909" s="27"/>
      <c r="D909" s="27"/>
      <c r="E909" s="14" t="str">
        <f>IF(F909="","",IFERROR(INDEX(マスター!$F$5:$F$200,MATCH(F909,マスター!$E$5:$E$200,0)),"※マスター未登録"))</f>
        <v/>
      </c>
      <c r="F909" s="27"/>
      <c r="G909" s="27"/>
      <c r="H909" s="27"/>
      <c r="I909" s="27"/>
      <c r="J909" s="27"/>
      <c r="K909" s="27"/>
    </row>
    <row r="910" spans="1:11" x14ac:dyDescent="0.2">
      <c r="A910" s="26"/>
      <c r="B910" s="14" t="str">
        <f>IF(A910="","",CHOOSE(WEEKDAY(A910),"日","月","火","水","木","金","土"))</f>
        <v/>
      </c>
      <c r="C910" s="27"/>
      <c r="D910" s="27"/>
      <c r="E910" s="14" t="str">
        <f>IF(F910="","",IFERROR(INDEX(マスター!$F$5:$F$200,MATCH(F910,マスター!$E$5:$E$200,0)),"※マスター未登録"))</f>
        <v/>
      </c>
      <c r="F910" s="27"/>
      <c r="G910" s="27"/>
      <c r="H910" s="27"/>
      <c r="I910" s="27"/>
      <c r="J910" s="27"/>
      <c r="K910" s="27"/>
    </row>
    <row r="911" spans="1:11" x14ac:dyDescent="0.2">
      <c r="A911" s="26"/>
      <c r="B911" s="14" t="str">
        <f>IF(A911="","",CHOOSE(WEEKDAY(A911),"日","月","火","水","木","金","土"))</f>
        <v/>
      </c>
      <c r="C911" s="27"/>
      <c r="D911" s="27"/>
      <c r="E911" s="14" t="str">
        <f>IF(F911="","",IFERROR(INDEX(マスター!$F$5:$F$200,MATCH(F911,マスター!$E$5:$E$200,0)),"※マスター未登録"))</f>
        <v/>
      </c>
      <c r="F911" s="27"/>
      <c r="G911" s="27"/>
      <c r="H911" s="27"/>
      <c r="I911" s="27"/>
      <c r="J911" s="27"/>
      <c r="K911" s="27"/>
    </row>
    <row r="912" spans="1:11" x14ac:dyDescent="0.2">
      <c r="A912" s="26"/>
      <c r="B912" s="14" t="str">
        <f>IF(A912="","",CHOOSE(WEEKDAY(A912),"日","月","火","水","木","金","土"))</f>
        <v/>
      </c>
      <c r="C912" s="27"/>
      <c r="D912" s="27"/>
      <c r="E912" s="14" t="str">
        <f>IF(F912="","",IFERROR(INDEX(マスター!$F$5:$F$200,MATCH(F912,マスター!$E$5:$E$200,0)),"※マスター未登録"))</f>
        <v/>
      </c>
      <c r="F912" s="27"/>
      <c r="G912" s="27"/>
      <c r="H912" s="27"/>
      <c r="I912" s="27"/>
      <c r="J912" s="27"/>
      <c r="K912" s="27"/>
    </row>
    <row r="913" spans="1:11" x14ac:dyDescent="0.2">
      <c r="A913" s="26"/>
      <c r="B913" s="14" t="str">
        <f>IF(A913="","",CHOOSE(WEEKDAY(A913),"日","月","火","水","木","金","土"))</f>
        <v/>
      </c>
      <c r="C913" s="27"/>
      <c r="D913" s="27"/>
      <c r="E913" s="14" t="str">
        <f>IF(F913="","",IFERROR(INDEX(マスター!$F$5:$F$200,MATCH(F913,マスター!$E$5:$E$200,0)),"※マスター未登録"))</f>
        <v/>
      </c>
      <c r="F913" s="27"/>
      <c r="G913" s="27"/>
      <c r="H913" s="27"/>
      <c r="I913" s="27"/>
      <c r="J913" s="27"/>
      <c r="K913" s="27"/>
    </row>
    <row r="914" spans="1:11" x14ac:dyDescent="0.2">
      <c r="A914" s="26"/>
      <c r="B914" s="14" t="str">
        <f>IF(A914="","",CHOOSE(WEEKDAY(A914),"日","月","火","水","木","金","土"))</f>
        <v/>
      </c>
      <c r="C914" s="27"/>
      <c r="D914" s="27"/>
      <c r="E914" s="14" t="str">
        <f>IF(F914="","",IFERROR(INDEX(マスター!$F$5:$F$200,MATCH(F914,マスター!$E$5:$E$200,0)),"※マスター未登録"))</f>
        <v/>
      </c>
      <c r="F914" s="27"/>
      <c r="G914" s="27"/>
      <c r="H914" s="27"/>
      <c r="I914" s="27"/>
      <c r="J914" s="27"/>
      <c r="K914" s="27"/>
    </row>
    <row r="915" spans="1:11" x14ac:dyDescent="0.2">
      <c r="A915" s="26"/>
      <c r="B915" s="14" t="str">
        <f>IF(A915="","",CHOOSE(WEEKDAY(A915),"日","月","火","水","木","金","土"))</f>
        <v/>
      </c>
      <c r="C915" s="27"/>
      <c r="D915" s="27"/>
      <c r="E915" s="14" t="str">
        <f>IF(F915="","",IFERROR(INDEX(マスター!$F$5:$F$200,MATCH(F915,マスター!$E$5:$E$200,0)),"※マスター未登録"))</f>
        <v/>
      </c>
      <c r="F915" s="27"/>
      <c r="G915" s="27"/>
      <c r="H915" s="27"/>
      <c r="I915" s="27"/>
      <c r="J915" s="27"/>
      <c r="K915" s="27"/>
    </row>
    <row r="916" spans="1:11" x14ac:dyDescent="0.2">
      <c r="A916" s="26"/>
      <c r="B916" s="14" t="str">
        <f>IF(A916="","",CHOOSE(WEEKDAY(A916),"日","月","火","水","木","金","土"))</f>
        <v/>
      </c>
      <c r="C916" s="27"/>
      <c r="D916" s="27"/>
      <c r="E916" s="14" t="str">
        <f>IF(F916="","",IFERROR(INDEX(マスター!$F$5:$F$200,MATCH(F916,マスター!$E$5:$E$200,0)),"※マスター未登録"))</f>
        <v/>
      </c>
      <c r="F916" s="27"/>
      <c r="G916" s="27"/>
      <c r="H916" s="27"/>
      <c r="I916" s="27"/>
      <c r="J916" s="27"/>
      <c r="K916" s="27"/>
    </row>
    <row r="917" spans="1:11" x14ac:dyDescent="0.2">
      <c r="A917" s="26"/>
      <c r="B917" s="14" t="str">
        <f>IF(A917="","",CHOOSE(WEEKDAY(A917),"日","月","火","水","木","金","土"))</f>
        <v/>
      </c>
      <c r="C917" s="27"/>
      <c r="D917" s="27"/>
      <c r="E917" s="14" t="str">
        <f>IF(F917="","",IFERROR(INDEX(マスター!$F$5:$F$200,MATCH(F917,マスター!$E$5:$E$200,0)),"※マスター未登録"))</f>
        <v/>
      </c>
      <c r="F917" s="27"/>
      <c r="G917" s="27"/>
      <c r="H917" s="27"/>
      <c r="I917" s="27"/>
      <c r="J917" s="27"/>
      <c r="K917" s="27"/>
    </row>
    <row r="918" spans="1:11" x14ac:dyDescent="0.2">
      <c r="A918" s="26"/>
      <c r="B918" s="14" t="str">
        <f>IF(A918="","",CHOOSE(WEEKDAY(A918),"日","月","火","水","木","金","土"))</f>
        <v/>
      </c>
      <c r="C918" s="27"/>
      <c r="D918" s="27"/>
      <c r="E918" s="14" t="str">
        <f>IF(F918="","",IFERROR(INDEX(マスター!$F$5:$F$200,MATCH(F918,マスター!$E$5:$E$200,0)),"※マスター未登録"))</f>
        <v/>
      </c>
      <c r="F918" s="27"/>
      <c r="G918" s="27"/>
      <c r="H918" s="27"/>
      <c r="I918" s="27"/>
      <c r="J918" s="27"/>
      <c r="K918" s="27"/>
    </row>
    <row r="919" spans="1:11" x14ac:dyDescent="0.2">
      <c r="A919" s="26"/>
      <c r="B919" s="14" t="str">
        <f>IF(A919="","",CHOOSE(WEEKDAY(A919),"日","月","火","水","木","金","土"))</f>
        <v/>
      </c>
      <c r="C919" s="27"/>
      <c r="D919" s="27"/>
      <c r="E919" s="14" t="str">
        <f>IF(F919="","",IFERROR(INDEX(マスター!$F$5:$F$200,MATCH(F919,マスター!$E$5:$E$200,0)),"※マスター未登録"))</f>
        <v/>
      </c>
      <c r="F919" s="27"/>
      <c r="G919" s="27"/>
      <c r="H919" s="27"/>
      <c r="I919" s="27"/>
      <c r="J919" s="27"/>
      <c r="K919" s="27"/>
    </row>
    <row r="920" spans="1:11" x14ac:dyDescent="0.2">
      <c r="A920" s="26"/>
      <c r="B920" s="14" t="str">
        <f>IF(A920="","",CHOOSE(WEEKDAY(A920),"日","月","火","水","木","金","土"))</f>
        <v/>
      </c>
      <c r="C920" s="27"/>
      <c r="D920" s="27"/>
      <c r="E920" s="14" t="str">
        <f>IF(F920="","",IFERROR(INDEX(マスター!$F$5:$F$200,MATCH(F920,マスター!$E$5:$E$200,0)),"※マスター未登録"))</f>
        <v/>
      </c>
      <c r="F920" s="27"/>
      <c r="G920" s="27"/>
      <c r="H920" s="27"/>
      <c r="I920" s="27"/>
      <c r="J920" s="27"/>
      <c r="K920" s="27"/>
    </row>
    <row r="921" spans="1:11" x14ac:dyDescent="0.2">
      <c r="A921" s="26"/>
      <c r="B921" s="14" t="str">
        <f>IF(A921="","",CHOOSE(WEEKDAY(A921),"日","月","火","水","木","金","土"))</f>
        <v/>
      </c>
      <c r="C921" s="27"/>
      <c r="D921" s="27"/>
      <c r="E921" s="14" t="str">
        <f>IF(F921="","",IFERROR(INDEX(マスター!$F$5:$F$200,MATCH(F921,マスター!$E$5:$E$200,0)),"※マスター未登録"))</f>
        <v/>
      </c>
      <c r="F921" s="27"/>
      <c r="G921" s="27"/>
      <c r="H921" s="27"/>
      <c r="I921" s="27"/>
      <c r="J921" s="27"/>
      <c r="K921" s="27"/>
    </row>
    <row r="922" spans="1:11" x14ac:dyDescent="0.2">
      <c r="A922" s="26"/>
      <c r="B922" s="14" t="str">
        <f>IF(A922="","",CHOOSE(WEEKDAY(A922),"日","月","火","水","木","金","土"))</f>
        <v/>
      </c>
      <c r="C922" s="27"/>
      <c r="D922" s="27"/>
      <c r="E922" s="14" t="str">
        <f>IF(F922="","",IFERROR(INDEX(マスター!$F$5:$F$200,MATCH(F922,マスター!$E$5:$E$200,0)),"※マスター未登録"))</f>
        <v/>
      </c>
      <c r="F922" s="27"/>
      <c r="G922" s="27"/>
      <c r="H922" s="27"/>
      <c r="I922" s="27"/>
      <c r="J922" s="27"/>
      <c r="K922" s="27"/>
    </row>
    <row r="923" spans="1:11" x14ac:dyDescent="0.2">
      <c r="A923" s="26"/>
      <c r="B923" s="14" t="str">
        <f>IF(A923="","",CHOOSE(WEEKDAY(A923),"日","月","火","水","木","金","土"))</f>
        <v/>
      </c>
      <c r="C923" s="27"/>
      <c r="D923" s="27"/>
      <c r="E923" s="14" t="str">
        <f>IF(F923="","",IFERROR(INDEX(マスター!$F$5:$F$200,MATCH(F923,マスター!$E$5:$E$200,0)),"※マスター未登録"))</f>
        <v/>
      </c>
      <c r="F923" s="27"/>
      <c r="G923" s="27"/>
      <c r="H923" s="27"/>
      <c r="I923" s="27"/>
      <c r="J923" s="27"/>
      <c r="K923" s="27"/>
    </row>
    <row r="924" spans="1:11" x14ac:dyDescent="0.2">
      <c r="A924" s="26"/>
      <c r="B924" s="14" t="str">
        <f>IF(A924="","",CHOOSE(WEEKDAY(A924),"日","月","火","水","木","金","土"))</f>
        <v/>
      </c>
      <c r="C924" s="27"/>
      <c r="D924" s="27"/>
      <c r="E924" s="14" t="str">
        <f>IF(F924="","",IFERROR(INDEX(マスター!$F$5:$F$200,MATCH(F924,マスター!$E$5:$E$200,0)),"※マスター未登録"))</f>
        <v/>
      </c>
      <c r="F924" s="27"/>
      <c r="G924" s="27"/>
      <c r="H924" s="27"/>
      <c r="I924" s="27"/>
      <c r="J924" s="27"/>
      <c r="K924" s="27"/>
    </row>
    <row r="925" spans="1:11" x14ac:dyDescent="0.2">
      <c r="A925" s="26"/>
      <c r="B925" s="14" t="str">
        <f>IF(A925="","",CHOOSE(WEEKDAY(A925),"日","月","火","水","木","金","土"))</f>
        <v/>
      </c>
      <c r="C925" s="27"/>
      <c r="D925" s="27"/>
      <c r="E925" s="14" t="str">
        <f>IF(F925="","",IFERROR(INDEX(マスター!$F$5:$F$200,MATCH(F925,マスター!$E$5:$E$200,0)),"※マスター未登録"))</f>
        <v/>
      </c>
      <c r="F925" s="27"/>
      <c r="G925" s="27"/>
      <c r="H925" s="27"/>
      <c r="I925" s="27"/>
      <c r="J925" s="27"/>
      <c r="K925" s="27"/>
    </row>
    <row r="926" spans="1:11" x14ac:dyDescent="0.2">
      <c r="A926" s="26"/>
      <c r="B926" s="14" t="str">
        <f>IF(A926="","",CHOOSE(WEEKDAY(A926),"日","月","火","水","木","金","土"))</f>
        <v/>
      </c>
      <c r="C926" s="27"/>
      <c r="D926" s="27"/>
      <c r="E926" s="14" t="str">
        <f>IF(F926="","",IFERROR(INDEX(マスター!$F$5:$F$200,MATCH(F926,マスター!$E$5:$E$200,0)),"※マスター未登録"))</f>
        <v/>
      </c>
      <c r="F926" s="27"/>
      <c r="G926" s="27"/>
      <c r="H926" s="27"/>
      <c r="I926" s="27"/>
      <c r="J926" s="27"/>
      <c r="K926" s="27"/>
    </row>
    <row r="927" spans="1:11" x14ac:dyDescent="0.2">
      <c r="A927" s="26"/>
      <c r="B927" s="14" t="str">
        <f>IF(A927="","",CHOOSE(WEEKDAY(A927),"日","月","火","水","木","金","土"))</f>
        <v/>
      </c>
      <c r="C927" s="27"/>
      <c r="D927" s="27"/>
      <c r="E927" s="14" t="str">
        <f>IF(F927="","",IFERROR(INDEX(マスター!$F$5:$F$200,MATCH(F927,マスター!$E$5:$E$200,0)),"※マスター未登録"))</f>
        <v/>
      </c>
      <c r="F927" s="27"/>
      <c r="G927" s="27"/>
      <c r="H927" s="27"/>
      <c r="I927" s="27"/>
      <c r="J927" s="27"/>
      <c r="K927" s="27"/>
    </row>
    <row r="928" spans="1:11" x14ac:dyDescent="0.2">
      <c r="A928" s="26"/>
      <c r="B928" s="14" t="str">
        <f>IF(A928="","",CHOOSE(WEEKDAY(A928),"日","月","火","水","木","金","土"))</f>
        <v/>
      </c>
      <c r="C928" s="27"/>
      <c r="D928" s="27"/>
      <c r="E928" s="14" t="str">
        <f>IF(F928="","",IFERROR(INDEX(マスター!$F$5:$F$200,MATCH(F928,マスター!$E$5:$E$200,0)),"※マスター未登録"))</f>
        <v/>
      </c>
      <c r="F928" s="27"/>
      <c r="G928" s="27"/>
      <c r="H928" s="27"/>
      <c r="I928" s="27"/>
      <c r="J928" s="27"/>
      <c r="K928" s="27"/>
    </row>
    <row r="929" spans="1:11" x14ac:dyDescent="0.2">
      <c r="A929" s="26"/>
      <c r="B929" s="14" t="str">
        <f>IF(A929="","",CHOOSE(WEEKDAY(A929),"日","月","火","水","木","金","土"))</f>
        <v/>
      </c>
      <c r="C929" s="27"/>
      <c r="D929" s="27"/>
      <c r="E929" s="14" t="str">
        <f>IF(F929="","",IFERROR(INDEX(マスター!$F$5:$F$200,MATCH(F929,マスター!$E$5:$E$200,0)),"※マスター未登録"))</f>
        <v/>
      </c>
      <c r="F929" s="27"/>
      <c r="G929" s="27"/>
      <c r="H929" s="27"/>
      <c r="I929" s="27"/>
      <c r="J929" s="27"/>
      <c r="K929" s="27"/>
    </row>
    <row r="930" spans="1:11" x14ac:dyDescent="0.2">
      <c r="A930" s="26"/>
      <c r="B930" s="14" t="str">
        <f>IF(A930="","",CHOOSE(WEEKDAY(A930),"日","月","火","水","木","金","土"))</f>
        <v/>
      </c>
      <c r="C930" s="27"/>
      <c r="D930" s="27"/>
      <c r="E930" s="14" t="str">
        <f>IF(F930="","",IFERROR(INDEX(マスター!$F$5:$F$200,MATCH(F930,マスター!$E$5:$E$200,0)),"※マスター未登録"))</f>
        <v/>
      </c>
      <c r="F930" s="27"/>
      <c r="G930" s="27"/>
      <c r="H930" s="27"/>
      <c r="I930" s="27"/>
      <c r="J930" s="27"/>
      <c r="K930" s="27"/>
    </row>
    <row r="931" spans="1:11" x14ac:dyDescent="0.2">
      <c r="A931" s="26"/>
      <c r="B931" s="14" t="str">
        <f>IF(A931="","",CHOOSE(WEEKDAY(A931),"日","月","火","水","木","金","土"))</f>
        <v/>
      </c>
      <c r="C931" s="27"/>
      <c r="D931" s="27"/>
      <c r="E931" s="14" t="str">
        <f>IF(F931="","",IFERROR(INDEX(マスター!$F$5:$F$200,MATCH(F931,マスター!$E$5:$E$200,0)),"※マスター未登録"))</f>
        <v/>
      </c>
      <c r="F931" s="27"/>
      <c r="G931" s="27"/>
      <c r="H931" s="27"/>
      <c r="I931" s="27"/>
      <c r="J931" s="27"/>
      <c r="K931" s="27"/>
    </row>
    <row r="932" spans="1:11" x14ac:dyDescent="0.2">
      <c r="A932" s="26"/>
      <c r="B932" s="14" t="str">
        <f>IF(A932="","",CHOOSE(WEEKDAY(A932),"日","月","火","水","木","金","土"))</f>
        <v/>
      </c>
      <c r="C932" s="27"/>
      <c r="D932" s="27"/>
      <c r="E932" s="14" t="str">
        <f>IF(F932="","",IFERROR(INDEX(マスター!$F$5:$F$200,MATCH(F932,マスター!$E$5:$E$200,0)),"※マスター未登録"))</f>
        <v/>
      </c>
      <c r="F932" s="27"/>
      <c r="G932" s="27"/>
      <c r="H932" s="27"/>
      <c r="I932" s="27"/>
      <c r="J932" s="27"/>
      <c r="K932" s="27"/>
    </row>
    <row r="933" spans="1:11" x14ac:dyDescent="0.2">
      <c r="A933" s="26"/>
      <c r="B933" s="14" t="str">
        <f>IF(A933="","",CHOOSE(WEEKDAY(A933),"日","月","火","水","木","金","土"))</f>
        <v/>
      </c>
      <c r="C933" s="27"/>
      <c r="D933" s="27"/>
      <c r="E933" s="14" t="str">
        <f>IF(F933="","",IFERROR(INDEX(マスター!$F$5:$F$200,MATCH(F933,マスター!$E$5:$E$200,0)),"※マスター未登録"))</f>
        <v/>
      </c>
      <c r="F933" s="27"/>
      <c r="G933" s="27"/>
      <c r="H933" s="27"/>
      <c r="I933" s="27"/>
      <c r="J933" s="27"/>
      <c r="K933" s="27"/>
    </row>
    <row r="934" spans="1:11" x14ac:dyDescent="0.2">
      <c r="A934" s="26"/>
      <c r="B934" s="14" t="str">
        <f>IF(A934="","",CHOOSE(WEEKDAY(A934),"日","月","火","水","木","金","土"))</f>
        <v/>
      </c>
      <c r="C934" s="27"/>
      <c r="D934" s="27"/>
      <c r="E934" s="14" t="str">
        <f>IF(F934="","",IFERROR(INDEX(マスター!$F$5:$F$200,MATCH(F934,マスター!$E$5:$E$200,0)),"※マスター未登録"))</f>
        <v/>
      </c>
      <c r="F934" s="27"/>
      <c r="G934" s="27"/>
      <c r="H934" s="27"/>
      <c r="I934" s="27"/>
      <c r="J934" s="27"/>
      <c r="K934" s="27"/>
    </row>
    <row r="935" spans="1:11" x14ac:dyDescent="0.2">
      <c r="A935" s="26"/>
      <c r="B935" s="14" t="str">
        <f>IF(A935="","",CHOOSE(WEEKDAY(A935),"日","月","火","水","木","金","土"))</f>
        <v/>
      </c>
      <c r="C935" s="27"/>
      <c r="D935" s="27"/>
      <c r="E935" s="14" t="str">
        <f>IF(F935="","",IFERROR(INDEX(マスター!$F$5:$F$200,MATCH(F935,マスター!$E$5:$E$200,0)),"※マスター未登録"))</f>
        <v/>
      </c>
      <c r="F935" s="27"/>
      <c r="G935" s="27"/>
      <c r="H935" s="27"/>
      <c r="I935" s="27"/>
      <c r="J935" s="27"/>
      <c r="K935" s="27"/>
    </row>
    <row r="936" spans="1:11" x14ac:dyDescent="0.2">
      <c r="A936" s="26"/>
      <c r="B936" s="14" t="str">
        <f>IF(A936="","",CHOOSE(WEEKDAY(A936),"日","月","火","水","木","金","土"))</f>
        <v/>
      </c>
      <c r="C936" s="27"/>
      <c r="D936" s="27"/>
      <c r="E936" s="14" t="str">
        <f>IF(F936="","",IFERROR(INDEX(マスター!$F$5:$F$200,MATCH(F936,マスター!$E$5:$E$200,0)),"※マスター未登録"))</f>
        <v/>
      </c>
      <c r="F936" s="27"/>
      <c r="G936" s="27"/>
      <c r="H936" s="27"/>
      <c r="I936" s="27"/>
      <c r="J936" s="27"/>
      <c r="K936" s="27"/>
    </row>
    <row r="937" spans="1:11" x14ac:dyDescent="0.2">
      <c r="A937" s="26"/>
      <c r="B937" s="14" t="str">
        <f>IF(A937="","",CHOOSE(WEEKDAY(A937),"日","月","火","水","木","金","土"))</f>
        <v/>
      </c>
      <c r="C937" s="27"/>
      <c r="D937" s="27"/>
      <c r="E937" s="14" t="str">
        <f>IF(F937="","",IFERROR(INDEX(マスター!$F$5:$F$200,MATCH(F937,マスター!$E$5:$E$200,0)),"※マスター未登録"))</f>
        <v/>
      </c>
      <c r="F937" s="27"/>
      <c r="G937" s="27"/>
      <c r="H937" s="27"/>
      <c r="I937" s="27"/>
      <c r="J937" s="27"/>
      <c r="K937" s="27"/>
    </row>
    <row r="938" spans="1:11" x14ac:dyDescent="0.2">
      <c r="A938" s="26"/>
      <c r="B938" s="14" t="str">
        <f>IF(A938="","",CHOOSE(WEEKDAY(A938),"日","月","火","水","木","金","土"))</f>
        <v/>
      </c>
      <c r="C938" s="27"/>
      <c r="D938" s="27"/>
      <c r="E938" s="14" t="str">
        <f>IF(F938="","",IFERROR(INDEX(マスター!$F$5:$F$200,MATCH(F938,マスター!$E$5:$E$200,0)),"※マスター未登録"))</f>
        <v/>
      </c>
      <c r="F938" s="27"/>
      <c r="G938" s="27"/>
      <c r="H938" s="27"/>
      <c r="I938" s="27"/>
      <c r="J938" s="27"/>
      <c r="K938" s="27"/>
    </row>
    <row r="939" spans="1:11" x14ac:dyDescent="0.2">
      <c r="A939" s="26"/>
      <c r="B939" s="14" t="str">
        <f>IF(A939="","",CHOOSE(WEEKDAY(A939),"日","月","火","水","木","金","土"))</f>
        <v/>
      </c>
      <c r="C939" s="27"/>
      <c r="D939" s="27"/>
      <c r="E939" s="14" t="str">
        <f>IF(F939="","",IFERROR(INDEX(マスター!$F$5:$F$200,MATCH(F939,マスター!$E$5:$E$200,0)),"※マスター未登録"))</f>
        <v/>
      </c>
      <c r="F939" s="27"/>
      <c r="G939" s="27"/>
      <c r="H939" s="27"/>
      <c r="I939" s="27"/>
      <c r="J939" s="27"/>
      <c r="K939" s="27"/>
    </row>
    <row r="940" spans="1:11" x14ac:dyDescent="0.2">
      <c r="A940" s="26"/>
      <c r="B940" s="14" t="str">
        <f>IF(A940="","",CHOOSE(WEEKDAY(A940),"日","月","火","水","木","金","土"))</f>
        <v/>
      </c>
      <c r="C940" s="27"/>
      <c r="D940" s="27"/>
      <c r="E940" s="14" t="str">
        <f>IF(F940="","",IFERROR(INDEX(マスター!$F$5:$F$200,MATCH(F940,マスター!$E$5:$E$200,0)),"※マスター未登録"))</f>
        <v/>
      </c>
      <c r="F940" s="27"/>
      <c r="G940" s="27"/>
      <c r="H940" s="27"/>
      <c r="I940" s="27"/>
      <c r="J940" s="27"/>
      <c r="K940" s="27"/>
    </row>
    <row r="941" spans="1:11" x14ac:dyDescent="0.2">
      <c r="A941" s="26"/>
      <c r="B941" s="14" t="str">
        <f>IF(A941="","",CHOOSE(WEEKDAY(A941),"日","月","火","水","木","金","土"))</f>
        <v/>
      </c>
      <c r="C941" s="27"/>
      <c r="D941" s="27"/>
      <c r="E941" s="14" t="str">
        <f>IF(F941="","",IFERROR(INDEX(マスター!$F$5:$F$200,MATCH(F941,マスター!$E$5:$E$200,0)),"※マスター未登録"))</f>
        <v/>
      </c>
      <c r="F941" s="27"/>
      <c r="G941" s="27"/>
      <c r="H941" s="27"/>
      <c r="I941" s="27"/>
      <c r="J941" s="27"/>
      <c r="K941" s="27"/>
    </row>
    <row r="942" spans="1:11" x14ac:dyDescent="0.2">
      <c r="A942" s="26"/>
      <c r="B942" s="14" t="str">
        <f>IF(A942="","",CHOOSE(WEEKDAY(A942),"日","月","火","水","木","金","土"))</f>
        <v/>
      </c>
      <c r="C942" s="27"/>
      <c r="D942" s="27"/>
      <c r="E942" s="14" t="str">
        <f>IF(F942="","",IFERROR(INDEX(マスター!$F$5:$F$200,MATCH(F942,マスター!$E$5:$E$200,0)),"※マスター未登録"))</f>
        <v/>
      </c>
      <c r="F942" s="27"/>
      <c r="G942" s="27"/>
      <c r="H942" s="27"/>
      <c r="I942" s="27"/>
      <c r="J942" s="27"/>
      <c r="K942" s="27"/>
    </row>
    <row r="943" spans="1:11" x14ac:dyDescent="0.2">
      <c r="A943" s="26"/>
      <c r="B943" s="14" t="str">
        <f>IF(A943="","",CHOOSE(WEEKDAY(A943),"日","月","火","水","木","金","土"))</f>
        <v/>
      </c>
      <c r="C943" s="27"/>
      <c r="D943" s="27"/>
      <c r="E943" s="14" t="str">
        <f>IF(F943="","",IFERROR(INDEX(マスター!$F$5:$F$200,MATCH(F943,マスター!$E$5:$E$200,0)),"※マスター未登録"))</f>
        <v/>
      </c>
      <c r="F943" s="27"/>
      <c r="G943" s="27"/>
      <c r="H943" s="27"/>
      <c r="I943" s="27"/>
      <c r="J943" s="27"/>
      <c r="K943" s="27"/>
    </row>
    <row r="944" spans="1:11" x14ac:dyDescent="0.2">
      <c r="A944" s="26"/>
      <c r="B944" s="14" t="str">
        <f>IF(A944="","",CHOOSE(WEEKDAY(A944),"日","月","火","水","木","金","土"))</f>
        <v/>
      </c>
      <c r="C944" s="27"/>
      <c r="D944" s="27"/>
      <c r="E944" s="14" t="str">
        <f>IF(F944="","",IFERROR(INDEX(マスター!$F$5:$F$200,MATCH(F944,マスター!$E$5:$E$200,0)),"※マスター未登録"))</f>
        <v/>
      </c>
      <c r="F944" s="27"/>
      <c r="G944" s="27"/>
      <c r="H944" s="27"/>
      <c r="I944" s="27"/>
      <c r="J944" s="27"/>
      <c r="K944" s="27"/>
    </row>
    <row r="945" spans="1:11" x14ac:dyDescent="0.2">
      <c r="A945" s="26"/>
      <c r="B945" s="14" t="str">
        <f>IF(A945="","",CHOOSE(WEEKDAY(A945),"日","月","火","水","木","金","土"))</f>
        <v/>
      </c>
      <c r="C945" s="27"/>
      <c r="D945" s="27"/>
      <c r="E945" s="14" t="str">
        <f>IF(F945="","",IFERROR(INDEX(マスター!$F$5:$F$200,MATCH(F945,マスター!$E$5:$E$200,0)),"※マスター未登録"))</f>
        <v/>
      </c>
      <c r="F945" s="27"/>
      <c r="G945" s="27"/>
      <c r="H945" s="27"/>
      <c r="I945" s="27"/>
      <c r="J945" s="27"/>
      <c r="K945" s="27"/>
    </row>
    <row r="946" spans="1:11" x14ac:dyDescent="0.2">
      <c r="A946" s="26"/>
      <c r="B946" s="14" t="str">
        <f>IF(A946="","",CHOOSE(WEEKDAY(A946),"日","月","火","水","木","金","土"))</f>
        <v/>
      </c>
      <c r="C946" s="27"/>
      <c r="D946" s="27"/>
      <c r="E946" s="14" t="str">
        <f>IF(F946="","",IFERROR(INDEX(マスター!$F$5:$F$200,MATCH(F946,マスター!$E$5:$E$200,0)),"※マスター未登録"))</f>
        <v/>
      </c>
      <c r="F946" s="27"/>
      <c r="G946" s="27"/>
      <c r="H946" s="27"/>
      <c r="I946" s="27"/>
      <c r="J946" s="27"/>
      <c r="K946" s="27"/>
    </row>
    <row r="947" spans="1:11" x14ac:dyDescent="0.2">
      <c r="A947" s="26"/>
      <c r="B947" s="14" t="str">
        <f>IF(A947="","",CHOOSE(WEEKDAY(A947),"日","月","火","水","木","金","土"))</f>
        <v/>
      </c>
      <c r="C947" s="27"/>
      <c r="D947" s="27"/>
      <c r="E947" s="14" t="str">
        <f>IF(F947="","",IFERROR(INDEX(マスター!$F$5:$F$200,MATCH(F947,マスター!$E$5:$E$200,0)),"※マスター未登録"))</f>
        <v/>
      </c>
      <c r="F947" s="27"/>
      <c r="G947" s="27"/>
      <c r="H947" s="27"/>
      <c r="I947" s="27"/>
      <c r="J947" s="27"/>
      <c r="K947" s="27"/>
    </row>
    <row r="948" spans="1:11" x14ac:dyDescent="0.2">
      <c r="A948" s="26"/>
      <c r="B948" s="14" t="str">
        <f>IF(A948="","",CHOOSE(WEEKDAY(A948),"日","月","火","水","木","金","土"))</f>
        <v/>
      </c>
      <c r="C948" s="27"/>
      <c r="D948" s="27"/>
      <c r="E948" s="14" t="str">
        <f>IF(F948="","",IFERROR(INDEX(マスター!$F$5:$F$200,MATCH(F948,マスター!$E$5:$E$200,0)),"※マスター未登録"))</f>
        <v/>
      </c>
      <c r="F948" s="27"/>
      <c r="G948" s="27"/>
      <c r="H948" s="27"/>
      <c r="I948" s="27"/>
      <c r="J948" s="27"/>
      <c r="K948" s="27"/>
    </row>
    <row r="949" spans="1:11" x14ac:dyDescent="0.2">
      <c r="A949" s="26"/>
      <c r="B949" s="14" t="str">
        <f>IF(A949="","",CHOOSE(WEEKDAY(A949),"日","月","火","水","木","金","土"))</f>
        <v/>
      </c>
      <c r="C949" s="27"/>
      <c r="D949" s="27"/>
      <c r="E949" s="14" t="str">
        <f>IF(F949="","",IFERROR(INDEX(マスター!$F$5:$F$200,MATCH(F949,マスター!$E$5:$E$200,0)),"※マスター未登録"))</f>
        <v/>
      </c>
      <c r="F949" s="27"/>
      <c r="G949" s="27"/>
      <c r="H949" s="27"/>
      <c r="I949" s="27"/>
      <c r="J949" s="27"/>
      <c r="K949" s="27"/>
    </row>
    <row r="950" spans="1:11" x14ac:dyDescent="0.2">
      <c r="A950" s="26"/>
      <c r="B950" s="14" t="str">
        <f>IF(A950="","",CHOOSE(WEEKDAY(A950),"日","月","火","水","木","金","土"))</f>
        <v/>
      </c>
      <c r="C950" s="27"/>
      <c r="D950" s="27"/>
      <c r="E950" s="14" t="str">
        <f>IF(F950="","",IFERROR(INDEX(マスター!$F$5:$F$200,MATCH(F950,マスター!$E$5:$E$200,0)),"※マスター未登録"))</f>
        <v/>
      </c>
      <c r="F950" s="27"/>
      <c r="G950" s="27"/>
      <c r="H950" s="27"/>
      <c r="I950" s="27"/>
      <c r="J950" s="27"/>
      <c r="K950" s="27"/>
    </row>
    <row r="951" spans="1:11" x14ac:dyDescent="0.2">
      <c r="A951" s="26"/>
      <c r="B951" s="14" t="str">
        <f>IF(A951="","",CHOOSE(WEEKDAY(A951),"日","月","火","水","木","金","土"))</f>
        <v/>
      </c>
      <c r="C951" s="27"/>
      <c r="D951" s="27"/>
      <c r="E951" s="14" t="str">
        <f>IF(F951="","",IFERROR(INDEX(マスター!$F$5:$F$200,MATCH(F951,マスター!$E$5:$E$200,0)),"※マスター未登録"))</f>
        <v/>
      </c>
      <c r="F951" s="27"/>
      <c r="G951" s="27"/>
      <c r="H951" s="27"/>
      <c r="I951" s="27"/>
      <c r="J951" s="27"/>
      <c r="K951" s="27"/>
    </row>
    <row r="952" spans="1:11" x14ac:dyDescent="0.2">
      <c r="A952" s="26"/>
      <c r="B952" s="14" t="str">
        <f>IF(A952="","",CHOOSE(WEEKDAY(A952),"日","月","火","水","木","金","土"))</f>
        <v/>
      </c>
      <c r="C952" s="27"/>
      <c r="D952" s="27"/>
      <c r="E952" s="14" t="str">
        <f>IF(F952="","",IFERROR(INDEX(マスター!$F$5:$F$200,MATCH(F952,マスター!$E$5:$E$200,0)),"※マスター未登録"))</f>
        <v/>
      </c>
      <c r="F952" s="27"/>
      <c r="G952" s="27"/>
      <c r="H952" s="27"/>
      <c r="I952" s="27"/>
      <c r="J952" s="27"/>
      <c r="K952" s="27"/>
    </row>
    <row r="953" spans="1:11" x14ac:dyDescent="0.2">
      <c r="A953" s="26"/>
      <c r="B953" s="14" t="str">
        <f>IF(A953="","",CHOOSE(WEEKDAY(A953),"日","月","火","水","木","金","土"))</f>
        <v/>
      </c>
      <c r="C953" s="27"/>
      <c r="D953" s="27"/>
      <c r="E953" s="14" t="str">
        <f>IF(F953="","",IFERROR(INDEX(マスター!$F$5:$F$200,MATCH(F953,マスター!$E$5:$E$200,0)),"※マスター未登録"))</f>
        <v/>
      </c>
      <c r="F953" s="27"/>
      <c r="G953" s="27"/>
      <c r="H953" s="27"/>
      <c r="I953" s="27"/>
      <c r="J953" s="27"/>
      <c r="K953" s="27"/>
    </row>
    <row r="954" spans="1:11" x14ac:dyDescent="0.2">
      <c r="A954" s="26"/>
      <c r="B954" s="14" t="str">
        <f>IF(A954="","",CHOOSE(WEEKDAY(A954),"日","月","火","水","木","金","土"))</f>
        <v/>
      </c>
      <c r="C954" s="27"/>
      <c r="D954" s="27"/>
      <c r="E954" s="14" t="str">
        <f>IF(F954="","",IFERROR(INDEX(マスター!$F$5:$F$200,MATCH(F954,マスター!$E$5:$E$200,0)),"※マスター未登録"))</f>
        <v/>
      </c>
      <c r="F954" s="27"/>
      <c r="G954" s="27"/>
      <c r="H954" s="27"/>
      <c r="I954" s="27"/>
      <c r="J954" s="27"/>
      <c r="K954" s="27"/>
    </row>
    <row r="955" spans="1:11" x14ac:dyDescent="0.2">
      <c r="A955" s="26"/>
      <c r="B955" s="14" t="str">
        <f>IF(A955="","",CHOOSE(WEEKDAY(A955),"日","月","火","水","木","金","土"))</f>
        <v/>
      </c>
      <c r="C955" s="27"/>
      <c r="D955" s="27"/>
      <c r="E955" s="14" t="str">
        <f>IF(F955="","",IFERROR(INDEX(マスター!$F$5:$F$200,MATCH(F955,マスター!$E$5:$E$200,0)),"※マスター未登録"))</f>
        <v/>
      </c>
      <c r="F955" s="27"/>
      <c r="G955" s="27"/>
      <c r="H955" s="27"/>
      <c r="I955" s="27"/>
      <c r="J955" s="27"/>
      <c r="K955" s="27"/>
    </row>
    <row r="956" spans="1:11" x14ac:dyDescent="0.2">
      <c r="A956" s="26"/>
      <c r="B956" s="14" t="str">
        <f>IF(A956="","",CHOOSE(WEEKDAY(A956),"日","月","火","水","木","金","土"))</f>
        <v/>
      </c>
      <c r="C956" s="27"/>
      <c r="D956" s="27"/>
      <c r="E956" s="14" t="str">
        <f>IF(F956="","",IFERROR(INDEX(マスター!$F$5:$F$200,MATCH(F956,マスター!$E$5:$E$200,0)),"※マスター未登録"))</f>
        <v/>
      </c>
      <c r="F956" s="27"/>
      <c r="G956" s="27"/>
      <c r="H956" s="27"/>
      <c r="I956" s="27"/>
      <c r="J956" s="27"/>
      <c r="K956" s="27"/>
    </row>
    <row r="957" spans="1:11" x14ac:dyDescent="0.2">
      <c r="A957" s="26"/>
      <c r="B957" s="14" t="str">
        <f>IF(A957="","",CHOOSE(WEEKDAY(A957),"日","月","火","水","木","金","土"))</f>
        <v/>
      </c>
      <c r="C957" s="27"/>
      <c r="D957" s="27"/>
      <c r="E957" s="14" t="str">
        <f>IF(F957="","",IFERROR(INDEX(マスター!$F$5:$F$200,MATCH(F957,マスター!$E$5:$E$200,0)),"※マスター未登録"))</f>
        <v/>
      </c>
      <c r="F957" s="27"/>
      <c r="G957" s="27"/>
      <c r="H957" s="27"/>
      <c r="I957" s="27"/>
      <c r="J957" s="27"/>
      <c r="K957" s="27"/>
    </row>
    <row r="958" spans="1:11" x14ac:dyDescent="0.2">
      <c r="A958" s="26"/>
      <c r="B958" s="14" t="str">
        <f>IF(A958="","",CHOOSE(WEEKDAY(A958),"日","月","火","水","木","金","土"))</f>
        <v/>
      </c>
      <c r="C958" s="27"/>
      <c r="D958" s="27"/>
      <c r="E958" s="14" t="str">
        <f>IF(F958="","",IFERROR(INDEX(マスター!$F$5:$F$200,MATCH(F958,マスター!$E$5:$E$200,0)),"※マスター未登録"))</f>
        <v/>
      </c>
      <c r="F958" s="27"/>
      <c r="G958" s="27"/>
      <c r="H958" s="27"/>
      <c r="I958" s="27"/>
      <c r="J958" s="27"/>
      <c r="K958" s="27"/>
    </row>
    <row r="959" spans="1:11" x14ac:dyDescent="0.2">
      <c r="A959" s="26"/>
      <c r="B959" s="14" t="str">
        <f>IF(A959="","",CHOOSE(WEEKDAY(A959),"日","月","火","水","木","金","土"))</f>
        <v/>
      </c>
      <c r="C959" s="27"/>
      <c r="D959" s="27"/>
      <c r="E959" s="14" t="str">
        <f>IF(F959="","",IFERROR(INDEX(マスター!$F$5:$F$200,MATCH(F959,マスター!$E$5:$E$200,0)),"※マスター未登録"))</f>
        <v/>
      </c>
      <c r="F959" s="27"/>
      <c r="G959" s="27"/>
      <c r="H959" s="27"/>
      <c r="I959" s="27"/>
      <c r="J959" s="27"/>
      <c r="K959" s="27"/>
    </row>
    <row r="960" spans="1:11" x14ac:dyDescent="0.2">
      <c r="A960" s="26"/>
      <c r="B960" s="14" t="str">
        <f>IF(A960="","",CHOOSE(WEEKDAY(A960),"日","月","火","水","木","金","土"))</f>
        <v/>
      </c>
      <c r="C960" s="27"/>
      <c r="D960" s="27"/>
      <c r="E960" s="14" t="str">
        <f>IF(F960="","",IFERROR(INDEX(マスター!$F$5:$F$200,MATCH(F960,マスター!$E$5:$E$200,0)),"※マスター未登録"))</f>
        <v/>
      </c>
      <c r="F960" s="27"/>
      <c r="G960" s="27"/>
      <c r="H960" s="27"/>
      <c r="I960" s="27"/>
      <c r="J960" s="27"/>
      <c r="K960" s="27"/>
    </row>
    <row r="961" spans="1:11" x14ac:dyDescent="0.2">
      <c r="A961" s="26"/>
      <c r="B961" s="14" t="str">
        <f>IF(A961="","",CHOOSE(WEEKDAY(A961),"日","月","火","水","木","金","土"))</f>
        <v/>
      </c>
      <c r="C961" s="27"/>
      <c r="D961" s="27"/>
      <c r="E961" s="14" t="str">
        <f>IF(F961="","",IFERROR(INDEX(マスター!$F$5:$F$200,MATCH(F961,マスター!$E$5:$E$200,0)),"※マスター未登録"))</f>
        <v/>
      </c>
      <c r="F961" s="27"/>
      <c r="G961" s="27"/>
      <c r="H961" s="27"/>
      <c r="I961" s="27"/>
      <c r="J961" s="27"/>
      <c r="K961" s="27"/>
    </row>
    <row r="962" spans="1:11" x14ac:dyDescent="0.2">
      <c r="A962" s="26"/>
      <c r="B962" s="14" t="str">
        <f>IF(A962="","",CHOOSE(WEEKDAY(A962),"日","月","火","水","木","金","土"))</f>
        <v/>
      </c>
      <c r="C962" s="27"/>
      <c r="D962" s="27"/>
      <c r="E962" s="14" t="str">
        <f>IF(F962="","",IFERROR(INDEX(マスター!$F$5:$F$200,MATCH(F962,マスター!$E$5:$E$200,0)),"※マスター未登録"))</f>
        <v/>
      </c>
      <c r="F962" s="27"/>
      <c r="G962" s="27"/>
      <c r="H962" s="27"/>
      <c r="I962" s="27"/>
      <c r="J962" s="27"/>
      <c r="K962" s="27"/>
    </row>
    <row r="963" spans="1:11" x14ac:dyDescent="0.2">
      <c r="A963" s="26"/>
      <c r="B963" s="14" t="str">
        <f>IF(A963="","",CHOOSE(WEEKDAY(A963),"日","月","火","水","木","金","土"))</f>
        <v/>
      </c>
      <c r="C963" s="27"/>
      <c r="D963" s="27"/>
      <c r="E963" s="14" t="str">
        <f>IF(F963="","",IFERROR(INDEX(マスター!$F$5:$F$200,MATCH(F963,マスター!$E$5:$E$200,0)),"※マスター未登録"))</f>
        <v/>
      </c>
      <c r="F963" s="27"/>
      <c r="G963" s="27"/>
      <c r="H963" s="27"/>
      <c r="I963" s="27"/>
      <c r="J963" s="27"/>
      <c r="K963" s="27"/>
    </row>
    <row r="964" spans="1:11" x14ac:dyDescent="0.2">
      <c r="A964" s="26"/>
      <c r="B964" s="14" t="str">
        <f>IF(A964="","",CHOOSE(WEEKDAY(A964),"日","月","火","水","木","金","土"))</f>
        <v/>
      </c>
      <c r="C964" s="27"/>
      <c r="D964" s="27"/>
      <c r="E964" s="14" t="str">
        <f>IF(F964="","",IFERROR(INDEX(マスター!$F$5:$F$200,MATCH(F964,マスター!$E$5:$E$200,0)),"※マスター未登録"))</f>
        <v/>
      </c>
      <c r="F964" s="27"/>
      <c r="G964" s="27"/>
      <c r="H964" s="27"/>
      <c r="I964" s="27"/>
      <c r="J964" s="27"/>
      <c r="K964" s="27"/>
    </row>
    <row r="965" spans="1:11" x14ac:dyDescent="0.2">
      <c r="A965" s="26"/>
      <c r="B965" s="14" t="str">
        <f>IF(A965="","",CHOOSE(WEEKDAY(A965),"日","月","火","水","木","金","土"))</f>
        <v/>
      </c>
      <c r="C965" s="27"/>
      <c r="D965" s="27"/>
      <c r="E965" s="14" t="str">
        <f>IF(F965="","",IFERROR(INDEX(マスター!$F$5:$F$200,MATCH(F965,マスター!$E$5:$E$200,0)),"※マスター未登録"))</f>
        <v/>
      </c>
      <c r="F965" s="27"/>
      <c r="G965" s="27"/>
      <c r="H965" s="27"/>
      <c r="I965" s="27"/>
      <c r="J965" s="27"/>
      <c r="K965" s="27"/>
    </row>
    <row r="966" spans="1:11" x14ac:dyDescent="0.2">
      <c r="A966" s="26"/>
      <c r="B966" s="14" t="str">
        <f>IF(A966="","",CHOOSE(WEEKDAY(A966),"日","月","火","水","木","金","土"))</f>
        <v/>
      </c>
      <c r="C966" s="27"/>
      <c r="D966" s="27"/>
      <c r="E966" s="14" t="str">
        <f>IF(F966="","",IFERROR(INDEX(マスター!$F$5:$F$200,MATCH(F966,マスター!$E$5:$E$200,0)),"※マスター未登録"))</f>
        <v/>
      </c>
      <c r="F966" s="27"/>
      <c r="G966" s="27"/>
      <c r="H966" s="27"/>
      <c r="I966" s="27"/>
      <c r="J966" s="27"/>
      <c r="K966" s="27"/>
    </row>
    <row r="967" spans="1:11" x14ac:dyDescent="0.2">
      <c r="A967" s="26"/>
      <c r="B967" s="14" t="str">
        <f>IF(A967="","",CHOOSE(WEEKDAY(A967),"日","月","火","水","木","金","土"))</f>
        <v/>
      </c>
      <c r="C967" s="27"/>
      <c r="D967" s="27"/>
      <c r="E967" s="14" t="str">
        <f>IF(F967="","",IFERROR(INDEX(マスター!$F$5:$F$200,MATCH(F967,マスター!$E$5:$E$200,0)),"※マスター未登録"))</f>
        <v/>
      </c>
      <c r="F967" s="27"/>
      <c r="G967" s="27"/>
      <c r="H967" s="27"/>
      <c r="I967" s="27"/>
      <c r="J967" s="27"/>
      <c r="K967" s="27"/>
    </row>
    <row r="968" spans="1:11" x14ac:dyDescent="0.2">
      <c r="A968" s="26"/>
      <c r="B968" s="14" t="str">
        <f>IF(A968="","",CHOOSE(WEEKDAY(A968),"日","月","火","水","木","金","土"))</f>
        <v/>
      </c>
      <c r="C968" s="27"/>
      <c r="D968" s="27"/>
      <c r="E968" s="14" t="str">
        <f>IF(F968="","",IFERROR(INDEX(マスター!$F$5:$F$200,MATCH(F968,マスター!$E$5:$E$200,0)),"※マスター未登録"))</f>
        <v/>
      </c>
      <c r="F968" s="27"/>
      <c r="G968" s="27"/>
      <c r="H968" s="27"/>
      <c r="I968" s="27"/>
      <c r="J968" s="27"/>
      <c r="K968" s="27"/>
    </row>
    <row r="969" spans="1:11" x14ac:dyDescent="0.2">
      <c r="A969" s="26"/>
      <c r="B969" s="14" t="str">
        <f>IF(A969="","",CHOOSE(WEEKDAY(A969),"日","月","火","水","木","金","土"))</f>
        <v/>
      </c>
      <c r="C969" s="27"/>
      <c r="D969" s="27"/>
      <c r="E969" s="14" t="str">
        <f>IF(F969="","",IFERROR(INDEX(マスター!$F$5:$F$200,MATCH(F969,マスター!$E$5:$E$200,0)),"※マスター未登録"))</f>
        <v/>
      </c>
      <c r="F969" s="27"/>
      <c r="G969" s="27"/>
      <c r="H969" s="27"/>
      <c r="I969" s="27"/>
      <c r="J969" s="27"/>
      <c r="K969" s="27"/>
    </row>
    <row r="970" spans="1:11" x14ac:dyDescent="0.2">
      <c r="A970" s="26"/>
      <c r="B970" s="14" t="str">
        <f>IF(A970="","",CHOOSE(WEEKDAY(A970),"日","月","火","水","木","金","土"))</f>
        <v/>
      </c>
      <c r="C970" s="27"/>
      <c r="D970" s="27"/>
      <c r="E970" s="14" t="str">
        <f>IF(F970="","",IFERROR(INDEX(マスター!$F$5:$F$200,MATCH(F970,マスター!$E$5:$E$200,0)),"※マスター未登録"))</f>
        <v/>
      </c>
      <c r="F970" s="27"/>
      <c r="G970" s="27"/>
      <c r="H970" s="27"/>
      <c r="I970" s="27"/>
      <c r="J970" s="27"/>
      <c r="K970" s="27"/>
    </row>
    <row r="971" spans="1:11" x14ac:dyDescent="0.2">
      <c r="A971" s="26"/>
      <c r="B971" s="14" t="str">
        <f>IF(A971="","",CHOOSE(WEEKDAY(A971),"日","月","火","水","木","金","土"))</f>
        <v/>
      </c>
      <c r="C971" s="27"/>
      <c r="D971" s="27"/>
      <c r="E971" s="14" t="str">
        <f>IF(F971="","",IFERROR(INDEX(マスター!$F$5:$F$200,MATCH(F971,マスター!$E$5:$E$200,0)),"※マスター未登録"))</f>
        <v/>
      </c>
      <c r="F971" s="27"/>
      <c r="G971" s="27"/>
      <c r="H971" s="27"/>
      <c r="I971" s="27"/>
      <c r="J971" s="27"/>
      <c r="K971" s="27"/>
    </row>
    <row r="972" spans="1:11" x14ac:dyDescent="0.2">
      <c r="A972" s="26"/>
      <c r="B972" s="14" t="str">
        <f>IF(A972="","",CHOOSE(WEEKDAY(A972),"日","月","火","水","木","金","土"))</f>
        <v/>
      </c>
      <c r="C972" s="27"/>
      <c r="D972" s="27"/>
      <c r="E972" s="14" t="str">
        <f>IF(F972="","",IFERROR(INDEX(マスター!$F$5:$F$200,MATCH(F972,マスター!$E$5:$E$200,0)),"※マスター未登録"))</f>
        <v/>
      </c>
      <c r="F972" s="27"/>
      <c r="G972" s="27"/>
      <c r="H972" s="27"/>
      <c r="I972" s="27"/>
      <c r="J972" s="27"/>
      <c r="K972" s="27"/>
    </row>
    <row r="973" spans="1:11" x14ac:dyDescent="0.2">
      <c r="A973" s="26"/>
      <c r="B973" s="14" t="str">
        <f>IF(A973="","",CHOOSE(WEEKDAY(A973),"日","月","火","水","木","金","土"))</f>
        <v/>
      </c>
      <c r="C973" s="27"/>
      <c r="D973" s="27"/>
      <c r="E973" s="14" t="str">
        <f>IF(F973="","",IFERROR(INDEX(マスター!$F$5:$F$200,MATCH(F973,マスター!$E$5:$E$200,0)),"※マスター未登録"))</f>
        <v/>
      </c>
      <c r="F973" s="27"/>
      <c r="G973" s="27"/>
      <c r="H973" s="27"/>
      <c r="I973" s="27"/>
      <c r="J973" s="27"/>
      <c r="K973" s="27"/>
    </row>
    <row r="974" spans="1:11" x14ac:dyDescent="0.2">
      <c r="A974" s="26"/>
      <c r="B974" s="14" t="str">
        <f>IF(A974="","",CHOOSE(WEEKDAY(A974),"日","月","火","水","木","金","土"))</f>
        <v/>
      </c>
      <c r="C974" s="27"/>
      <c r="D974" s="27"/>
      <c r="E974" s="14" t="str">
        <f>IF(F974="","",IFERROR(INDEX(マスター!$F$5:$F$200,MATCH(F974,マスター!$E$5:$E$200,0)),"※マスター未登録"))</f>
        <v/>
      </c>
      <c r="F974" s="27"/>
      <c r="G974" s="27"/>
      <c r="H974" s="27"/>
      <c r="I974" s="27"/>
      <c r="J974" s="27"/>
      <c r="K974" s="27"/>
    </row>
    <row r="975" spans="1:11" x14ac:dyDescent="0.2">
      <c r="A975" s="26"/>
      <c r="B975" s="14" t="str">
        <f>IF(A975="","",CHOOSE(WEEKDAY(A975),"日","月","火","水","木","金","土"))</f>
        <v/>
      </c>
      <c r="C975" s="27"/>
      <c r="D975" s="27"/>
      <c r="E975" s="14" t="str">
        <f>IF(F975="","",IFERROR(INDEX(マスター!$F$5:$F$200,MATCH(F975,マスター!$E$5:$E$200,0)),"※マスター未登録"))</f>
        <v/>
      </c>
      <c r="F975" s="27"/>
      <c r="G975" s="27"/>
      <c r="H975" s="27"/>
      <c r="I975" s="27"/>
      <c r="J975" s="27"/>
      <c r="K975" s="27"/>
    </row>
    <row r="976" spans="1:11" x14ac:dyDescent="0.2">
      <c r="A976" s="26"/>
      <c r="B976" s="14" t="str">
        <f>IF(A976="","",CHOOSE(WEEKDAY(A976),"日","月","火","水","木","金","土"))</f>
        <v/>
      </c>
      <c r="C976" s="27"/>
      <c r="D976" s="27"/>
      <c r="E976" s="14" t="str">
        <f>IF(F976="","",IFERROR(INDEX(マスター!$F$5:$F$200,MATCH(F976,マスター!$E$5:$E$200,0)),"※マスター未登録"))</f>
        <v/>
      </c>
      <c r="F976" s="27"/>
      <c r="G976" s="27"/>
      <c r="H976" s="27"/>
      <c r="I976" s="27"/>
      <c r="J976" s="27"/>
      <c r="K976" s="27"/>
    </row>
    <row r="977" spans="1:11" x14ac:dyDescent="0.2">
      <c r="A977" s="26"/>
      <c r="B977" s="14" t="str">
        <f>IF(A977="","",CHOOSE(WEEKDAY(A977),"日","月","火","水","木","金","土"))</f>
        <v/>
      </c>
      <c r="C977" s="27"/>
      <c r="D977" s="27"/>
      <c r="E977" s="14" t="str">
        <f>IF(F977="","",IFERROR(INDEX(マスター!$F$5:$F$200,MATCH(F977,マスター!$E$5:$E$200,0)),"※マスター未登録"))</f>
        <v/>
      </c>
      <c r="F977" s="27"/>
      <c r="G977" s="27"/>
      <c r="H977" s="27"/>
      <c r="I977" s="27"/>
      <c r="J977" s="27"/>
      <c r="K977" s="27"/>
    </row>
    <row r="978" spans="1:11" x14ac:dyDescent="0.2">
      <c r="A978" s="26"/>
      <c r="B978" s="14" t="str">
        <f>IF(A978="","",CHOOSE(WEEKDAY(A978),"日","月","火","水","木","金","土"))</f>
        <v/>
      </c>
      <c r="C978" s="27"/>
      <c r="D978" s="27"/>
      <c r="E978" s="14" t="str">
        <f>IF(F978="","",IFERROR(INDEX(マスター!$F$5:$F$200,MATCH(F978,マスター!$E$5:$E$200,0)),"※マスター未登録"))</f>
        <v/>
      </c>
      <c r="F978" s="27"/>
      <c r="G978" s="27"/>
      <c r="H978" s="27"/>
      <c r="I978" s="27"/>
      <c r="J978" s="27"/>
      <c r="K978" s="27"/>
    </row>
    <row r="979" spans="1:11" x14ac:dyDescent="0.2">
      <c r="A979" s="26"/>
      <c r="B979" s="14" t="str">
        <f>IF(A979="","",CHOOSE(WEEKDAY(A979),"日","月","火","水","木","金","土"))</f>
        <v/>
      </c>
      <c r="C979" s="27"/>
      <c r="D979" s="27"/>
      <c r="E979" s="14" t="str">
        <f>IF(F979="","",IFERROR(INDEX(マスター!$F$5:$F$200,MATCH(F979,マスター!$E$5:$E$200,0)),"※マスター未登録"))</f>
        <v/>
      </c>
      <c r="F979" s="27"/>
      <c r="G979" s="27"/>
      <c r="H979" s="27"/>
      <c r="I979" s="27"/>
      <c r="J979" s="27"/>
      <c r="K979" s="27"/>
    </row>
    <row r="980" spans="1:11" x14ac:dyDescent="0.2">
      <c r="A980" s="26"/>
      <c r="B980" s="14" t="str">
        <f>IF(A980="","",CHOOSE(WEEKDAY(A980),"日","月","火","水","木","金","土"))</f>
        <v/>
      </c>
      <c r="C980" s="27"/>
      <c r="D980" s="27"/>
      <c r="E980" s="14" t="str">
        <f>IF(F980="","",IFERROR(INDEX(マスター!$F$5:$F$200,MATCH(F980,マスター!$E$5:$E$200,0)),"※マスター未登録"))</f>
        <v/>
      </c>
      <c r="F980" s="27"/>
      <c r="G980" s="27"/>
      <c r="H980" s="27"/>
      <c r="I980" s="27"/>
      <c r="J980" s="27"/>
      <c r="K980" s="27"/>
    </row>
    <row r="981" spans="1:11" x14ac:dyDescent="0.2">
      <c r="A981" s="26"/>
      <c r="B981" s="14" t="str">
        <f>IF(A981="","",CHOOSE(WEEKDAY(A981),"日","月","火","水","木","金","土"))</f>
        <v/>
      </c>
      <c r="C981" s="27"/>
      <c r="D981" s="27"/>
      <c r="E981" s="14" t="str">
        <f>IF(F981="","",IFERROR(INDEX(マスター!$F$5:$F$200,MATCH(F981,マスター!$E$5:$E$200,0)),"※マスター未登録"))</f>
        <v/>
      </c>
      <c r="F981" s="27"/>
      <c r="G981" s="27"/>
      <c r="H981" s="27"/>
      <c r="I981" s="27"/>
      <c r="J981" s="27"/>
      <c r="K981" s="27"/>
    </row>
    <row r="982" spans="1:11" x14ac:dyDescent="0.2">
      <c r="A982" s="26"/>
      <c r="B982" s="14" t="str">
        <f>IF(A982="","",CHOOSE(WEEKDAY(A982),"日","月","火","水","木","金","土"))</f>
        <v/>
      </c>
      <c r="C982" s="27"/>
      <c r="D982" s="27"/>
      <c r="E982" s="14" t="str">
        <f>IF(F982="","",IFERROR(INDEX(マスター!$F$5:$F$200,MATCH(F982,マスター!$E$5:$E$200,0)),"※マスター未登録"))</f>
        <v/>
      </c>
      <c r="F982" s="27"/>
      <c r="G982" s="27"/>
      <c r="H982" s="27"/>
      <c r="I982" s="27"/>
      <c r="J982" s="27"/>
      <c r="K982" s="27"/>
    </row>
    <row r="983" spans="1:11" x14ac:dyDescent="0.2">
      <c r="A983" s="26"/>
      <c r="B983" s="14" t="str">
        <f>IF(A983="","",CHOOSE(WEEKDAY(A983),"日","月","火","水","木","金","土"))</f>
        <v/>
      </c>
      <c r="C983" s="27"/>
      <c r="D983" s="27"/>
      <c r="E983" s="14" t="str">
        <f>IF(F983="","",IFERROR(INDEX(マスター!$F$5:$F$200,MATCH(F983,マスター!$E$5:$E$200,0)),"※マスター未登録"))</f>
        <v/>
      </c>
      <c r="F983" s="27"/>
      <c r="G983" s="27"/>
      <c r="H983" s="27"/>
      <c r="I983" s="27"/>
      <c r="J983" s="27"/>
      <c r="K983" s="27"/>
    </row>
    <row r="984" spans="1:11" x14ac:dyDescent="0.2">
      <c r="A984" s="26"/>
      <c r="B984" s="14" t="str">
        <f>IF(A984="","",CHOOSE(WEEKDAY(A984),"日","月","火","水","木","金","土"))</f>
        <v/>
      </c>
      <c r="C984" s="27"/>
      <c r="D984" s="27"/>
      <c r="E984" s="14" t="str">
        <f>IF(F984="","",IFERROR(INDEX(マスター!$F$5:$F$200,MATCH(F984,マスター!$E$5:$E$200,0)),"※マスター未登録"))</f>
        <v/>
      </c>
      <c r="F984" s="27"/>
      <c r="G984" s="27"/>
      <c r="H984" s="27"/>
      <c r="I984" s="27"/>
      <c r="J984" s="27"/>
      <c r="K984" s="27"/>
    </row>
    <row r="985" spans="1:11" x14ac:dyDescent="0.2">
      <c r="A985" s="26"/>
      <c r="B985" s="14" t="str">
        <f>IF(A985="","",CHOOSE(WEEKDAY(A985),"日","月","火","水","木","金","土"))</f>
        <v/>
      </c>
      <c r="C985" s="27"/>
      <c r="D985" s="27"/>
      <c r="E985" s="14" t="str">
        <f>IF(F985="","",IFERROR(INDEX(マスター!$F$5:$F$200,MATCH(F985,マスター!$E$5:$E$200,0)),"※マスター未登録"))</f>
        <v/>
      </c>
      <c r="F985" s="27"/>
      <c r="G985" s="27"/>
      <c r="H985" s="27"/>
      <c r="I985" s="27"/>
      <c r="J985" s="27"/>
      <c r="K985" s="27"/>
    </row>
    <row r="986" spans="1:11" x14ac:dyDescent="0.2">
      <c r="A986" s="26"/>
      <c r="B986" s="14" t="str">
        <f>IF(A986="","",CHOOSE(WEEKDAY(A986),"日","月","火","水","木","金","土"))</f>
        <v/>
      </c>
      <c r="C986" s="27"/>
      <c r="D986" s="27"/>
      <c r="E986" s="14" t="str">
        <f>IF(F986="","",IFERROR(INDEX(マスター!$F$5:$F$200,MATCH(F986,マスター!$E$5:$E$200,0)),"※マスター未登録"))</f>
        <v/>
      </c>
      <c r="F986" s="27"/>
      <c r="G986" s="27"/>
      <c r="H986" s="27"/>
      <c r="I986" s="27"/>
      <c r="J986" s="27"/>
      <c r="K986" s="27"/>
    </row>
    <row r="987" spans="1:11" x14ac:dyDescent="0.2">
      <c r="A987" s="26"/>
      <c r="B987" s="14" t="str">
        <f>IF(A987="","",CHOOSE(WEEKDAY(A987),"日","月","火","水","木","金","土"))</f>
        <v/>
      </c>
      <c r="C987" s="27"/>
      <c r="D987" s="27"/>
      <c r="E987" s="14" t="str">
        <f>IF(F987="","",IFERROR(INDEX(マスター!$F$5:$F$200,MATCH(F987,マスター!$E$5:$E$200,0)),"※マスター未登録"))</f>
        <v/>
      </c>
      <c r="F987" s="27"/>
      <c r="G987" s="27"/>
      <c r="H987" s="27"/>
      <c r="I987" s="27"/>
      <c r="J987" s="27"/>
      <c r="K987" s="27"/>
    </row>
    <row r="988" spans="1:11" x14ac:dyDescent="0.2">
      <c r="A988" s="26"/>
      <c r="B988" s="14" t="str">
        <f>IF(A988="","",CHOOSE(WEEKDAY(A988),"日","月","火","水","木","金","土"))</f>
        <v/>
      </c>
      <c r="C988" s="27"/>
      <c r="D988" s="27"/>
      <c r="E988" s="14" t="str">
        <f>IF(F988="","",IFERROR(INDEX(マスター!$F$5:$F$200,MATCH(F988,マスター!$E$5:$E$200,0)),"※マスター未登録"))</f>
        <v/>
      </c>
      <c r="F988" s="27"/>
      <c r="G988" s="27"/>
      <c r="H988" s="27"/>
      <c r="I988" s="27"/>
      <c r="J988" s="27"/>
      <c r="K988" s="27"/>
    </row>
    <row r="989" spans="1:11" x14ac:dyDescent="0.2">
      <c r="A989" s="26"/>
      <c r="B989" s="14" t="str">
        <f>IF(A989="","",CHOOSE(WEEKDAY(A989),"日","月","火","水","木","金","土"))</f>
        <v/>
      </c>
      <c r="C989" s="27"/>
      <c r="D989" s="27"/>
      <c r="E989" s="14" t="str">
        <f>IF(F989="","",IFERROR(INDEX(マスター!$F$5:$F$200,MATCH(F989,マスター!$E$5:$E$200,0)),"※マスター未登録"))</f>
        <v/>
      </c>
      <c r="F989" s="27"/>
      <c r="G989" s="27"/>
      <c r="H989" s="27"/>
      <c r="I989" s="27"/>
      <c r="J989" s="27"/>
      <c r="K989" s="27"/>
    </row>
    <row r="990" spans="1:11" x14ac:dyDescent="0.2">
      <c r="A990" s="26"/>
      <c r="B990" s="14" t="str">
        <f>IF(A990="","",CHOOSE(WEEKDAY(A990),"日","月","火","水","木","金","土"))</f>
        <v/>
      </c>
      <c r="C990" s="27"/>
      <c r="D990" s="27"/>
      <c r="E990" s="14" t="str">
        <f>IF(F990="","",IFERROR(INDEX(マスター!$F$5:$F$200,MATCH(F990,マスター!$E$5:$E$200,0)),"※マスター未登録"))</f>
        <v/>
      </c>
      <c r="F990" s="27"/>
      <c r="G990" s="27"/>
      <c r="H990" s="27"/>
      <c r="I990" s="27"/>
      <c r="J990" s="27"/>
      <c r="K990" s="27"/>
    </row>
    <row r="991" spans="1:11" x14ac:dyDescent="0.2">
      <c r="A991" s="26"/>
      <c r="B991" s="14" t="str">
        <f>IF(A991="","",CHOOSE(WEEKDAY(A991),"日","月","火","水","木","金","土"))</f>
        <v/>
      </c>
      <c r="C991" s="27"/>
      <c r="D991" s="27"/>
      <c r="E991" s="14" t="str">
        <f>IF(F991="","",IFERROR(INDEX(マスター!$F$5:$F$200,MATCH(F991,マスター!$E$5:$E$200,0)),"※マスター未登録"))</f>
        <v/>
      </c>
      <c r="F991" s="27"/>
      <c r="G991" s="27"/>
      <c r="H991" s="27"/>
      <c r="I991" s="27"/>
      <c r="J991" s="27"/>
      <c r="K991" s="27"/>
    </row>
    <row r="992" spans="1:11" x14ac:dyDescent="0.2">
      <c r="A992" s="26"/>
      <c r="B992" s="14" t="str">
        <f>IF(A992="","",CHOOSE(WEEKDAY(A992),"日","月","火","水","木","金","土"))</f>
        <v/>
      </c>
      <c r="C992" s="27"/>
      <c r="D992" s="27"/>
      <c r="E992" s="14" t="str">
        <f>IF(F992="","",IFERROR(INDEX(マスター!$F$5:$F$200,MATCH(F992,マスター!$E$5:$E$200,0)),"※マスター未登録"))</f>
        <v/>
      </c>
      <c r="F992" s="27"/>
      <c r="G992" s="27"/>
      <c r="H992" s="27"/>
      <c r="I992" s="27"/>
      <c r="J992" s="27"/>
      <c r="K992" s="27"/>
    </row>
    <row r="993" spans="1:11" x14ac:dyDescent="0.2">
      <c r="A993" s="26"/>
      <c r="B993" s="14" t="str">
        <f>IF(A993="","",CHOOSE(WEEKDAY(A993),"日","月","火","水","木","金","土"))</f>
        <v/>
      </c>
      <c r="C993" s="27"/>
      <c r="D993" s="27"/>
      <c r="E993" s="14" t="str">
        <f>IF(F993="","",IFERROR(INDEX(マスター!$F$5:$F$200,MATCH(F993,マスター!$E$5:$E$200,0)),"※マスター未登録"))</f>
        <v/>
      </c>
      <c r="F993" s="27"/>
      <c r="G993" s="27"/>
      <c r="H993" s="27"/>
      <c r="I993" s="27"/>
      <c r="J993" s="27"/>
      <c r="K993" s="27"/>
    </row>
    <row r="994" spans="1:11" x14ac:dyDescent="0.2">
      <c r="A994" s="26"/>
      <c r="B994" s="14" t="str">
        <f>IF(A994="","",CHOOSE(WEEKDAY(A994),"日","月","火","水","木","金","土"))</f>
        <v/>
      </c>
      <c r="C994" s="27"/>
      <c r="D994" s="27"/>
      <c r="E994" s="14" t="str">
        <f>IF(F994="","",IFERROR(INDEX(マスター!$F$5:$F$200,MATCH(F994,マスター!$E$5:$E$200,0)),"※マスター未登録"))</f>
        <v/>
      </c>
      <c r="F994" s="27"/>
      <c r="G994" s="27"/>
      <c r="H994" s="27"/>
      <c r="I994" s="27"/>
      <c r="J994" s="27"/>
      <c r="K994" s="27"/>
    </row>
    <row r="995" spans="1:11" x14ac:dyDescent="0.2">
      <c r="A995" s="26"/>
      <c r="B995" s="14" t="str">
        <f>IF(A995="","",CHOOSE(WEEKDAY(A995),"日","月","火","水","木","金","土"))</f>
        <v/>
      </c>
      <c r="C995" s="27"/>
      <c r="D995" s="27"/>
      <c r="E995" s="14" t="str">
        <f>IF(F995="","",IFERROR(INDEX(マスター!$F$5:$F$200,MATCH(F995,マスター!$E$5:$E$200,0)),"※マスター未登録"))</f>
        <v/>
      </c>
      <c r="F995" s="27"/>
      <c r="G995" s="27"/>
      <c r="H995" s="27"/>
      <c r="I995" s="27"/>
      <c r="J995" s="27"/>
      <c r="K995" s="27"/>
    </row>
    <row r="996" spans="1:11" x14ac:dyDescent="0.2">
      <c r="A996" s="26"/>
      <c r="B996" s="14" t="str">
        <f>IF(A996="","",CHOOSE(WEEKDAY(A996),"日","月","火","水","木","金","土"))</f>
        <v/>
      </c>
      <c r="C996" s="27"/>
      <c r="D996" s="27"/>
      <c r="E996" s="14" t="str">
        <f>IF(F996="","",IFERROR(INDEX(マスター!$F$5:$F$200,MATCH(F996,マスター!$E$5:$E$200,0)),"※マスター未登録"))</f>
        <v/>
      </c>
      <c r="F996" s="27"/>
      <c r="G996" s="27"/>
      <c r="H996" s="27"/>
      <c r="I996" s="27"/>
      <c r="J996" s="27"/>
      <c r="K996" s="27"/>
    </row>
    <row r="997" spans="1:11" x14ac:dyDescent="0.2">
      <c r="A997" s="26"/>
      <c r="B997" s="14" t="str">
        <f>IF(A997="","",CHOOSE(WEEKDAY(A997),"日","月","火","水","木","金","土"))</f>
        <v/>
      </c>
      <c r="C997" s="27"/>
      <c r="D997" s="27"/>
      <c r="E997" s="14" t="str">
        <f>IF(F997="","",IFERROR(INDEX(マスター!$F$5:$F$200,MATCH(F997,マスター!$E$5:$E$200,0)),"※マスター未登録"))</f>
        <v/>
      </c>
      <c r="F997" s="27"/>
      <c r="G997" s="27"/>
      <c r="H997" s="27"/>
      <c r="I997" s="27"/>
      <c r="J997" s="27"/>
      <c r="K997" s="27"/>
    </row>
    <row r="998" spans="1:11" x14ac:dyDescent="0.2">
      <c r="A998" s="26"/>
      <c r="B998" s="14" t="str">
        <f>IF(A998="","",CHOOSE(WEEKDAY(A998),"日","月","火","水","木","金","土"))</f>
        <v/>
      </c>
      <c r="C998" s="27"/>
      <c r="D998" s="27"/>
      <c r="E998" s="14" t="str">
        <f>IF(F998="","",IFERROR(INDEX(マスター!$F$5:$F$200,MATCH(F998,マスター!$E$5:$E$200,0)),"※マスター未登録"))</f>
        <v/>
      </c>
      <c r="F998" s="27"/>
      <c r="G998" s="27"/>
      <c r="H998" s="27"/>
      <c r="I998" s="27"/>
      <c r="J998" s="27"/>
      <c r="K998" s="27"/>
    </row>
    <row r="999" spans="1:11" x14ac:dyDescent="0.2">
      <c r="A999" s="26"/>
      <c r="B999" s="14" t="str">
        <f>IF(A999="","",CHOOSE(WEEKDAY(A999),"日","月","火","水","木","金","土"))</f>
        <v/>
      </c>
      <c r="C999" s="27"/>
      <c r="D999" s="27"/>
      <c r="E999" s="14" t="str">
        <f>IF(F999="","",IFERROR(INDEX(マスター!$F$5:$F$200,MATCH(F999,マスター!$E$5:$E$200,0)),"※マスター未登録"))</f>
        <v/>
      </c>
      <c r="F999" s="27"/>
      <c r="G999" s="27"/>
      <c r="H999" s="27"/>
      <c r="I999" s="27"/>
      <c r="J999" s="27"/>
      <c r="K999" s="27"/>
    </row>
    <row r="1000" spans="1:11" x14ac:dyDescent="0.2">
      <c r="A1000" s="26"/>
      <c r="B1000" s="14" t="str">
        <f>IF(A1000="","",CHOOSE(WEEKDAY(A1000),"日","月","火","水","木","金","土"))</f>
        <v/>
      </c>
      <c r="C1000" s="27"/>
      <c r="D1000" s="27"/>
      <c r="E1000" s="14" t="str">
        <f>IF(F1000="","",IFERROR(INDEX(マスター!$F$5:$F$200,MATCH(F1000,マスター!$E$5:$E$200,0)),"※マスター未登録"))</f>
        <v/>
      </c>
      <c r="F1000" s="27"/>
      <c r="G1000" s="27"/>
      <c r="H1000" s="27"/>
      <c r="I1000" s="27"/>
      <c r="J1000" s="27"/>
      <c r="K1000" s="27"/>
    </row>
    <row r="1001" spans="1:11" x14ac:dyDescent="0.2">
      <c r="A1001" s="26"/>
      <c r="B1001" s="14" t="str">
        <f>IF(A1001="","",CHOOSE(WEEKDAY(A1001),"日","月","火","水","木","金","土"))</f>
        <v/>
      </c>
      <c r="C1001" s="27"/>
      <c r="D1001" s="27"/>
      <c r="E1001" s="14" t="str">
        <f>IF(F1001="","",IFERROR(INDEX(マスター!$F$5:$F$200,MATCH(F1001,マスター!$E$5:$E$200,0)),"※マスター未登録"))</f>
        <v/>
      </c>
      <c r="F1001" s="27"/>
      <c r="G1001" s="27"/>
      <c r="H1001" s="27"/>
      <c r="I1001" s="27"/>
      <c r="J1001" s="27"/>
      <c r="K1001" s="27"/>
    </row>
    <row r="1002" spans="1:11" x14ac:dyDescent="0.2">
      <c r="A1002" s="26"/>
      <c r="B1002" s="14" t="str">
        <f>IF(A1002="","",CHOOSE(WEEKDAY(A1002),"日","月","火","水","木","金","土"))</f>
        <v/>
      </c>
      <c r="C1002" s="27"/>
      <c r="D1002" s="27"/>
      <c r="E1002" s="14" t="str">
        <f>IF(F1002="","",IFERROR(INDEX(マスター!$F$5:$F$200,MATCH(F1002,マスター!$E$5:$E$200,0)),"※マスター未登録"))</f>
        <v/>
      </c>
      <c r="F1002" s="27"/>
      <c r="G1002" s="27"/>
      <c r="H1002" s="27"/>
      <c r="I1002" s="27"/>
      <c r="J1002" s="27"/>
      <c r="K1002" s="27"/>
    </row>
    <row r="1003" spans="1:11" x14ac:dyDescent="0.2">
      <c r="A1003" s="26"/>
      <c r="B1003" s="14" t="str">
        <f>IF(A1003="","",CHOOSE(WEEKDAY(A1003),"日","月","火","水","木","金","土"))</f>
        <v/>
      </c>
      <c r="C1003" s="27"/>
      <c r="D1003" s="27"/>
      <c r="E1003" s="14" t="str">
        <f>IF(F1003="","",IFERROR(INDEX(マスター!$F$5:$F$200,MATCH(F1003,マスター!$E$5:$E$200,0)),"※マスター未登録"))</f>
        <v/>
      </c>
      <c r="F1003" s="27"/>
      <c r="G1003" s="27"/>
      <c r="H1003" s="27"/>
      <c r="I1003" s="27"/>
      <c r="J1003" s="27"/>
      <c r="K1003" s="27"/>
    </row>
    <row r="1004" spans="1:11" x14ac:dyDescent="0.2">
      <c r="A1004" s="26"/>
      <c r="B1004" s="14" t="str">
        <f>IF(A1004="","",CHOOSE(WEEKDAY(A1004),"日","月","火","水","木","金","土"))</f>
        <v/>
      </c>
      <c r="C1004" s="27"/>
      <c r="D1004" s="27"/>
      <c r="E1004" s="14" t="str">
        <f>IF(F1004="","",IFERROR(INDEX(マスター!$F$5:$F$200,MATCH(F1004,マスター!$E$5:$E$200,0)),"※マスター未登録"))</f>
        <v/>
      </c>
      <c r="F1004" s="27"/>
      <c r="G1004" s="27"/>
      <c r="H1004" s="27"/>
      <c r="I1004" s="27"/>
      <c r="J1004" s="27"/>
      <c r="K1004" s="27"/>
    </row>
    <row r="1005" spans="1:11" x14ac:dyDescent="0.2">
      <c r="A1005" s="26"/>
      <c r="B1005" s="14" t="str">
        <f>IF(A1005="","",CHOOSE(WEEKDAY(A1005),"日","月","火","水","木","金","土"))</f>
        <v/>
      </c>
      <c r="C1005" s="27"/>
      <c r="D1005" s="27"/>
      <c r="E1005" s="14" t="str">
        <f>IF(F1005="","",IFERROR(INDEX(マスター!$F$5:$F$200,MATCH(F1005,マスター!$E$5:$E$200,0)),"※マスター未登録"))</f>
        <v/>
      </c>
      <c r="F1005" s="27"/>
      <c r="G1005" s="27"/>
      <c r="H1005" s="27"/>
      <c r="I1005" s="27"/>
      <c r="J1005" s="27"/>
      <c r="K1005" s="27"/>
    </row>
    <row r="1006" spans="1:11" x14ac:dyDescent="0.2">
      <c r="A1006" s="26"/>
      <c r="B1006" s="14" t="str">
        <f>IF(A1006="","",CHOOSE(WEEKDAY(A1006),"日","月","火","水","木","金","土"))</f>
        <v/>
      </c>
      <c r="C1006" s="27"/>
      <c r="D1006" s="27"/>
      <c r="E1006" s="14" t="str">
        <f>IF(F1006="","",IFERROR(INDEX(マスター!$F$5:$F$200,MATCH(F1006,マスター!$E$5:$E$200,0)),"※マスター未登録"))</f>
        <v/>
      </c>
      <c r="F1006" s="27"/>
      <c r="G1006" s="27"/>
      <c r="H1006" s="27"/>
      <c r="I1006" s="27"/>
      <c r="J1006" s="27"/>
      <c r="K1006" s="27"/>
    </row>
    <row r="1007" spans="1:11" x14ac:dyDescent="0.2">
      <c r="A1007" s="26"/>
      <c r="B1007" s="14" t="str">
        <f>IF(A1007="","",CHOOSE(WEEKDAY(A1007),"日","月","火","水","木","金","土"))</f>
        <v/>
      </c>
      <c r="C1007" s="27"/>
      <c r="D1007" s="27"/>
      <c r="E1007" s="14" t="str">
        <f>IF(F1007="","",IFERROR(INDEX(マスター!$F$5:$F$200,MATCH(F1007,マスター!$E$5:$E$200,0)),"※マスター未登録"))</f>
        <v/>
      </c>
      <c r="F1007" s="27"/>
      <c r="G1007" s="27"/>
      <c r="H1007" s="27"/>
      <c r="I1007" s="27"/>
      <c r="J1007" s="27"/>
      <c r="K1007" s="27"/>
    </row>
    <row r="1008" spans="1:11" x14ac:dyDescent="0.2">
      <c r="A1008" s="26"/>
      <c r="B1008" s="14" t="str">
        <f>IF(A1008="","",CHOOSE(WEEKDAY(A1008),"日","月","火","水","木","金","土"))</f>
        <v/>
      </c>
      <c r="C1008" s="27"/>
      <c r="D1008" s="27"/>
      <c r="E1008" s="14" t="str">
        <f>IF(F1008="","",IFERROR(INDEX(マスター!$F$5:$F$200,MATCH(F1008,マスター!$E$5:$E$200,0)),"※マスター未登録"))</f>
        <v/>
      </c>
      <c r="F1008" s="27"/>
      <c r="G1008" s="27"/>
      <c r="H1008" s="27"/>
      <c r="I1008" s="27"/>
      <c r="J1008" s="27"/>
      <c r="K1008" s="27"/>
    </row>
    <row r="1009" spans="1:11" x14ac:dyDescent="0.2">
      <c r="A1009" s="26"/>
      <c r="B1009" s="14" t="str">
        <f>IF(A1009="","",CHOOSE(WEEKDAY(A1009),"日","月","火","水","木","金","土"))</f>
        <v/>
      </c>
      <c r="C1009" s="27"/>
      <c r="D1009" s="27"/>
      <c r="E1009" s="14" t="str">
        <f>IF(F1009="","",IFERROR(INDEX(マスター!$F$5:$F$200,MATCH(F1009,マスター!$E$5:$E$200,0)),"※マスター未登録"))</f>
        <v/>
      </c>
      <c r="F1009" s="27"/>
      <c r="G1009" s="27"/>
      <c r="H1009" s="27"/>
      <c r="I1009" s="27"/>
      <c r="J1009" s="27"/>
      <c r="K1009" s="27"/>
    </row>
    <row r="1010" spans="1:11" x14ac:dyDescent="0.2">
      <c r="A1010" s="26"/>
      <c r="B1010" s="14" t="str">
        <f>IF(A1010="","",CHOOSE(WEEKDAY(A1010),"日","月","火","水","木","金","土"))</f>
        <v/>
      </c>
      <c r="C1010" s="27"/>
      <c r="D1010" s="27"/>
      <c r="E1010" s="14" t="str">
        <f>IF(F1010="","",IFERROR(INDEX(マスター!$F$5:$F$200,MATCH(F1010,マスター!$E$5:$E$200,0)),"※マスター未登録"))</f>
        <v/>
      </c>
      <c r="F1010" s="27"/>
      <c r="G1010" s="27"/>
      <c r="H1010" s="27"/>
      <c r="I1010" s="27"/>
      <c r="J1010" s="27"/>
      <c r="K1010" s="27"/>
    </row>
    <row r="1011" spans="1:11" x14ac:dyDescent="0.2">
      <c r="A1011" s="26"/>
      <c r="B1011" s="14" t="str">
        <f>IF(A1011="","",CHOOSE(WEEKDAY(A1011),"日","月","火","水","木","金","土"))</f>
        <v/>
      </c>
      <c r="C1011" s="27"/>
      <c r="D1011" s="27"/>
      <c r="E1011" s="14" t="str">
        <f>IF(F1011="","",IFERROR(INDEX(マスター!$F$5:$F$200,MATCH(F1011,マスター!$E$5:$E$200,0)),"※マスター未登録"))</f>
        <v/>
      </c>
      <c r="F1011" s="27"/>
      <c r="G1011" s="27"/>
      <c r="H1011" s="27"/>
      <c r="I1011" s="27"/>
      <c r="J1011" s="27"/>
      <c r="K1011" s="27"/>
    </row>
    <row r="1012" spans="1:11" x14ac:dyDescent="0.2">
      <c r="A1012" s="26"/>
      <c r="B1012" s="14" t="str">
        <f>IF(A1012="","",CHOOSE(WEEKDAY(A1012),"日","月","火","水","木","金","土"))</f>
        <v/>
      </c>
      <c r="C1012" s="27"/>
      <c r="D1012" s="27"/>
      <c r="E1012" s="14" t="str">
        <f>IF(F1012="","",IFERROR(INDEX(マスター!$F$5:$F$200,MATCH(F1012,マスター!$E$5:$E$200,0)),"※マスター未登録"))</f>
        <v/>
      </c>
      <c r="F1012" s="27"/>
      <c r="G1012" s="27"/>
      <c r="H1012" s="27"/>
      <c r="I1012" s="27"/>
      <c r="J1012" s="27"/>
      <c r="K1012" s="27"/>
    </row>
    <row r="1013" spans="1:11" x14ac:dyDescent="0.2">
      <c r="A1013" s="26"/>
      <c r="B1013" s="14" t="str">
        <f>IF(A1013="","",CHOOSE(WEEKDAY(A1013),"日","月","火","水","木","金","土"))</f>
        <v/>
      </c>
      <c r="C1013" s="27"/>
      <c r="D1013" s="27"/>
      <c r="E1013" s="14" t="str">
        <f>IF(F1013="","",IFERROR(INDEX(マスター!$F$5:$F$200,MATCH(F1013,マスター!$E$5:$E$200,0)),"※マスター未登録"))</f>
        <v/>
      </c>
      <c r="F1013" s="27"/>
      <c r="G1013" s="27"/>
      <c r="H1013" s="27"/>
      <c r="I1013" s="27"/>
      <c r="J1013" s="27"/>
      <c r="K1013" s="27"/>
    </row>
    <row r="1014" spans="1:11" x14ac:dyDescent="0.2">
      <c r="A1014" s="26"/>
      <c r="B1014" s="14" t="str">
        <f>IF(A1014="","",CHOOSE(WEEKDAY(A1014),"日","月","火","水","木","金","土"))</f>
        <v/>
      </c>
      <c r="C1014" s="27"/>
      <c r="D1014" s="27"/>
      <c r="E1014" s="14" t="str">
        <f>IF(F1014="","",IFERROR(INDEX(マスター!$F$5:$F$200,MATCH(F1014,マスター!$E$5:$E$200,0)),"※マスター未登録"))</f>
        <v/>
      </c>
      <c r="F1014" s="27"/>
      <c r="G1014" s="27"/>
      <c r="H1014" s="27"/>
      <c r="I1014" s="27"/>
      <c r="J1014" s="27"/>
      <c r="K1014" s="27"/>
    </row>
    <row r="1015" spans="1:11" x14ac:dyDescent="0.2">
      <c r="A1015" s="26"/>
      <c r="B1015" s="14" t="str">
        <f>IF(A1015="","",CHOOSE(WEEKDAY(A1015),"日","月","火","水","木","金","土"))</f>
        <v/>
      </c>
      <c r="C1015" s="27"/>
      <c r="D1015" s="27"/>
      <c r="E1015" s="14" t="str">
        <f>IF(F1015="","",IFERROR(INDEX(マスター!$F$5:$F$200,MATCH(F1015,マスター!$E$5:$E$200,0)),"※マスター未登録"))</f>
        <v/>
      </c>
      <c r="F1015" s="27"/>
      <c r="G1015" s="27"/>
      <c r="H1015" s="27"/>
      <c r="I1015" s="27"/>
      <c r="J1015" s="27"/>
      <c r="K1015" s="27"/>
    </row>
    <row r="1016" spans="1:11" x14ac:dyDescent="0.2">
      <c r="A1016" s="26"/>
      <c r="B1016" s="14" t="str">
        <f>IF(A1016="","",CHOOSE(WEEKDAY(A1016),"日","月","火","水","木","金","土"))</f>
        <v/>
      </c>
      <c r="C1016" s="27"/>
      <c r="D1016" s="27"/>
      <c r="E1016" s="14" t="str">
        <f>IF(F1016="","",IFERROR(INDEX(マスター!$F$5:$F$200,MATCH(F1016,マスター!$E$5:$E$200,0)),"※マスター未登録"))</f>
        <v/>
      </c>
      <c r="F1016" s="27"/>
      <c r="G1016" s="27"/>
      <c r="H1016" s="27"/>
      <c r="I1016" s="27"/>
      <c r="J1016" s="27"/>
      <c r="K1016" s="27"/>
    </row>
    <row r="1017" spans="1:11" x14ac:dyDescent="0.2">
      <c r="A1017" s="26"/>
      <c r="B1017" s="14" t="str">
        <f>IF(A1017="","",CHOOSE(WEEKDAY(A1017),"日","月","火","水","木","金","土"))</f>
        <v/>
      </c>
      <c r="C1017" s="27"/>
      <c r="D1017" s="27"/>
      <c r="E1017" s="14" t="str">
        <f>IF(F1017="","",IFERROR(INDEX(マスター!$F$5:$F$200,MATCH(F1017,マスター!$E$5:$E$200,0)),"※マスター未登録"))</f>
        <v/>
      </c>
      <c r="F1017" s="27"/>
      <c r="G1017" s="27"/>
      <c r="H1017" s="27"/>
      <c r="I1017" s="27"/>
      <c r="J1017" s="27"/>
      <c r="K1017" s="27"/>
    </row>
    <row r="1018" spans="1:11" x14ac:dyDescent="0.2">
      <c r="A1018" s="26"/>
      <c r="B1018" s="14" t="str">
        <f>IF(A1018="","",CHOOSE(WEEKDAY(A1018),"日","月","火","水","木","金","土"))</f>
        <v/>
      </c>
      <c r="C1018" s="27"/>
      <c r="D1018" s="27"/>
      <c r="E1018" s="14" t="str">
        <f>IF(F1018="","",IFERROR(INDEX(マスター!$F$5:$F$200,MATCH(F1018,マスター!$E$5:$E$200,0)),"※マスター未登録"))</f>
        <v/>
      </c>
      <c r="F1018" s="27"/>
      <c r="G1018" s="27"/>
      <c r="H1018" s="27"/>
      <c r="I1018" s="27"/>
      <c r="J1018" s="27"/>
      <c r="K1018" s="27"/>
    </row>
    <row r="1019" spans="1:11" x14ac:dyDescent="0.2">
      <c r="A1019" s="26"/>
      <c r="B1019" s="14" t="str">
        <f>IF(A1019="","",CHOOSE(WEEKDAY(A1019),"日","月","火","水","木","金","土"))</f>
        <v/>
      </c>
      <c r="C1019" s="27"/>
      <c r="D1019" s="27"/>
      <c r="E1019" s="14" t="str">
        <f>IF(F1019="","",IFERROR(INDEX(マスター!$F$5:$F$200,MATCH(F1019,マスター!$E$5:$E$200,0)),"※マスター未登録"))</f>
        <v/>
      </c>
      <c r="F1019" s="27"/>
      <c r="G1019" s="27"/>
      <c r="H1019" s="27"/>
      <c r="I1019" s="27"/>
      <c r="J1019" s="27"/>
      <c r="K1019" s="27"/>
    </row>
    <row r="1020" spans="1:11" x14ac:dyDescent="0.2">
      <c r="A1020" s="26"/>
      <c r="B1020" s="14" t="str">
        <f>IF(A1020="","",CHOOSE(WEEKDAY(A1020),"日","月","火","水","木","金","土"))</f>
        <v/>
      </c>
      <c r="C1020" s="27"/>
      <c r="D1020" s="27"/>
      <c r="E1020" s="14" t="str">
        <f>IF(F1020="","",IFERROR(INDEX(マスター!$F$5:$F$200,MATCH(F1020,マスター!$E$5:$E$200,0)),"※マスター未登録"))</f>
        <v/>
      </c>
      <c r="F1020" s="27"/>
      <c r="G1020" s="27"/>
      <c r="H1020" s="27"/>
      <c r="I1020" s="27"/>
      <c r="J1020" s="27"/>
      <c r="K1020" s="27"/>
    </row>
    <row r="1021" spans="1:11" x14ac:dyDescent="0.2">
      <c r="A1021" s="26"/>
      <c r="B1021" s="14" t="str">
        <f>IF(A1021="","",CHOOSE(WEEKDAY(A1021),"日","月","火","水","木","金","土"))</f>
        <v/>
      </c>
      <c r="C1021" s="27"/>
      <c r="D1021" s="27"/>
      <c r="E1021" s="14" t="str">
        <f>IF(F1021="","",IFERROR(INDEX(マスター!$F$5:$F$200,MATCH(F1021,マスター!$E$5:$E$200,0)),"※マスター未登録"))</f>
        <v/>
      </c>
      <c r="F1021" s="27"/>
      <c r="G1021" s="27"/>
      <c r="H1021" s="27"/>
      <c r="I1021" s="27"/>
      <c r="J1021" s="27"/>
      <c r="K1021" s="27"/>
    </row>
    <row r="1022" spans="1:11" x14ac:dyDescent="0.2">
      <c r="A1022" s="26"/>
      <c r="B1022" s="14" t="str">
        <f>IF(A1022="","",CHOOSE(WEEKDAY(A1022),"日","月","火","水","木","金","土"))</f>
        <v/>
      </c>
      <c r="C1022" s="27"/>
      <c r="D1022" s="27"/>
      <c r="E1022" s="14" t="str">
        <f>IF(F1022="","",IFERROR(INDEX(マスター!$F$5:$F$200,MATCH(F1022,マスター!$E$5:$E$200,0)),"※マスター未登録"))</f>
        <v/>
      </c>
      <c r="F1022" s="27"/>
      <c r="G1022" s="27"/>
      <c r="H1022" s="27"/>
      <c r="I1022" s="27"/>
      <c r="J1022" s="27"/>
      <c r="K1022" s="27"/>
    </row>
    <row r="1023" spans="1:11" x14ac:dyDescent="0.2">
      <c r="A1023" s="26"/>
      <c r="B1023" s="14" t="str">
        <f>IF(A1023="","",CHOOSE(WEEKDAY(A1023),"日","月","火","水","木","金","土"))</f>
        <v/>
      </c>
      <c r="C1023" s="27"/>
      <c r="D1023" s="27"/>
      <c r="E1023" s="14" t="str">
        <f>IF(F1023="","",IFERROR(INDEX(マスター!$F$5:$F$200,MATCH(F1023,マスター!$E$5:$E$200,0)),"※マスター未登録"))</f>
        <v/>
      </c>
      <c r="F1023" s="27"/>
      <c r="G1023" s="27"/>
      <c r="H1023" s="27"/>
      <c r="I1023" s="27"/>
      <c r="J1023" s="27"/>
      <c r="K1023" s="27"/>
    </row>
    <row r="1024" spans="1:11" x14ac:dyDescent="0.2">
      <c r="A1024" s="26"/>
      <c r="B1024" s="14" t="str">
        <f>IF(A1024="","",CHOOSE(WEEKDAY(A1024),"日","月","火","水","木","金","土"))</f>
        <v/>
      </c>
      <c r="C1024" s="27"/>
      <c r="D1024" s="27"/>
      <c r="E1024" s="14" t="str">
        <f>IF(F1024="","",IFERROR(INDEX(マスター!$F$5:$F$200,MATCH(F1024,マスター!$E$5:$E$200,0)),"※マスター未登録"))</f>
        <v/>
      </c>
      <c r="F1024" s="27"/>
      <c r="G1024" s="27"/>
      <c r="H1024" s="27"/>
      <c r="I1024" s="27"/>
      <c r="J1024" s="27"/>
      <c r="K1024" s="27"/>
    </row>
    <row r="1025" spans="1:11" x14ac:dyDescent="0.2">
      <c r="A1025" s="26"/>
      <c r="B1025" s="14" t="str">
        <f>IF(A1025="","",CHOOSE(WEEKDAY(A1025),"日","月","火","水","木","金","土"))</f>
        <v/>
      </c>
      <c r="C1025" s="27"/>
      <c r="D1025" s="27"/>
      <c r="E1025" s="14" t="str">
        <f>IF(F1025="","",IFERROR(INDEX(マスター!$F$5:$F$200,MATCH(F1025,マスター!$E$5:$E$200,0)),"※マスター未登録"))</f>
        <v/>
      </c>
      <c r="F1025" s="27"/>
      <c r="G1025" s="27"/>
      <c r="H1025" s="27"/>
      <c r="I1025" s="27"/>
      <c r="J1025" s="27"/>
      <c r="K1025" s="27"/>
    </row>
    <row r="1026" spans="1:11" x14ac:dyDescent="0.2">
      <c r="A1026" s="26"/>
      <c r="B1026" s="14" t="str">
        <f>IF(A1026="","",CHOOSE(WEEKDAY(A1026),"日","月","火","水","木","金","土"))</f>
        <v/>
      </c>
      <c r="C1026" s="27"/>
      <c r="D1026" s="27"/>
      <c r="E1026" s="14" t="str">
        <f>IF(F1026="","",IFERROR(INDEX(マスター!$F$5:$F$200,MATCH(F1026,マスター!$E$5:$E$200,0)),"※マスター未登録"))</f>
        <v/>
      </c>
      <c r="F1026" s="27"/>
      <c r="G1026" s="27"/>
      <c r="H1026" s="27"/>
      <c r="I1026" s="27"/>
      <c r="J1026" s="27"/>
      <c r="K1026" s="27"/>
    </row>
    <row r="1027" spans="1:11" x14ac:dyDescent="0.2">
      <c r="A1027" s="26"/>
      <c r="B1027" s="14" t="str">
        <f>IF(A1027="","",CHOOSE(WEEKDAY(A1027),"日","月","火","水","木","金","土"))</f>
        <v/>
      </c>
      <c r="C1027" s="27"/>
      <c r="D1027" s="27"/>
      <c r="E1027" s="14" t="str">
        <f>IF(F1027="","",IFERROR(INDEX(マスター!$F$5:$F$200,MATCH(F1027,マスター!$E$5:$E$200,0)),"※マスター未登録"))</f>
        <v/>
      </c>
      <c r="F1027" s="27"/>
      <c r="G1027" s="27"/>
      <c r="H1027" s="27"/>
      <c r="I1027" s="27"/>
      <c r="J1027" s="27"/>
      <c r="K1027" s="27"/>
    </row>
    <row r="1028" spans="1:11" x14ac:dyDescent="0.2">
      <c r="A1028" s="26"/>
      <c r="B1028" s="14" t="str">
        <f>IF(A1028="","",CHOOSE(WEEKDAY(A1028),"日","月","火","水","木","金","土"))</f>
        <v/>
      </c>
      <c r="C1028" s="27"/>
      <c r="D1028" s="27"/>
      <c r="E1028" s="14" t="str">
        <f>IF(F1028="","",IFERROR(INDEX(マスター!$F$5:$F$200,MATCH(F1028,マスター!$E$5:$E$200,0)),"※マスター未登録"))</f>
        <v/>
      </c>
      <c r="F1028" s="27"/>
      <c r="G1028" s="27"/>
      <c r="H1028" s="27"/>
      <c r="I1028" s="27"/>
      <c r="J1028" s="27"/>
      <c r="K1028" s="27"/>
    </row>
    <row r="1029" spans="1:11" x14ac:dyDescent="0.2">
      <c r="A1029" s="26"/>
      <c r="B1029" s="14" t="str">
        <f>IF(A1029="","",CHOOSE(WEEKDAY(A1029),"日","月","火","水","木","金","土"))</f>
        <v/>
      </c>
      <c r="C1029" s="27"/>
      <c r="D1029" s="27"/>
      <c r="E1029" s="14" t="str">
        <f>IF(F1029="","",IFERROR(INDEX(マスター!$F$5:$F$200,MATCH(F1029,マスター!$E$5:$E$200,0)),"※マスター未登録"))</f>
        <v/>
      </c>
      <c r="F1029" s="27"/>
      <c r="G1029" s="27"/>
      <c r="H1029" s="27"/>
      <c r="I1029" s="27"/>
      <c r="J1029" s="27"/>
      <c r="K1029" s="27"/>
    </row>
    <row r="1030" spans="1:11" x14ac:dyDescent="0.2">
      <c r="A1030" s="26"/>
      <c r="B1030" s="14" t="str">
        <f>IF(A1030="","",CHOOSE(WEEKDAY(A1030),"日","月","火","水","木","金","土"))</f>
        <v/>
      </c>
      <c r="C1030" s="27"/>
      <c r="D1030" s="27"/>
      <c r="E1030" s="14" t="str">
        <f>IF(F1030="","",IFERROR(INDEX(マスター!$F$5:$F$200,MATCH(F1030,マスター!$E$5:$E$200,0)),"※マスター未登録"))</f>
        <v/>
      </c>
      <c r="F1030" s="27"/>
      <c r="G1030" s="27"/>
      <c r="H1030" s="27"/>
      <c r="I1030" s="27"/>
      <c r="J1030" s="27"/>
      <c r="K1030" s="27"/>
    </row>
    <row r="1031" spans="1:11" x14ac:dyDescent="0.2">
      <c r="A1031" s="26"/>
      <c r="B1031" s="14" t="str">
        <f>IF(A1031="","",CHOOSE(WEEKDAY(A1031),"日","月","火","水","木","金","土"))</f>
        <v/>
      </c>
      <c r="C1031" s="27"/>
      <c r="D1031" s="27"/>
      <c r="E1031" s="14" t="str">
        <f>IF(F1031="","",IFERROR(INDEX(マスター!$F$5:$F$200,MATCH(F1031,マスター!$E$5:$E$200,0)),"※マスター未登録"))</f>
        <v/>
      </c>
      <c r="F1031" s="27"/>
      <c r="G1031" s="27"/>
      <c r="H1031" s="27"/>
      <c r="I1031" s="27"/>
      <c r="J1031" s="27"/>
      <c r="K1031" s="27"/>
    </row>
    <row r="1032" spans="1:11" x14ac:dyDescent="0.2">
      <c r="A1032" s="26"/>
      <c r="B1032" s="14" t="str">
        <f>IF(A1032="","",CHOOSE(WEEKDAY(A1032),"日","月","火","水","木","金","土"))</f>
        <v/>
      </c>
      <c r="C1032" s="27"/>
      <c r="D1032" s="27"/>
      <c r="E1032" s="14" t="str">
        <f>IF(F1032="","",IFERROR(INDEX(マスター!$F$5:$F$200,MATCH(F1032,マスター!$E$5:$E$200,0)),"※マスター未登録"))</f>
        <v/>
      </c>
      <c r="F1032" s="27"/>
      <c r="G1032" s="27"/>
      <c r="H1032" s="27"/>
      <c r="I1032" s="27"/>
      <c r="J1032" s="27"/>
      <c r="K1032" s="27"/>
    </row>
    <row r="1033" spans="1:11" x14ac:dyDescent="0.2">
      <c r="A1033" s="26"/>
      <c r="B1033" s="14" t="str">
        <f>IF(A1033="","",CHOOSE(WEEKDAY(A1033),"日","月","火","水","木","金","土"))</f>
        <v/>
      </c>
      <c r="C1033" s="27"/>
      <c r="D1033" s="27"/>
      <c r="E1033" s="14" t="str">
        <f>IF(F1033="","",IFERROR(INDEX(マスター!$F$5:$F$200,MATCH(F1033,マスター!$E$5:$E$200,0)),"※マスター未登録"))</f>
        <v/>
      </c>
      <c r="F1033" s="27"/>
      <c r="G1033" s="27"/>
      <c r="H1033" s="27"/>
      <c r="I1033" s="27"/>
      <c r="J1033" s="27"/>
      <c r="K1033" s="27"/>
    </row>
    <row r="1034" spans="1:11" x14ac:dyDescent="0.2">
      <c r="A1034" s="26"/>
      <c r="B1034" s="14" t="str">
        <f>IF(A1034="","",CHOOSE(WEEKDAY(A1034),"日","月","火","水","木","金","土"))</f>
        <v/>
      </c>
      <c r="C1034" s="27"/>
      <c r="D1034" s="27"/>
      <c r="E1034" s="14" t="str">
        <f>IF(F1034="","",IFERROR(INDEX(マスター!$F$5:$F$200,MATCH(F1034,マスター!$E$5:$E$200,0)),"※マスター未登録"))</f>
        <v/>
      </c>
      <c r="F1034" s="27"/>
      <c r="G1034" s="27"/>
      <c r="H1034" s="27"/>
      <c r="I1034" s="27"/>
      <c r="J1034" s="27"/>
      <c r="K1034" s="27"/>
    </row>
    <row r="1035" spans="1:11" x14ac:dyDescent="0.2">
      <c r="A1035" s="26"/>
      <c r="B1035" s="14" t="str">
        <f>IF(A1035="","",CHOOSE(WEEKDAY(A1035),"日","月","火","水","木","金","土"))</f>
        <v/>
      </c>
      <c r="C1035" s="27"/>
      <c r="D1035" s="27"/>
      <c r="E1035" s="14" t="str">
        <f>IF(F1035="","",IFERROR(INDEX(マスター!$F$5:$F$200,MATCH(F1035,マスター!$E$5:$E$200,0)),"※マスター未登録"))</f>
        <v/>
      </c>
      <c r="F1035" s="27"/>
      <c r="G1035" s="27"/>
      <c r="H1035" s="27"/>
      <c r="I1035" s="27"/>
      <c r="J1035" s="27"/>
      <c r="K1035" s="27"/>
    </row>
    <row r="1036" spans="1:11" x14ac:dyDescent="0.2">
      <c r="A1036" s="26"/>
      <c r="B1036" s="14" t="str">
        <f>IF(A1036="","",CHOOSE(WEEKDAY(A1036),"日","月","火","水","木","金","土"))</f>
        <v/>
      </c>
      <c r="C1036" s="27"/>
      <c r="D1036" s="27"/>
      <c r="E1036" s="14" t="str">
        <f>IF(F1036="","",IFERROR(INDEX(マスター!$F$5:$F$200,MATCH(F1036,マスター!$E$5:$E$200,0)),"※マスター未登録"))</f>
        <v/>
      </c>
      <c r="F1036" s="27"/>
      <c r="G1036" s="27"/>
      <c r="H1036" s="27"/>
      <c r="I1036" s="27"/>
      <c r="J1036" s="27"/>
      <c r="K1036" s="27"/>
    </row>
    <row r="1037" spans="1:11" x14ac:dyDescent="0.2">
      <c r="A1037" s="26"/>
      <c r="B1037" s="14" t="str">
        <f>IF(A1037="","",CHOOSE(WEEKDAY(A1037),"日","月","火","水","木","金","土"))</f>
        <v/>
      </c>
      <c r="C1037" s="27"/>
      <c r="D1037" s="27"/>
      <c r="E1037" s="14" t="str">
        <f>IF(F1037="","",IFERROR(INDEX(マスター!$F$5:$F$200,MATCH(F1037,マスター!$E$5:$E$200,0)),"※マスター未登録"))</f>
        <v/>
      </c>
      <c r="F1037" s="27"/>
      <c r="G1037" s="27"/>
      <c r="H1037" s="27"/>
      <c r="I1037" s="27"/>
      <c r="J1037" s="27"/>
      <c r="K1037" s="27"/>
    </row>
    <row r="1038" spans="1:11" x14ac:dyDescent="0.2">
      <c r="A1038" s="26"/>
      <c r="B1038" s="14" t="str">
        <f>IF(A1038="","",CHOOSE(WEEKDAY(A1038),"日","月","火","水","木","金","土"))</f>
        <v/>
      </c>
      <c r="C1038" s="27"/>
      <c r="D1038" s="27"/>
      <c r="E1038" s="14" t="str">
        <f>IF(F1038="","",IFERROR(INDEX(マスター!$F$5:$F$200,MATCH(F1038,マスター!$E$5:$E$200,0)),"※マスター未登録"))</f>
        <v/>
      </c>
      <c r="F1038" s="27"/>
      <c r="G1038" s="27"/>
      <c r="H1038" s="27"/>
      <c r="I1038" s="27"/>
      <c r="J1038" s="27"/>
      <c r="K1038" s="27"/>
    </row>
    <row r="1039" spans="1:11" x14ac:dyDescent="0.2">
      <c r="A1039" s="26"/>
      <c r="B1039" s="14" t="str">
        <f>IF(A1039="","",CHOOSE(WEEKDAY(A1039),"日","月","火","水","木","金","土"))</f>
        <v/>
      </c>
      <c r="C1039" s="27"/>
      <c r="D1039" s="27"/>
      <c r="E1039" s="14" t="str">
        <f>IF(F1039="","",IFERROR(INDEX(マスター!$F$5:$F$200,MATCH(F1039,マスター!$E$5:$E$200,0)),"※マスター未登録"))</f>
        <v/>
      </c>
      <c r="F1039" s="27"/>
      <c r="G1039" s="27"/>
      <c r="H1039" s="27"/>
      <c r="I1039" s="27"/>
      <c r="J1039" s="27"/>
      <c r="K1039" s="27"/>
    </row>
    <row r="1040" spans="1:11" x14ac:dyDescent="0.2">
      <c r="A1040" s="26"/>
      <c r="B1040" s="14" t="str">
        <f>IF(A1040="","",CHOOSE(WEEKDAY(A1040),"日","月","火","水","木","金","土"))</f>
        <v/>
      </c>
      <c r="C1040" s="27"/>
      <c r="D1040" s="27"/>
      <c r="E1040" s="14" t="str">
        <f>IF(F1040="","",IFERROR(INDEX(マスター!$F$5:$F$200,MATCH(F1040,マスター!$E$5:$E$200,0)),"※マスター未登録"))</f>
        <v/>
      </c>
      <c r="F1040" s="27"/>
      <c r="G1040" s="27"/>
      <c r="H1040" s="27"/>
      <c r="I1040" s="27"/>
      <c r="J1040" s="27"/>
      <c r="K1040" s="27"/>
    </row>
    <row r="1041" spans="1:11" x14ac:dyDescent="0.2">
      <c r="A1041" s="26"/>
      <c r="B1041" s="14" t="str">
        <f>IF(A1041="","",CHOOSE(WEEKDAY(A1041),"日","月","火","水","木","金","土"))</f>
        <v/>
      </c>
      <c r="C1041" s="27"/>
      <c r="D1041" s="27"/>
      <c r="E1041" s="14" t="str">
        <f>IF(F1041="","",IFERROR(INDEX(マスター!$F$5:$F$200,MATCH(F1041,マスター!$E$5:$E$200,0)),"※マスター未登録"))</f>
        <v/>
      </c>
      <c r="F1041" s="27"/>
      <c r="G1041" s="27"/>
      <c r="H1041" s="27"/>
      <c r="I1041" s="27"/>
      <c r="J1041" s="27"/>
      <c r="K1041" s="27"/>
    </row>
    <row r="1042" spans="1:11" x14ac:dyDescent="0.2">
      <c r="A1042" s="26"/>
      <c r="B1042" s="14" t="str">
        <f>IF(A1042="","",CHOOSE(WEEKDAY(A1042),"日","月","火","水","木","金","土"))</f>
        <v/>
      </c>
      <c r="C1042" s="27"/>
      <c r="D1042" s="27"/>
      <c r="E1042" s="14" t="str">
        <f>IF(F1042="","",IFERROR(INDEX(マスター!$F$5:$F$200,MATCH(F1042,マスター!$E$5:$E$200,0)),"※マスター未登録"))</f>
        <v/>
      </c>
      <c r="F1042" s="27"/>
      <c r="G1042" s="27"/>
      <c r="H1042" s="27"/>
      <c r="I1042" s="27"/>
      <c r="J1042" s="27"/>
      <c r="K1042" s="27"/>
    </row>
    <row r="1043" spans="1:11" x14ac:dyDescent="0.2">
      <c r="A1043" s="26"/>
      <c r="B1043" s="14" t="str">
        <f>IF(A1043="","",CHOOSE(WEEKDAY(A1043),"日","月","火","水","木","金","土"))</f>
        <v/>
      </c>
      <c r="C1043" s="27"/>
      <c r="D1043" s="27"/>
      <c r="E1043" s="14" t="str">
        <f>IF(F1043="","",IFERROR(INDEX(マスター!$F$5:$F$200,MATCH(F1043,マスター!$E$5:$E$200,0)),"※マスター未登録"))</f>
        <v/>
      </c>
      <c r="F1043" s="27"/>
      <c r="G1043" s="27"/>
      <c r="H1043" s="27"/>
      <c r="I1043" s="27"/>
      <c r="J1043" s="27"/>
      <c r="K1043" s="27"/>
    </row>
    <row r="1044" spans="1:11" x14ac:dyDescent="0.2">
      <c r="A1044" s="26"/>
      <c r="B1044" s="14" t="str">
        <f>IF(A1044="","",CHOOSE(WEEKDAY(A1044),"日","月","火","水","木","金","土"))</f>
        <v/>
      </c>
      <c r="C1044" s="27"/>
      <c r="D1044" s="27"/>
      <c r="E1044" s="14" t="str">
        <f>IF(F1044="","",IFERROR(INDEX(マスター!$F$5:$F$200,MATCH(F1044,マスター!$E$5:$E$200,0)),"※マスター未登録"))</f>
        <v/>
      </c>
      <c r="F1044" s="27"/>
      <c r="G1044" s="27"/>
      <c r="H1044" s="27"/>
      <c r="I1044" s="27"/>
      <c r="J1044" s="27"/>
      <c r="K1044" s="27"/>
    </row>
    <row r="1045" spans="1:11" x14ac:dyDescent="0.2">
      <c r="A1045" s="26"/>
      <c r="B1045" s="14" t="str">
        <f>IF(A1045="","",CHOOSE(WEEKDAY(A1045),"日","月","火","水","木","金","土"))</f>
        <v/>
      </c>
      <c r="C1045" s="27"/>
      <c r="D1045" s="27"/>
      <c r="E1045" s="14" t="str">
        <f>IF(F1045="","",IFERROR(INDEX(マスター!$F$5:$F$200,MATCH(F1045,マスター!$E$5:$E$200,0)),"※マスター未登録"))</f>
        <v/>
      </c>
      <c r="F1045" s="27"/>
      <c r="G1045" s="27"/>
      <c r="H1045" s="27"/>
      <c r="I1045" s="27"/>
      <c r="J1045" s="27"/>
      <c r="K1045" s="27"/>
    </row>
    <row r="1046" spans="1:11" x14ac:dyDescent="0.2">
      <c r="A1046" s="26"/>
      <c r="B1046" s="14" t="str">
        <f>IF(A1046="","",CHOOSE(WEEKDAY(A1046),"日","月","火","水","木","金","土"))</f>
        <v/>
      </c>
      <c r="C1046" s="27"/>
      <c r="D1046" s="27"/>
      <c r="E1046" s="14" t="str">
        <f>IF(F1046="","",IFERROR(INDEX(マスター!$F$5:$F$200,MATCH(F1046,マスター!$E$5:$E$200,0)),"※マスター未登録"))</f>
        <v/>
      </c>
      <c r="F1046" s="27"/>
      <c r="G1046" s="27"/>
      <c r="H1046" s="27"/>
      <c r="I1046" s="27"/>
      <c r="J1046" s="27"/>
      <c r="K1046" s="27"/>
    </row>
    <row r="1047" spans="1:11" x14ac:dyDescent="0.2">
      <c r="A1047" s="26"/>
      <c r="B1047" s="14" t="str">
        <f>IF(A1047="","",CHOOSE(WEEKDAY(A1047),"日","月","火","水","木","金","土"))</f>
        <v/>
      </c>
      <c r="C1047" s="27"/>
      <c r="D1047" s="27"/>
      <c r="E1047" s="14" t="str">
        <f>IF(F1047="","",IFERROR(INDEX(マスター!$F$5:$F$200,MATCH(F1047,マスター!$E$5:$E$200,0)),"※マスター未登録"))</f>
        <v/>
      </c>
      <c r="F1047" s="27"/>
      <c r="G1047" s="27"/>
      <c r="H1047" s="27"/>
      <c r="I1047" s="27"/>
      <c r="J1047" s="27"/>
      <c r="K1047" s="27"/>
    </row>
    <row r="1048" spans="1:11" x14ac:dyDescent="0.2">
      <c r="A1048" s="26"/>
      <c r="B1048" s="14" t="str">
        <f>IF(A1048="","",CHOOSE(WEEKDAY(A1048),"日","月","火","水","木","金","土"))</f>
        <v/>
      </c>
      <c r="C1048" s="27"/>
      <c r="D1048" s="27"/>
      <c r="E1048" s="14" t="str">
        <f>IF(F1048="","",IFERROR(INDEX(マスター!$F$5:$F$200,MATCH(F1048,マスター!$E$5:$E$200,0)),"※マスター未登録"))</f>
        <v/>
      </c>
      <c r="F1048" s="27"/>
      <c r="G1048" s="27"/>
      <c r="H1048" s="27"/>
      <c r="I1048" s="27"/>
      <c r="J1048" s="27"/>
      <c r="K1048" s="27"/>
    </row>
    <row r="1049" spans="1:11" x14ac:dyDescent="0.2">
      <c r="A1049" s="26"/>
      <c r="B1049" s="14" t="str">
        <f>IF(A1049="","",CHOOSE(WEEKDAY(A1049),"日","月","火","水","木","金","土"))</f>
        <v/>
      </c>
      <c r="C1049" s="27"/>
      <c r="D1049" s="27"/>
      <c r="E1049" s="14" t="str">
        <f>IF(F1049="","",IFERROR(INDEX(マスター!$F$5:$F$200,MATCH(F1049,マスター!$E$5:$E$200,0)),"※マスター未登録"))</f>
        <v/>
      </c>
      <c r="F1049" s="27"/>
      <c r="G1049" s="27"/>
      <c r="H1049" s="27"/>
      <c r="I1049" s="27"/>
      <c r="J1049" s="27"/>
      <c r="K1049" s="27"/>
    </row>
    <row r="1050" spans="1:11" x14ac:dyDescent="0.2">
      <c r="A1050" s="26"/>
      <c r="B1050" s="14" t="str">
        <f>IF(A1050="","",CHOOSE(WEEKDAY(A1050),"日","月","火","水","木","金","土"))</f>
        <v/>
      </c>
      <c r="C1050" s="27"/>
      <c r="D1050" s="27"/>
      <c r="E1050" s="14" t="str">
        <f>IF(F1050="","",IFERROR(INDEX(マスター!$F$5:$F$200,MATCH(F1050,マスター!$E$5:$E$200,0)),"※マスター未登録"))</f>
        <v/>
      </c>
      <c r="F1050" s="27"/>
      <c r="G1050" s="27"/>
      <c r="H1050" s="27"/>
      <c r="I1050" s="27"/>
      <c r="J1050" s="27"/>
      <c r="K1050" s="27"/>
    </row>
    <row r="1051" spans="1:11" x14ac:dyDescent="0.2">
      <c r="A1051" s="26"/>
      <c r="B1051" s="14" t="str">
        <f>IF(A1051="","",CHOOSE(WEEKDAY(A1051),"日","月","火","水","木","金","土"))</f>
        <v/>
      </c>
      <c r="C1051" s="27"/>
      <c r="D1051" s="27"/>
      <c r="E1051" s="14" t="str">
        <f>IF(F1051="","",IFERROR(INDEX(マスター!$F$5:$F$200,MATCH(F1051,マスター!$E$5:$E$200,0)),"※マスター未登録"))</f>
        <v/>
      </c>
      <c r="F1051" s="27"/>
      <c r="G1051" s="27"/>
      <c r="H1051" s="27"/>
      <c r="I1051" s="27"/>
      <c r="J1051" s="27"/>
      <c r="K1051" s="27"/>
    </row>
    <row r="1052" spans="1:11" x14ac:dyDescent="0.2">
      <c r="A1052" s="26"/>
      <c r="B1052" s="14" t="str">
        <f>IF(A1052="","",CHOOSE(WEEKDAY(A1052),"日","月","火","水","木","金","土"))</f>
        <v/>
      </c>
      <c r="C1052" s="27"/>
      <c r="D1052" s="27"/>
      <c r="E1052" s="14" t="str">
        <f>IF(F1052="","",IFERROR(INDEX(マスター!$F$5:$F$200,MATCH(F1052,マスター!$E$5:$E$200,0)),"※マスター未登録"))</f>
        <v/>
      </c>
      <c r="F1052" s="27"/>
      <c r="G1052" s="27"/>
      <c r="H1052" s="27"/>
      <c r="I1052" s="27"/>
      <c r="J1052" s="27"/>
      <c r="K1052" s="27"/>
    </row>
    <row r="1053" spans="1:11" x14ac:dyDescent="0.2">
      <c r="A1053" s="26"/>
      <c r="B1053" s="14" t="str">
        <f>IF(A1053="","",CHOOSE(WEEKDAY(A1053),"日","月","火","水","木","金","土"))</f>
        <v/>
      </c>
      <c r="C1053" s="27"/>
      <c r="D1053" s="27"/>
      <c r="E1053" s="14" t="str">
        <f>IF(F1053="","",IFERROR(INDEX(マスター!$F$5:$F$200,MATCH(F1053,マスター!$E$5:$E$200,0)),"※マスター未登録"))</f>
        <v/>
      </c>
      <c r="F1053" s="27"/>
      <c r="G1053" s="27"/>
      <c r="H1053" s="27"/>
      <c r="I1053" s="27"/>
      <c r="J1053" s="27"/>
      <c r="K1053" s="27"/>
    </row>
    <row r="1054" spans="1:11" x14ac:dyDescent="0.2">
      <c r="A1054" s="26"/>
      <c r="B1054" s="14" t="str">
        <f>IF(A1054="","",CHOOSE(WEEKDAY(A1054),"日","月","火","水","木","金","土"))</f>
        <v/>
      </c>
      <c r="C1054" s="27"/>
      <c r="D1054" s="27"/>
      <c r="E1054" s="14" t="str">
        <f>IF(F1054="","",IFERROR(INDEX(マスター!$F$5:$F$200,MATCH(F1054,マスター!$E$5:$E$200,0)),"※マスター未登録"))</f>
        <v/>
      </c>
      <c r="F1054" s="27"/>
      <c r="G1054" s="27"/>
      <c r="H1054" s="27"/>
      <c r="I1054" s="27"/>
      <c r="J1054" s="27"/>
      <c r="K1054" s="27"/>
    </row>
    <row r="1055" spans="1:11" x14ac:dyDescent="0.2">
      <c r="A1055" s="26"/>
      <c r="B1055" s="14" t="str">
        <f>IF(A1055="","",CHOOSE(WEEKDAY(A1055),"日","月","火","水","木","金","土"))</f>
        <v/>
      </c>
      <c r="C1055" s="27"/>
      <c r="D1055" s="27"/>
      <c r="E1055" s="14" t="str">
        <f>IF(F1055="","",IFERROR(INDEX(マスター!$F$5:$F$200,MATCH(F1055,マスター!$E$5:$E$200,0)),"※マスター未登録"))</f>
        <v/>
      </c>
      <c r="F1055" s="27"/>
      <c r="G1055" s="27"/>
      <c r="H1055" s="27"/>
      <c r="I1055" s="27"/>
      <c r="J1055" s="27"/>
      <c r="K1055" s="27"/>
    </row>
    <row r="1056" spans="1:11" x14ac:dyDescent="0.2">
      <c r="A1056" s="26"/>
      <c r="B1056" s="14" t="str">
        <f>IF(A1056="","",CHOOSE(WEEKDAY(A1056),"日","月","火","水","木","金","土"))</f>
        <v/>
      </c>
      <c r="C1056" s="27"/>
      <c r="D1056" s="27"/>
      <c r="E1056" s="14" t="str">
        <f>IF(F1056="","",IFERROR(INDEX(マスター!$F$5:$F$200,MATCH(F1056,マスター!$E$5:$E$200,0)),"※マスター未登録"))</f>
        <v/>
      </c>
      <c r="F1056" s="27"/>
      <c r="G1056" s="27"/>
      <c r="H1056" s="27"/>
      <c r="I1056" s="27"/>
      <c r="J1056" s="27"/>
      <c r="K1056" s="27"/>
    </row>
    <row r="1057" spans="1:11" x14ac:dyDescent="0.2">
      <c r="A1057" s="26"/>
      <c r="B1057" s="14" t="str">
        <f>IF(A1057="","",CHOOSE(WEEKDAY(A1057),"日","月","火","水","木","金","土"))</f>
        <v/>
      </c>
      <c r="C1057" s="27"/>
      <c r="D1057" s="27"/>
      <c r="E1057" s="14" t="str">
        <f>IF(F1057="","",IFERROR(INDEX(マスター!$F$5:$F$200,MATCH(F1057,マスター!$E$5:$E$200,0)),"※マスター未登録"))</f>
        <v/>
      </c>
      <c r="F1057" s="27"/>
      <c r="G1057" s="27"/>
      <c r="H1057" s="27"/>
      <c r="I1057" s="27"/>
      <c r="J1057" s="27"/>
      <c r="K1057" s="27"/>
    </row>
    <row r="1058" spans="1:11" x14ac:dyDescent="0.2">
      <c r="A1058" s="26"/>
      <c r="B1058" s="14" t="str">
        <f>IF(A1058="","",CHOOSE(WEEKDAY(A1058),"日","月","火","水","木","金","土"))</f>
        <v/>
      </c>
      <c r="C1058" s="27"/>
      <c r="D1058" s="27"/>
      <c r="E1058" s="14" t="str">
        <f>IF(F1058="","",IFERROR(INDEX(マスター!$F$5:$F$200,MATCH(F1058,マスター!$E$5:$E$200,0)),"※マスター未登録"))</f>
        <v/>
      </c>
      <c r="F1058" s="27"/>
      <c r="G1058" s="27"/>
      <c r="H1058" s="27"/>
      <c r="I1058" s="27"/>
      <c r="J1058" s="27"/>
      <c r="K1058" s="27"/>
    </row>
    <row r="1059" spans="1:11" x14ac:dyDescent="0.2">
      <c r="A1059" s="26"/>
      <c r="B1059" s="14" t="str">
        <f>IF(A1059="","",CHOOSE(WEEKDAY(A1059),"日","月","火","水","木","金","土"))</f>
        <v/>
      </c>
      <c r="C1059" s="27"/>
      <c r="D1059" s="27"/>
      <c r="E1059" s="14" t="str">
        <f>IF(F1059="","",IFERROR(INDEX(マスター!$F$5:$F$200,MATCH(F1059,マスター!$E$5:$E$200,0)),"※マスター未登録"))</f>
        <v/>
      </c>
      <c r="F1059" s="27"/>
      <c r="G1059" s="27"/>
      <c r="H1059" s="27"/>
      <c r="I1059" s="27"/>
      <c r="J1059" s="27"/>
      <c r="K1059" s="27"/>
    </row>
    <row r="1060" spans="1:11" x14ac:dyDescent="0.2">
      <c r="A1060" s="26"/>
      <c r="B1060" s="14" t="str">
        <f>IF(A1060="","",CHOOSE(WEEKDAY(A1060),"日","月","火","水","木","金","土"))</f>
        <v/>
      </c>
      <c r="C1060" s="27"/>
      <c r="D1060" s="27"/>
      <c r="E1060" s="14" t="str">
        <f>IF(F1060="","",IFERROR(INDEX(マスター!$F$5:$F$200,MATCH(F1060,マスター!$E$5:$E$200,0)),"※マスター未登録"))</f>
        <v/>
      </c>
      <c r="F1060" s="27"/>
      <c r="G1060" s="27"/>
      <c r="H1060" s="27"/>
      <c r="I1060" s="27"/>
      <c r="J1060" s="27"/>
      <c r="K1060" s="27"/>
    </row>
    <row r="1061" spans="1:11" x14ac:dyDescent="0.2">
      <c r="A1061" s="26"/>
      <c r="B1061" s="14" t="str">
        <f>IF(A1061="","",CHOOSE(WEEKDAY(A1061),"日","月","火","水","木","金","土"))</f>
        <v/>
      </c>
      <c r="C1061" s="27"/>
      <c r="D1061" s="27"/>
      <c r="E1061" s="14" t="str">
        <f>IF(F1061="","",IFERROR(INDEX(マスター!$F$5:$F$200,MATCH(F1061,マスター!$E$5:$E$200,0)),"※マスター未登録"))</f>
        <v/>
      </c>
      <c r="F1061" s="27"/>
      <c r="G1061" s="27"/>
      <c r="H1061" s="27"/>
      <c r="I1061" s="27"/>
      <c r="J1061" s="27"/>
      <c r="K1061" s="27"/>
    </row>
    <row r="1062" spans="1:11" x14ac:dyDescent="0.2">
      <c r="A1062" s="26"/>
      <c r="B1062" s="14" t="str">
        <f>IF(A1062="","",CHOOSE(WEEKDAY(A1062),"日","月","火","水","木","金","土"))</f>
        <v/>
      </c>
      <c r="C1062" s="27"/>
      <c r="D1062" s="27"/>
      <c r="E1062" s="14" t="str">
        <f>IF(F1062="","",IFERROR(INDEX(マスター!$F$5:$F$200,MATCH(F1062,マスター!$E$5:$E$200,0)),"※マスター未登録"))</f>
        <v/>
      </c>
      <c r="F1062" s="27"/>
      <c r="G1062" s="27"/>
      <c r="H1062" s="27"/>
      <c r="I1062" s="27"/>
      <c r="J1062" s="27"/>
      <c r="K1062" s="27"/>
    </row>
    <row r="1063" spans="1:11" x14ac:dyDescent="0.2">
      <c r="A1063" s="26"/>
      <c r="B1063" s="14" t="str">
        <f>IF(A1063="","",CHOOSE(WEEKDAY(A1063),"日","月","火","水","木","金","土"))</f>
        <v/>
      </c>
      <c r="C1063" s="27"/>
      <c r="D1063" s="27"/>
      <c r="E1063" s="14" t="str">
        <f>IF(F1063="","",IFERROR(INDEX(マスター!$F$5:$F$200,MATCH(F1063,マスター!$E$5:$E$200,0)),"※マスター未登録"))</f>
        <v/>
      </c>
      <c r="F1063" s="27"/>
      <c r="G1063" s="27"/>
      <c r="H1063" s="27"/>
      <c r="I1063" s="27"/>
      <c r="J1063" s="27"/>
      <c r="K1063" s="27"/>
    </row>
    <row r="1064" spans="1:11" x14ac:dyDescent="0.2">
      <c r="A1064" s="26"/>
      <c r="B1064" s="14" t="str">
        <f>IF(A1064="","",CHOOSE(WEEKDAY(A1064),"日","月","火","水","木","金","土"))</f>
        <v/>
      </c>
      <c r="C1064" s="27"/>
      <c r="D1064" s="27"/>
      <c r="E1064" s="14" t="str">
        <f>IF(F1064="","",IFERROR(INDEX(マスター!$F$5:$F$200,MATCH(F1064,マスター!$E$5:$E$200,0)),"※マスター未登録"))</f>
        <v/>
      </c>
      <c r="F1064" s="27"/>
      <c r="G1064" s="27"/>
      <c r="H1064" s="27"/>
      <c r="I1064" s="27"/>
      <c r="J1064" s="27"/>
      <c r="K1064" s="27"/>
    </row>
    <row r="1065" spans="1:11" x14ac:dyDescent="0.2">
      <c r="A1065" s="26"/>
      <c r="B1065" s="14" t="str">
        <f>IF(A1065="","",CHOOSE(WEEKDAY(A1065),"日","月","火","水","木","金","土"))</f>
        <v/>
      </c>
      <c r="C1065" s="27"/>
      <c r="D1065" s="27"/>
      <c r="E1065" s="14" t="str">
        <f>IF(F1065="","",IFERROR(INDEX(マスター!$F$5:$F$200,MATCH(F1065,マスター!$E$5:$E$200,0)),"※マスター未登録"))</f>
        <v/>
      </c>
      <c r="F1065" s="27"/>
      <c r="G1065" s="27"/>
      <c r="H1065" s="27"/>
      <c r="I1065" s="27"/>
      <c r="J1065" s="27"/>
      <c r="K1065" s="27"/>
    </row>
    <row r="1066" spans="1:11" x14ac:dyDescent="0.2">
      <c r="A1066" s="26"/>
      <c r="B1066" s="14" t="str">
        <f>IF(A1066="","",CHOOSE(WEEKDAY(A1066),"日","月","火","水","木","金","土"))</f>
        <v/>
      </c>
      <c r="C1066" s="27"/>
      <c r="D1066" s="27"/>
      <c r="E1066" s="14" t="str">
        <f>IF(F1066="","",IFERROR(INDEX(マスター!$F$5:$F$200,MATCH(F1066,マスター!$E$5:$E$200,0)),"※マスター未登録"))</f>
        <v/>
      </c>
      <c r="F1066" s="27"/>
      <c r="G1066" s="27"/>
      <c r="H1066" s="27"/>
      <c r="I1066" s="27"/>
      <c r="J1066" s="27"/>
      <c r="K1066" s="27"/>
    </row>
    <row r="1067" spans="1:11" x14ac:dyDescent="0.2">
      <c r="A1067" s="26"/>
      <c r="B1067" s="14" t="str">
        <f>IF(A1067="","",CHOOSE(WEEKDAY(A1067),"日","月","火","水","木","金","土"))</f>
        <v/>
      </c>
      <c r="C1067" s="27"/>
      <c r="D1067" s="27"/>
      <c r="E1067" s="14" t="str">
        <f>IF(F1067="","",IFERROR(INDEX(マスター!$F$5:$F$200,MATCH(F1067,マスター!$E$5:$E$200,0)),"※マスター未登録"))</f>
        <v/>
      </c>
      <c r="F1067" s="27"/>
      <c r="G1067" s="27"/>
      <c r="H1067" s="27"/>
      <c r="I1067" s="27"/>
      <c r="J1067" s="27"/>
      <c r="K1067" s="27"/>
    </row>
    <row r="1068" spans="1:11" x14ac:dyDescent="0.2">
      <c r="A1068" s="26"/>
      <c r="B1068" s="14" t="str">
        <f>IF(A1068="","",CHOOSE(WEEKDAY(A1068),"日","月","火","水","木","金","土"))</f>
        <v/>
      </c>
      <c r="C1068" s="27"/>
      <c r="D1068" s="27"/>
      <c r="E1068" s="14" t="str">
        <f>IF(F1068="","",IFERROR(INDEX(マスター!$F$5:$F$200,MATCH(F1068,マスター!$E$5:$E$200,0)),"※マスター未登録"))</f>
        <v/>
      </c>
      <c r="F1068" s="27"/>
      <c r="G1068" s="27"/>
      <c r="H1068" s="27"/>
      <c r="I1068" s="27"/>
      <c r="J1068" s="27"/>
      <c r="K1068" s="27"/>
    </row>
    <row r="1069" spans="1:11" x14ac:dyDescent="0.2">
      <c r="A1069" s="26"/>
      <c r="B1069" s="14" t="str">
        <f>IF(A1069="","",CHOOSE(WEEKDAY(A1069),"日","月","火","水","木","金","土"))</f>
        <v/>
      </c>
      <c r="C1069" s="27"/>
      <c r="D1069" s="27"/>
      <c r="E1069" s="14" t="str">
        <f>IF(F1069="","",IFERROR(INDEX(マスター!$F$5:$F$200,MATCH(F1069,マスター!$E$5:$E$200,0)),"※マスター未登録"))</f>
        <v/>
      </c>
      <c r="F1069" s="27"/>
      <c r="G1069" s="27"/>
      <c r="H1069" s="27"/>
      <c r="I1069" s="27"/>
      <c r="J1069" s="27"/>
      <c r="K1069" s="27"/>
    </row>
    <row r="1070" spans="1:11" x14ac:dyDescent="0.2">
      <c r="A1070" s="26"/>
      <c r="B1070" s="14" t="str">
        <f>IF(A1070="","",CHOOSE(WEEKDAY(A1070),"日","月","火","水","木","金","土"))</f>
        <v/>
      </c>
      <c r="C1070" s="27"/>
      <c r="D1070" s="27"/>
      <c r="E1070" s="14" t="str">
        <f>IF(F1070="","",IFERROR(INDEX(マスター!$F$5:$F$200,MATCH(F1070,マスター!$E$5:$E$200,0)),"※マスター未登録"))</f>
        <v/>
      </c>
      <c r="F1070" s="27"/>
      <c r="G1070" s="27"/>
      <c r="H1070" s="27"/>
      <c r="I1070" s="27"/>
      <c r="J1070" s="27"/>
      <c r="K1070" s="27"/>
    </row>
    <row r="1071" spans="1:11" x14ac:dyDescent="0.2">
      <c r="A1071" s="26"/>
      <c r="B1071" s="14" t="str">
        <f>IF(A1071="","",CHOOSE(WEEKDAY(A1071),"日","月","火","水","木","金","土"))</f>
        <v/>
      </c>
      <c r="C1071" s="27"/>
      <c r="D1071" s="27"/>
      <c r="E1071" s="14" t="str">
        <f>IF(F1071="","",IFERROR(INDEX(マスター!$F$5:$F$200,MATCH(F1071,マスター!$E$5:$E$200,0)),"※マスター未登録"))</f>
        <v/>
      </c>
      <c r="F1071" s="27"/>
      <c r="G1071" s="27"/>
      <c r="H1071" s="27"/>
      <c r="I1071" s="27"/>
      <c r="J1071" s="27"/>
      <c r="K1071" s="27"/>
    </row>
    <row r="1072" spans="1:11" x14ac:dyDescent="0.2">
      <c r="A1072" s="26"/>
      <c r="B1072" s="14" t="str">
        <f>IF(A1072="","",CHOOSE(WEEKDAY(A1072),"日","月","火","水","木","金","土"))</f>
        <v/>
      </c>
      <c r="C1072" s="27"/>
      <c r="D1072" s="27"/>
      <c r="E1072" s="14" t="str">
        <f>IF(F1072="","",IFERROR(INDEX(マスター!$F$5:$F$200,MATCH(F1072,マスター!$E$5:$E$200,0)),"※マスター未登録"))</f>
        <v/>
      </c>
      <c r="F1072" s="27"/>
      <c r="G1072" s="27"/>
      <c r="H1072" s="27"/>
      <c r="I1072" s="27"/>
      <c r="J1072" s="27"/>
      <c r="K1072" s="27"/>
    </row>
    <row r="1073" spans="1:11" x14ac:dyDescent="0.2">
      <c r="A1073" s="26"/>
      <c r="B1073" s="14" t="str">
        <f>IF(A1073="","",CHOOSE(WEEKDAY(A1073),"日","月","火","水","木","金","土"))</f>
        <v/>
      </c>
      <c r="C1073" s="27"/>
      <c r="D1073" s="27"/>
      <c r="E1073" s="14" t="str">
        <f>IF(F1073="","",IFERROR(INDEX(マスター!$F$5:$F$200,MATCH(F1073,マスター!$E$5:$E$200,0)),"※マスター未登録"))</f>
        <v/>
      </c>
      <c r="F1073" s="27"/>
      <c r="G1073" s="27"/>
      <c r="H1073" s="27"/>
      <c r="I1073" s="27"/>
      <c r="J1073" s="27"/>
      <c r="K1073" s="27"/>
    </row>
    <row r="1074" spans="1:11" x14ac:dyDescent="0.2">
      <c r="A1074" s="26"/>
      <c r="B1074" s="14" t="str">
        <f>IF(A1074="","",CHOOSE(WEEKDAY(A1074),"日","月","火","水","木","金","土"))</f>
        <v/>
      </c>
      <c r="C1074" s="27"/>
      <c r="D1074" s="27"/>
      <c r="E1074" s="14" t="str">
        <f>IF(F1074="","",IFERROR(INDEX(マスター!$F$5:$F$200,MATCH(F1074,マスター!$E$5:$E$200,0)),"※マスター未登録"))</f>
        <v/>
      </c>
      <c r="F1074" s="27"/>
      <c r="G1074" s="27"/>
      <c r="H1074" s="27"/>
      <c r="I1074" s="27"/>
      <c r="J1074" s="27"/>
      <c r="K1074" s="27"/>
    </row>
    <row r="1075" spans="1:11" x14ac:dyDescent="0.2">
      <c r="A1075" s="26"/>
      <c r="B1075" s="14" t="str">
        <f>IF(A1075="","",CHOOSE(WEEKDAY(A1075),"日","月","火","水","木","金","土"))</f>
        <v/>
      </c>
      <c r="C1075" s="27"/>
      <c r="D1075" s="27"/>
      <c r="E1075" s="14" t="str">
        <f>IF(F1075="","",IFERROR(INDEX(マスター!$F$5:$F$200,MATCH(F1075,マスター!$E$5:$E$200,0)),"※マスター未登録"))</f>
        <v/>
      </c>
      <c r="F1075" s="27"/>
      <c r="G1075" s="27"/>
      <c r="H1075" s="27"/>
      <c r="I1075" s="27"/>
      <c r="J1075" s="27"/>
      <c r="K1075" s="27"/>
    </row>
    <row r="1076" spans="1:11" x14ac:dyDescent="0.2">
      <c r="A1076" s="26"/>
      <c r="B1076" s="14" t="str">
        <f>IF(A1076="","",CHOOSE(WEEKDAY(A1076),"日","月","火","水","木","金","土"))</f>
        <v/>
      </c>
      <c r="C1076" s="27"/>
      <c r="D1076" s="27"/>
      <c r="E1076" s="14" t="str">
        <f>IF(F1076="","",IFERROR(INDEX(マスター!$F$5:$F$200,MATCH(F1076,マスター!$E$5:$E$200,0)),"※マスター未登録"))</f>
        <v/>
      </c>
      <c r="F1076" s="27"/>
      <c r="G1076" s="27"/>
      <c r="H1076" s="27"/>
      <c r="I1076" s="27"/>
      <c r="J1076" s="27"/>
      <c r="K1076" s="27"/>
    </row>
    <row r="1077" spans="1:11" x14ac:dyDescent="0.2">
      <c r="A1077" s="26"/>
      <c r="B1077" s="14" t="str">
        <f>IF(A1077="","",CHOOSE(WEEKDAY(A1077),"日","月","火","水","木","金","土"))</f>
        <v/>
      </c>
      <c r="C1077" s="27"/>
      <c r="D1077" s="27"/>
      <c r="E1077" s="14" t="str">
        <f>IF(F1077="","",IFERROR(INDEX(マスター!$F$5:$F$200,MATCH(F1077,マスター!$E$5:$E$200,0)),"※マスター未登録"))</f>
        <v/>
      </c>
      <c r="F1077" s="27"/>
      <c r="G1077" s="27"/>
      <c r="H1077" s="27"/>
      <c r="I1077" s="27"/>
      <c r="J1077" s="27"/>
      <c r="K1077" s="27"/>
    </row>
    <row r="1078" spans="1:11" x14ac:dyDescent="0.2">
      <c r="A1078" s="26"/>
      <c r="B1078" s="14" t="str">
        <f>IF(A1078="","",CHOOSE(WEEKDAY(A1078),"日","月","火","水","木","金","土"))</f>
        <v/>
      </c>
      <c r="C1078" s="27"/>
      <c r="D1078" s="27"/>
      <c r="E1078" s="14" t="str">
        <f>IF(F1078="","",IFERROR(INDEX(マスター!$F$5:$F$200,MATCH(F1078,マスター!$E$5:$E$200,0)),"※マスター未登録"))</f>
        <v/>
      </c>
      <c r="F1078" s="27"/>
      <c r="G1078" s="27"/>
      <c r="H1078" s="27"/>
      <c r="I1078" s="27"/>
      <c r="J1078" s="27"/>
      <c r="K1078" s="27"/>
    </row>
    <row r="1079" spans="1:11" x14ac:dyDescent="0.2">
      <c r="A1079" s="26"/>
      <c r="B1079" s="14" t="str">
        <f>IF(A1079="","",CHOOSE(WEEKDAY(A1079),"日","月","火","水","木","金","土"))</f>
        <v/>
      </c>
      <c r="C1079" s="27"/>
      <c r="D1079" s="27"/>
      <c r="E1079" s="14" t="str">
        <f>IF(F1079="","",IFERROR(INDEX(マスター!$F$5:$F$200,MATCH(F1079,マスター!$E$5:$E$200,0)),"※マスター未登録"))</f>
        <v/>
      </c>
      <c r="F1079" s="27"/>
      <c r="G1079" s="27"/>
      <c r="H1079" s="27"/>
      <c r="I1079" s="27"/>
      <c r="J1079" s="27"/>
      <c r="K1079" s="27"/>
    </row>
    <row r="1080" spans="1:11" x14ac:dyDescent="0.2">
      <c r="A1080" s="26"/>
      <c r="B1080" s="14" t="str">
        <f>IF(A1080="","",CHOOSE(WEEKDAY(A1080),"日","月","火","水","木","金","土"))</f>
        <v/>
      </c>
      <c r="C1080" s="27"/>
      <c r="D1080" s="27"/>
      <c r="E1080" s="14" t="str">
        <f>IF(F1080="","",IFERROR(INDEX(マスター!$F$5:$F$200,MATCH(F1080,マスター!$E$5:$E$200,0)),"※マスター未登録"))</f>
        <v/>
      </c>
      <c r="F1080" s="27"/>
      <c r="G1080" s="27"/>
      <c r="H1080" s="27"/>
      <c r="I1080" s="27"/>
      <c r="J1080" s="27"/>
      <c r="K1080" s="27"/>
    </row>
    <row r="1081" spans="1:11" x14ac:dyDescent="0.2">
      <c r="A1081" s="26"/>
      <c r="B1081" s="14" t="str">
        <f>IF(A1081="","",CHOOSE(WEEKDAY(A1081),"日","月","火","水","木","金","土"))</f>
        <v/>
      </c>
      <c r="C1081" s="27"/>
      <c r="D1081" s="27"/>
      <c r="E1081" s="14" t="str">
        <f>IF(F1081="","",IFERROR(INDEX(マスター!$F$5:$F$200,MATCH(F1081,マスター!$E$5:$E$200,0)),"※マスター未登録"))</f>
        <v/>
      </c>
      <c r="F1081" s="27"/>
      <c r="G1081" s="27"/>
      <c r="H1081" s="27"/>
      <c r="I1081" s="27"/>
      <c r="J1081" s="27"/>
      <c r="K1081" s="27"/>
    </row>
    <row r="1082" spans="1:11" x14ac:dyDescent="0.2">
      <c r="A1082" s="26"/>
      <c r="B1082" s="14" t="str">
        <f>IF(A1082="","",CHOOSE(WEEKDAY(A1082),"日","月","火","水","木","金","土"))</f>
        <v/>
      </c>
      <c r="C1082" s="27"/>
      <c r="D1082" s="27"/>
      <c r="E1082" s="14" t="str">
        <f>IF(F1082="","",IFERROR(INDEX(マスター!$F$5:$F$200,MATCH(F1082,マスター!$E$5:$E$200,0)),"※マスター未登録"))</f>
        <v/>
      </c>
      <c r="F1082" s="27"/>
      <c r="G1082" s="27"/>
      <c r="H1082" s="27"/>
      <c r="I1082" s="27"/>
      <c r="J1082" s="27"/>
      <c r="K1082" s="27"/>
    </row>
    <row r="1083" spans="1:11" x14ac:dyDescent="0.2">
      <c r="A1083" s="26"/>
      <c r="B1083" s="14" t="str">
        <f>IF(A1083="","",CHOOSE(WEEKDAY(A1083),"日","月","火","水","木","金","土"))</f>
        <v/>
      </c>
      <c r="C1083" s="27"/>
      <c r="D1083" s="27"/>
      <c r="E1083" s="14" t="str">
        <f>IF(F1083="","",IFERROR(INDEX(マスター!$F$5:$F$200,MATCH(F1083,マスター!$E$5:$E$200,0)),"※マスター未登録"))</f>
        <v/>
      </c>
      <c r="F1083" s="27"/>
      <c r="G1083" s="27"/>
      <c r="H1083" s="27"/>
      <c r="I1083" s="27"/>
      <c r="J1083" s="27"/>
      <c r="K1083" s="27"/>
    </row>
    <row r="1084" spans="1:11" x14ac:dyDescent="0.2">
      <c r="A1084" s="26"/>
      <c r="B1084" s="14" t="str">
        <f>IF(A1084="","",CHOOSE(WEEKDAY(A1084),"日","月","火","水","木","金","土"))</f>
        <v/>
      </c>
      <c r="C1084" s="27"/>
      <c r="D1084" s="27"/>
      <c r="E1084" s="14" t="str">
        <f>IF(F1084="","",IFERROR(INDEX(マスター!$F$5:$F$200,MATCH(F1084,マスター!$E$5:$E$200,0)),"※マスター未登録"))</f>
        <v/>
      </c>
      <c r="F1084" s="27"/>
      <c r="G1084" s="27"/>
      <c r="H1084" s="27"/>
      <c r="I1084" s="27"/>
      <c r="J1084" s="27"/>
      <c r="K1084" s="27"/>
    </row>
    <row r="1085" spans="1:11" x14ac:dyDescent="0.2">
      <c r="A1085" s="26"/>
      <c r="B1085" s="14" t="str">
        <f>IF(A1085="","",CHOOSE(WEEKDAY(A1085),"日","月","火","水","木","金","土"))</f>
        <v/>
      </c>
      <c r="C1085" s="27"/>
      <c r="D1085" s="27"/>
      <c r="E1085" s="14" t="str">
        <f>IF(F1085="","",IFERROR(INDEX(マスター!$F$5:$F$200,MATCH(F1085,マスター!$E$5:$E$200,0)),"※マスター未登録"))</f>
        <v/>
      </c>
      <c r="F1085" s="27"/>
      <c r="G1085" s="27"/>
      <c r="H1085" s="27"/>
      <c r="I1085" s="27"/>
      <c r="J1085" s="27"/>
      <c r="K1085" s="27"/>
    </row>
    <row r="1086" spans="1:11" x14ac:dyDescent="0.2">
      <c r="A1086" s="26"/>
      <c r="B1086" s="14" t="str">
        <f>IF(A1086="","",CHOOSE(WEEKDAY(A1086),"日","月","火","水","木","金","土"))</f>
        <v/>
      </c>
      <c r="C1086" s="27"/>
      <c r="D1086" s="27"/>
      <c r="E1086" s="14" t="str">
        <f>IF(F1086="","",IFERROR(INDEX(マスター!$F$5:$F$200,MATCH(F1086,マスター!$E$5:$E$200,0)),"※マスター未登録"))</f>
        <v/>
      </c>
      <c r="F1086" s="27"/>
      <c r="G1086" s="27"/>
      <c r="H1086" s="27"/>
      <c r="I1086" s="27"/>
      <c r="J1086" s="27"/>
      <c r="K1086" s="27"/>
    </row>
    <row r="1087" spans="1:11" x14ac:dyDescent="0.2">
      <c r="A1087" s="26"/>
      <c r="B1087" s="14" t="str">
        <f>IF(A1087="","",CHOOSE(WEEKDAY(A1087),"日","月","火","水","木","金","土"))</f>
        <v/>
      </c>
      <c r="C1087" s="27"/>
      <c r="D1087" s="27"/>
      <c r="E1087" s="14" t="str">
        <f>IF(F1087="","",IFERROR(INDEX(マスター!$F$5:$F$200,MATCH(F1087,マスター!$E$5:$E$200,0)),"※マスター未登録"))</f>
        <v/>
      </c>
      <c r="F1087" s="27"/>
      <c r="G1087" s="27"/>
      <c r="H1087" s="27"/>
      <c r="I1087" s="27"/>
      <c r="J1087" s="27"/>
      <c r="K1087" s="27"/>
    </row>
    <row r="1088" spans="1:11" x14ac:dyDescent="0.2">
      <c r="A1088" s="26"/>
      <c r="B1088" s="14" t="str">
        <f>IF(A1088="","",CHOOSE(WEEKDAY(A1088),"日","月","火","水","木","金","土"))</f>
        <v/>
      </c>
      <c r="C1088" s="27"/>
      <c r="D1088" s="27"/>
      <c r="E1088" s="14" t="str">
        <f>IF(F1088="","",IFERROR(INDEX(マスター!$F$5:$F$200,MATCH(F1088,マスター!$E$5:$E$200,0)),"※マスター未登録"))</f>
        <v/>
      </c>
      <c r="F1088" s="27"/>
      <c r="G1088" s="27"/>
      <c r="H1088" s="27"/>
      <c r="I1088" s="27"/>
      <c r="J1088" s="27"/>
      <c r="K1088" s="27"/>
    </row>
    <row r="1089" spans="1:11" x14ac:dyDescent="0.2">
      <c r="A1089" s="26"/>
      <c r="B1089" s="14" t="str">
        <f>IF(A1089="","",CHOOSE(WEEKDAY(A1089),"日","月","火","水","木","金","土"))</f>
        <v/>
      </c>
      <c r="C1089" s="27"/>
      <c r="D1089" s="27"/>
      <c r="E1089" s="14" t="str">
        <f>IF(F1089="","",IFERROR(INDEX(マスター!$F$5:$F$200,MATCH(F1089,マスター!$E$5:$E$200,0)),"※マスター未登録"))</f>
        <v/>
      </c>
      <c r="F1089" s="27"/>
      <c r="G1089" s="27"/>
      <c r="H1089" s="27"/>
      <c r="I1089" s="27"/>
      <c r="J1089" s="27"/>
      <c r="K1089" s="27"/>
    </row>
    <row r="1090" spans="1:11" x14ac:dyDescent="0.2">
      <c r="A1090" s="26"/>
      <c r="B1090" s="14" t="str">
        <f>IF(A1090="","",CHOOSE(WEEKDAY(A1090),"日","月","火","水","木","金","土"))</f>
        <v/>
      </c>
      <c r="C1090" s="27"/>
      <c r="D1090" s="27"/>
      <c r="E1090" s="14" t="str">
        <f>IF(F1090="","",IFERROR(INDEX(マスター!$F$5:$F$200,MATCH(F1090,マスター!$E$5:$E$200,0)),"※マスター未登録"))</f>
        <v/>
      </c>
      <c r="F1090" s="27"/>
      <c r="G1090" s="27"/>
      <c r="H1090" s="27"/>
      <c r="I1090" s="27"/>
      <c r="J1090" s="27"/>
      <c r="K1090" s="27"/>
    </row>
    <row r="1091" spans="1:11" x14ac:dyDescent="0.2">
      <c r="A1091" s="26"/>
      <c r="B1091" s="14" t="str">
        <f>IF(A1091="","",CHOOSE(WEEKDAY(A1091),"日","月","火","水","木","金","土"))</f>
        <v/>
      </c>
      <c r="C1091" s="27"/>
      <c r="D1091" s="27"/>
      <c r="E1091" s="14" t="str">
        <f>IF(F1091="","",IFERROR(INDEX(マスター!$F$5:$F$200,MATCH(F1091,マスター!$E$5:$E$200,0)),"※マスター未登録"))</f>
        <v/>
      </c>
      <c r="F1091" s="27"/>
      <c r="G1091" s="27"/>
      <c r="H1091" s="27"/>
      <c r="I1091" s="27"/>
      <c r="J1091" s="27"/>
      <c r="K1091" s="27"/>
    </row>
    <row r="1092" spans="1:11" x14ac:dyDescent="0.2">
      <c r="A1092" s="26"/>
      <c r="B1092" s="14" t="str">
        <f>IF(A1092="","",CHOOSE(WEEKDAY(A1092),"日","月","火","水","木","金","土"))</f>
        <v/>
      </c>
      <c r="C1092" s="27"/>
      <c r="D1092" s="27"/>
      <c r="E1092" s="14" t="str">
        <f>IF(F1092="","",IFERROR(INDEX(マスター!$F$5:$F$200,MATCH(F1092,マスター!$E$5:$E$200,0)),"※マスター未登録"))</f>
        <v/>
      </c>
      <c r="F1092" s="27"/>
      <c r="G1092" s="27"/>
      <c r="H1092" s="27"/>
      <c r="I1092" s="27"/>
      <c r="J1092" s="27"/>
      <c r="K1092" s="27"/>
    </row>
    <row r="1093" spans="1:11" x14ac:dyDescent="0.2">
      <c r="A1093" s="26"/>
      <c r="B1093" s="14" t="str">
        <f>IF(A1093="","",CHOOSE(WEEKDAY(A1093),"日","月","火","水","木","金","土"))</f>
        <v/>
      </c>
      <c r="C1093" s="27"/>
      <c r="D1093" s="27"/>
      <c r="E1093" s="14" t="str">
        <f>IF(F1093="","",IFERROR(INDEX(マスター!$F$5:$F$200,MATCH(F1093,マスター!$E$5:$E$200,0)),"※マスター未登録"))</f>
        <v/>
      </c>
      <c r="F1093" s="27"/>
      <c r="G1093" s="27"/>
      <c r="H1093" s="27"/>
      <c r="I1093" s="27"/>
      <c r="J1093" s="27"/>
      <c r="K1093" s="27"/>
    </row>
    <row r="1094" spans="1:11" x14ac:dyDescent="0.2">
      <c r="A1094" s="26"/>
      <c r="B1094" s="14" t="str">
        <f>IF(A1094="","",CHOOSE(WEEKDAY(A1094),"日","月","火","水","木","金","土"))</f>
        <v/>
      </c>
      <c r="C1094" s="27"/>
      <c r="D1094" s="27"/>
      <c r="E1094" s="14" t="str">
        <f>IF(F1094="","",IFERROR(INDEX(マスター!$F$5:$F$200,MATCH(F1094,マスター!$E$5:$E$200,0)),"※マスター未登録"))</f>
        <v/>
      </c>
      <c r="F1094" s="27"/>
      <c r="G1094" s="27"/>
      <c r="H1094" s="27"/>
      <c r="I1094" s="27"/>
      <c r="J1094" s="27"/>
      <c r="K1094" s="27"/>
    </row>
    <row r="1095" spans="1:11" x14ac:dyDescent="0.2">
      <c r="A1095" s="26"/>
      <c r="B1095" s="14" t="str">
        <f>IF(A1095="","",CHOOSE(WEEKDAY(A1095),"日","月","火","水","木","金","土"))</f>
        <v/>
      </c>
      <c r="C1095" s="27"/>
      <c r="D1095" s="27"/>
      <c r="E1095" s="14" t="str">
        <f>IF(F1095="","",IFERROR(INDEX(マスター!$F$5:$F$200,MATCH(F1095,マスター!$E$5:$E$200,0)),"※マスター未登録"))</f>
        <v/>
      </c>
      <c r="F1095" s="27"/>
      <c r="G1095" s="27"/>
      <c r="H1095" s="27"/>
      <c r="I1095" s="27"/>
      <c r="J1095" s="27"/>
      <c r="K1095" s="27"/>
    </row>
    <row r="1096" spans="1:11" x14ac:dyDescent="0.2">
      <c r="A1096" s="26"/>
      <c r="B1096" s="14" t="str">
        <f>IF(A1096="","",CHOOSE(WEEKDAY(A1096),"日","月","火","水","木","金","土"))</f>
        <v/>
      </c>
      <c r="C1096" s="27"/>
      <c r="D1096" s="27"/>
      <c r="E1096" s="14" t="str">
        <f>IF(F1096="","",IFERROR(INDEX(マスター!$F$5:$F$200,MATCH(F1096,マスター!$E$5:$E$200,0)),"※マスター未登録"))</f>
        <v/>
      </c>
      <c r="F1096" s="27"/>
      <c r="G1096" s="27"/>
      <c r="H1096" s="27"/>
      <c r="I1096" s="27"/>
      <c r="J1096" s="27"/>
      <c r="K1096" s="27"/>
    </row>
    <row r="1097" spans="1:11" x14ac:dyDescent="0.2">
      <c r="A1097" s="26"/>
      <c r="B1097" s="14" t="str">
        <f>IF(A1097="","",CHOOSE(WEEKDAY(A1097),"日","月","火","水","木","金","土"))</f>
        <v/>
      </c>
      <c r="C1097" s="27"/>
      <c r="D1097" s="27"/>
      <c r="E1097" s="14" t="str">
        <f>IF(F1097="","",IFERROR(INDEX(マスター!$F$5:$F$200,MATCH(F1097,マスター!$E$5:$E$200,0)),"※マスター未登録"))</f>
        <v/>
      </c>
      <c r="F1097" s="27"/>
      <c r="G1097" s="27"/>
      <c r="H1097" s="27"/>
      <c r="I1097" s="27"/>
      <c r="J1097" s="27"/>
      <c r="K1097" s="27"/>
    </row>
    <row r="1098" spans="1:11" x14ac:dyDescent="0.2">
      <c r="A1098" s="26"/>
      <c r="B1098" s="14" t="str">
        <f>IF(A1098="","",CHOOSE(WEEKDAY(A1098),"日","月","火","水","木","金","土"))</f>
        <v/>
      </c>
      <c r="C1098" s="27"/>
      <c r="D1098" s="27"/>
      <c r="E1098" s="14" t="str">
        <f>IF(F1098="","",IFERROR(INDEX(マスター!$F$5:$F$200,MATCH(F1098,マスター!$E$5:$E$200,0)),"※マスター未登録"))</f>
        <v/>
      </c>
      <c r="F1098" s="27"/>
      <c r="G1098" s="27"/>
      <c r="H1098" s="27"/>
      <c r="I1098" s="27"/>
      <c r="J1098" s="27"/>
      <c r="K1098" s="27"/>
    </row>
    <row r="1099" spans="1:11" x14ac:dyDescent="0.2">
      <c r="A1099" s="26"/>
      <c r="B1099" s="14" t="str">
        <f>IF(A1099="","",CHOOSE(WEEKDAY(A1099),"日","月","火","水","木","金","土"))</f>
        <v/>
      </c>
      <c r="C1099" s="27"/>
      <c r="D1099" s="27"/>
      <c r="E1099" s="14" t="str">
        <f>IF(F1099="","",IFERROR(INDEX(マスター!$F$5:$F$200,MATCH(F1099,マスター!$E$5:$E$200,0)),"※マスター未登録"))</f>
        <v/>
      </c>
      <c r="F1099" s="27"/>
      <c r="G1099" s="27"/>
      <c r="H1099" s="27"/>
      <c r="I1099" s="27"/>
      <c r="J1099" s="27"/>
      <c r="K1099" s="27"/>
    </row>
    <row r="1100" spans="1:11" x14ac:dyDescent="0.2">
      <c r="A1100" s="26"/>
      <c r="B1100" s="14" t="str">
        <f>IF(A1100="","",CHOOSE(WEEKDAY(A1100),"日","月","火","水","木","金","土"))</f>
        <v/>
      </c>
      <c r="C1100" s="27"/>
      <c r="D1100" s="27"/>
      <c r="E1100" s="14" t="str">
        <f>IF(F1100="","",IFERROR(INDEX(マスター!$F$5:$F$200,MATCH(F1100,マスター!$E$5:$E$200,0)),"※マスター未登録"))</f>
        <v/>
      </c>
      <c r="F1100" s="27"/>
      <c r="G1100" s="27"/>
      <c r="H1100" s="27"/>
      <c r="I1100" s="27"/>
      <c r="J1100" s="27"/>
      <c r="K1100" s="27"/>
    </row>
    <row r="1101" spans="1:11" x14ac:dyDescent="0.2">
      <c r="A1101" s="26"/>
      <c r="B1101" s="14" t="str">
        <f>IF(A1101="","",CHOOSE(WEEKDAY(A1101),"日","月","火","水","木","金","土"))</f>
        <v/>
      </c>
      <c r="C1101" s="27"/>
      <c r="D1101" s="27"/>
      <c r="E1101" s="14" t="str">
        <f>IF(F1101="","",IFERROR(INDEX(マスター!$F$5:$F$200,MATCH(F1101,マスター!$E$5:$E$200,0)),"※マスター未登録"))</f>
        <v/>
      </c>
      <c r="F1101" s="27"/>
      <c r="G1101" s="27"/>
      <c r="H1101" s="27"/>
      <c r="I1101" s="27"/>
      <c r="J1101" s="27"/>
      <c r="K1101" s="27"/>
    </row>
    <row r="1102" spans="1:11" x14ac:dyDescent="0.2">
      <c r="A1102" s="26"/>
      <c r="B1102" s="14" t="str">
        <f>IF(A1102="","",CHOOSE(WEEKDAY(A1102),"日","月","火","水","木","金","土"))</f>
        <v/>
      </c>
      <c r="C1102" s="27"/>
      <c r="D1102" s="27"/>
      <c r="E1102" s="14" t="str">
        <f>IF(F1102="","",IFERROR(INDEX(マスター!$F$5:$F$200,MATCH(F1102,マスター!$E$5:$E$200,0)),"※マスター未登録"))</f>
        <v/>
      </c>
      <c r="F1102" s="27"/>
      <c r="G1102" s="27"/>
      <c r="H1102" s="27"/>
      <c r="I1102" s="27"/>
      <c r="J1102" s="27"/>
      <c r="K1102" s="27"/>
    </row>
    <row r="1103" spans="1:11" x14ac:dyDescent="0.2">
      <c r="A1103" s="26"/>
      <c r="B1103" s="14" t="str">
        <f>IF(A1103="","",CHOOSE(WEEKDAY(A1103),"日","月","火","水","木","金","土"))</f>
        <v/>
      </c>
      <c r="C1103" s="27"/>
      <c r="D1103" s="27"/>
      <c r="E1103" s="14" t="str">
        <f>IF(F1103="","",IFERROR(INDEX(マスター!$F$5:$F$200,MATCH(F1103,マスター!$E$5:$E$200,0)),"※マスター未登録"))</f>
        <v/>
      </c>
      <c r="F1103" s="27"/>
      <c r="G1103" s="27"/>
      <c r="H1103" s="27"/>
      <c r="I1103" s="27"/>
      <c r="J1103" s="27"/>
      <c r="K1103" s="27"/>
    </row>
    <row r="1104" spans="1:11" x14ac:dyDescent="0.2">
      <c r="A1104" s="26"/>
      <c r="B1104" s="14" t="str">
        <f>IF(A1104="","",CHOOSE(WEEKDAY(A1104),"日","月","火","水","木","金","土"))</f>
        <v/>
      </c>
      <c r="C1104" s="27"/>
      <c r="D1104" s="27"/>
      <c r="E1104" s="14" t="str">
        <f>IF(F1104="","",IFERROR(INDEX(マスター!$F$5:$F$200,MATCH(F1104,マスター!$E$5:$E$200,0)),"※マスター未登録"))</f>
        <v/>
      </c>
      <c r="F1104" s="27"/>
      <c r="G1104" s="27"/>
      <c r="H1104" s="27"/>
      <c r="I1104" s="27"/>
      <c r="J1104" s="27"/>
      <c r="K1104" s="27"/>
    </row>
    <row r="1105" spans="1:11" x14ac:dyDescent="0.2">
      <c r="A1105" s="26"/>
      <c r="B1105" s="14" t="str">
        <f>IF(A1105="","",CHOOSE(WEEKDAY(A1105),"日","月","火","水","木","金","土"))</f>
        <v/>
      </c>
      <c r="C1105" s="27"/>
      <c r="D1105" s="27"/>
      <c r="E1105" s="14" t="str">
        <f>IF(F1105="","",IFERROR(INDEX(マスター!$F$5:$F$200,MATCH(F1105,マスター!$E$5:$E$200,0)),"※マスター未登録"))</f>
        <v/>
      </c>
      <c r="F1105" s="27"/>
      <c r="G1105" s="27"/>
      <c r="H1105" s="27"/>
      <c r="I1105" s="27"/>
      <c r="J1105" s="27"/>
      <c r="K1105" s="27"/>
    </row>
    <row r="1106" spans="1:11" x14ac:dyDescent="0.2">
      <c r="A1106" s="26"/>
      <c r="B1106" s="14" t="str">
        <f>IF(A1106="","",CHOOSE(WEEKDAY(A1106),"日","月","火","水","木","金","土"))</f>
        <v/>
      </c>
      <c r="C1106" s="27"/>
      <c r="D1106" s="27"/>
      <c r="E1106" s="14" t="str">
        <f>IF(F1106="","",IFERROR(INDEX(マスター!$F$5:$F$200,MATCH(F1106,マスター!$E$5:$E$200,0)),"※マスター未登録"))</f>
        <v/>
      </c>
      <c r="F1106" s="27"/>
      <c r="G1106" s="27"/>
      <c r="H1106" s="27"/>
      <c r="I1106" s="27"/>
      <c r="J1106" s="27"/>
      <c r="K1106" s="27"/>
    </row>
    <row r="1107" spans="1:11" x14ac:dyDescent="0.2">
      <c r="A1107" s="26"/>
      <c r="B1107" s="14" t="str">
        <f>IF(A1107="","",CHOOSE(WEEKDAY(A1107),"日","月","火","水","木","金","土"))</f>
        <v/>
      </c>
      <c r="C1107" s="27"/>
      <c r="D1107" s="27"/>
      <c r="E1107" s="14" t="str">
        <f>IF(F1107="","",IFERROR(INDEX(マスター!$F$5:$F$200,MATCH(F1107,マスター!$E$5:$E$200,0)),"※マスター未登録"))</f>
        <v/>
      </c>
      <c r="F1107" s="27"/>
      <c r="G1107" s="27"/>
      <c r="H1107" s="27"/>
      <c r="I1107" s="27"/>
      <c r="J1107" s="27"/>
      <c r="K1107" s="27"/>
    </row>
    <row r="1108" spans="1:11" x14ac:dyDescent="0.2">
      <c r="A1108" s="26"/>
      <c r="B1108" s="14" t="str">
        <f>IF(A1108="","",CHOOSE(WEEKDAY(A1108),"日","月","火","水","木","金","土"))</f>
        <v/>
      </c>
      <c r="C1108" s="27"/>
      <c r="D1108" s="27"/>
      <c r="E1108" s="14" t="str">
        <f>IF(F1108="","",IFERROR(INDEX(マスター!$F$5:$F$200,MATCH(F1108,マスター!$E$5:$E$200,0)),"※マスター未登録"))</f>
        <v/>
      </c>
      <c r="F1108" s="27"/>
      <c r="G1108" s="27"/>
      <c r="H1108" s="27"/>
      <c r="I1108" s="27"/>
      <c r="J1108" s="27"/>
      <c r="K1108" s="27"/>
    </row>
    <row r="1109" spans="1:11" x14ac:dyDescent="0.2">
      <c r="A1109" s="26"/>
      <c r="B1109" s="14" t="str">
        <f>IF(A1109="","",CHOOSE(WEEKDAY(A1109),"日","月","火","水","木","金","土"))</f>
        <v/>
      </c>
      <c r="C1109" s="27"/>
      <c r="D1109" s="27"/>
      <c r="E1109" s="14" t="str">
        <f>IF(F1109="","",IFERROR(INDEX(マスター!$F$5:$F$200,MATCH(F1109,マスター!$E$5:$E$200,0)),"※マスター未登録"))</f>
        <v/>
      </c>
      <c r="F1109" s="27"/>
      <c r="G1109" s="27"/>
      <c r="H1109" s="27"/>
      <c r="I1109" s="27"/>
      <c r="J1109" s="27"/>
      <c r="K1109" s="27"/>
    </row>
    <row r="1110" spans="1:11" x14ac:dyDescent="0.2">
      <c r="A1110" s="26"/>
      <c r="B1110" s="14" t="str">
        <f>IF(A1110="","",CHOOSE(WEEKDAY(A1110),"日","月","火","水","木","金","土"))</f>
        <v/>
      </c>
      <c r="C1110" s="27"/>
      <c r="D1110" s="27"/>
      <c r="E1110" s="14" t="str">
        <f>IF(F1110="","",IFERROR(INDEX(マスター!$F$5:$F$200,MATCH(F1110,マスター!$E$5:$E$200,0)),"※マスター未登録"))</f>
        <v/>
      </c>
      <c r="F1110" s="27"/>
      <c r="G1110" s="27"/>
      <c r="H1110" s="27"/>
      <c r="I1110" s="27"/>
      <c r="J1110" s="27"/>
      <c r="K1110" s="27"/>
    </row>
    <row r="1111" spans="1:11" x14ac:dyDescent="0.2">
      <c r="A1111" s="26"/>
      <c r="B1111" s="14" t="str">
        <f>IF(A1111="","",CHOOSE(WEEKDAY(A1111),"日","月","火","水","木","金","土"))</f>
        <v/>
      </c>
      <c r="C1111" s="27"/>
      <c r="D1111" s="27"/>
      <c r="E1111" s="14" t="str">
        <f>IF(F1111="","",IFERROR(INDEX(マスター!$F$5:$F$200,MATCH(F1111,マスター!$E$5:$E$200,0)),"※マスター未登録"))</f>
        <v/>
      </c>
      <c r="F1111" s="27"/>
      <c r="G1111" s="27"/>
      <c r="H1111" s="27"/>
      <c r="I1111" s="27"/>
      <c r="J1111" s="27"/>
      <c r="K1111" s="27"/>
    </row>
    <row r="1112" spans="1:11" x14ac:dyDescent="0.2">
      <c r="A1112" s="26"/>
      <c r="B1112" s="14" t="str">
        <f>IF(A1112="","",CHOOSE(WEEKDAY(A1112),"日","月","火","水","木","金","土"))</f>
        <v/>
      </c>
      <c r="C1112" s="27"/>
      <c r="D1112" s="27"/>
      <c r="E1112" s="14" t="str">
        <f>IF(F1112="","",IFERROR(INDEX(マスター!$F$5:$F$200,MATCH(F1112,マスター!$E$5:$E$200,0)),"※マスター未登録"))</f>
        <v/>
      </c>
      <c r="F1112" s="27"/>
      <c r="G1112" s="27"/>
      <c r="H1112" s="27"/>
      <c r="I1112" s="27"/>
      <c r="J1112" s="27"/>
      <c r="K1112" s="27"/>
    </row>
    <row r="1113" spans="1:11" x14ac:dyDescent="0.2">
      <c r="A1113" s="26"/>
      <c r="B1113" s="14" t="str">
        <f>IF(A1113="","",CHOOSE(WEEKDAY(A1113),"日","月","火","水","木","金","土"))</f>
        <v/>
      </c>
      <c r="C1113" s="27"/>
      <c r="D1113" s="27"/>
      <c r="E1113" s="14" t="str">
        <f>IF(F1113="","",IFERROR(INDEX(マスター!$F$5:$F$200,MATCH(F1113,マスター!$E$5:$E$200,0)),"※マスター未登録"))</f>
        <v/>
      </c>
      <c r="F1113" s="27"/>
      <c r="G1113" s="27"/>
      <c r="H1113" s="27"/>
      <c r="I1113" s="27"/>
      <c r="J1113" s="27"/>
      <c r="K1113" s="27"/>
    </row>
    <row r="1114" spans="1:11" x14ac:dyDescent="0.2">
      <c r="A1114" s="26"/>
      <c r="B1114" s="14" t="str">
        <f>IF(A1114="","",CHOOSE(WEEKDAY(A1114),"日","月","火","水","木","金","土"))</f>
        <v/>
      </c>
      <c r="C1114" s="27"/>
      <c r="D1114" s="27"/>
      <c r="E1114" s="14" t="str">
        <f>IF(F1114="","",IFERROR(INDEX(マスター!$F$5:$F$200,MATCH(F1114,マスター!$E$5:$E$200,0)),"※マスター未登録"))</f>
        <v/>
      </c>
      <c r="F1114" s="27"/>
      <c r="G1114" s="27"/>
      <c r="H1114" s="27"/>
      <c r="I1114" s="27"/>
      <c r="J1114" s="27"/>
      <c r="K1114" s="27"/>
    </row>
    <row r="1115" spans="1:11" x14ac:dyDescent="0.2">
      <c r="A1115" s="26"/>
      <c r="B1115" s="14" t="str">
        <f>IF(A1115="","",CHOOSE(WEEKDAY(A1115),"日","月","火","水","木","金","土"))</f>
        <v/>
      </c>
      <c r="C1115" s="27"/>
      <c r="D1115" s="27"/>
      <c r="E1115" s="14" t="str">
        <f>IF(F1115="","",IFERROR(INDEX(マスター!$F$5:$F$200,MATCH(F1115,マスター!$E$5:$E$200,0)),"※マスター未登録"))</f>
        <v/>
      </c>
      <c r="F1115" s="27"/>
      <c r="G1115" s="27"/>
      <c r="H1115" s="27"/>
      <c r="I1115" s="27"/>
      <c r="J1115" s="27"/>
      <c r="K1115" s="27"/>
    </row>
    <row r="1116" spans="1:11" x14ac:dyDescent="0.2">
      <c r="A1116" s="26"/>
      <c r="B1116" s="14" t="str">
        <f>IF(A1116="","",CHOOSE(WEEKDAY(A1116),"日","月","火","水","木","金","土"))</f>
        <v/>
      </c>
      <c r="C1116" s="27"/>
      <c r="D1116" s="27"/>
      <c r="E1116" s="14" t="str">
        <f>IF(F1116="","",IFERROR(INDEX(マスター!$F$5:$F$200,MATCH(F1116,マスター!$E$5:$E$200,0)),"※マスター未登録"))</f>
        <v/>
      </c>
      <c r="F1116" s="27"/>
      <c r="G1116" s="27"/>
      <c r="H1116" s="27"/>
      <c r="I1116" s="27"/>
      <c r="J1116" s="27"/>
      <c r="K1116" s="27"/>
    </row>
    <row r="1117" spans="1:11" x14ac:dyDescent="0.2">
      <c r="A1117" s="26"/>
      <c r="B1117" s="14" t="str">
        <f>IF(A1117="","",CHOOSE(WEEKDAY(A1117),"日","月","火","水","木","金","土"))</f>
        <v/>
      </c>
      <c r="C1117" s="27"/>
      <c r="D1117" s="27"/>
      <c r="E1117" s="14" t="str">
        <f>IF(F1117="","",IFERROR(INDEX(マスター!$F$5:$F$200,MATCH(F1117,マスター!$E$5:$E$200,0)),"※マスター未登録"))</f>
        <v/>
      </c>
      <c r="F1117" s="27"/>
      <c r="G1117" s="27"/>
      <c r="H1117" s="27"/>
      <c r="I1117" s="27"/>
      <c r="J1117" s="27"/>
      <c r="K1117" s="27"/>
    </row>
    <row r="1118" spans="1:11" x14ac:dyDescent="0.2">
      <c r="A1118" s="26"/>
      <c r="B1118" s="14" t="str">
        <f>IF(A1118="","",CHOOSE(WEEKDAY(A1118),"日","月","火","水","木","金","土"))</f>
        <v/>
      </c>
      <c r="C1118" s="27"/>
      <c r="D1118" s="27"/>
      <c r="E1118" s="14" t="str">
        <f>IF(F1118="","",IFERROR(INDEX(マスター!$F$5:$F$200,MATCH(F1118,マスター!$E$5:$E$200,0)),"※マスター未登録"))</f>
        <v/>
      </c>
      <c r="F1118" s="27"/>
      <c r="G1118" s="27"/>
      <c r="H1118" s="27"/>
      <c r="I1118" s="27"/>
      <c r="J1118" s="27"/>
      <c r="K1118" s="27"/>
    </row>
    <row r="1119" spans="1:11" x14ac:dyDescent="0.2">
      <c r="A1119" s="26"/>
      <c r="B1119" s="14" t="str">
        <f>IF(A1119="","",CHOOSE(WEEKDAY(A1119),"日","月","火","水","木","金","土"))</f>
        <v/>
      </c>
      <c r="C1119" s="27"/>
      <c r="D1119" s="27"/>
      <c r="E1119" s="14" t="str">
        <f>IF(F1119="","",IFERROR(INDEX(マスター!$F$5:$F$200,MATCH(F1119,マスター!$E$5:$E$200,0)),"※マスター未登録"))</f>
        <v/>
      </c>
      <c r="F1119" s="27"/>
      <c r="G1119" s="27"/>
      <c r="H1119" s="27"/>
      <c r="I1119" s="27"/>
      <c r="J1119" s="27"/>
      <c r="K1119" s="27"/>
    </row>
    <row r="1120" spans="1:11" x14ac:dyDescent="0.2">
      <c r="A1120" s="26"/>
      <c r="B1120" s="14" t="str">
        <f>IF(A1120="","",CHOOSE(WEEKDAY(A1120),"日","月","火","水","木","金","土"))</f>
        <v/>
      </c>
      <c r="C1120" s="27"/>
      <c r="D1120" s="27"/>
      <c r="E1120" s="14" t="str">
        <f>IF(F1120="","",IFERROR(INDEX(マスター!$F$5:$F$200,MATCH(F1120,マスター!$E$5:$E$200,0)),"※マスター未登録"))</f>
        <v/>
      </c>
      <c r="F1120" s="27"/>
      <c r="G1120" s="27"/>
      <c r="H1120" s="27"/>
      <c r="I1120" s="27"/>
      <c r="J1120" s="27"/>
      <c r="K1120" s="27"/>
    </row>
    <row r="1121" spans="1:11" x14ac:dyDescent="0.2">
      <c r="A1121" s="26"/>
      <c r="B1121" s="14" t="str">
        <f>IF(A1121="","",CHOOSE(WEEKDAY(A1121),"日","月","火","水","木","金","土"))</f>
        <v/>
      </c>
      <c r="C1121" s="27"/>
      <c r="D1121" s="27"/>
      <c r="E1121" s="14" t="str">
        <f>IF(F1121="","",IFERROR(INDEX(マスター!$F$5:$F$200,MATCH(F1121,マスター!$E$5:$E$200,0)),"※マスター未登録"))</f>
        <v/>
      </c>
      <c r="F1121" s="27"/>
      <c r="G1121" s="27"/>
      <c r="H1121" s="27"/>
      <c r="I1121" s="27"/>
      <c r="J1121" s="27"/>
      <c r="K1121" s="27"/>
    </row>
    <row r="1122" spans="1:11" x14ac:dyDescent="0.2">
      <c r="A1122" s="26"/>
      <c r="B1122" s="14" t="str">
        <f>IF(A1122="","",CHOOSE(WEEKDAY(A1122),"日","月","火","水","木","金","土"))</f>
        <v/>
      </c>
      <c r="C1122" s="27"/>
      <c r="D1122" s="27"/>
      <c r="E1122" s="14" t="str">
        <f>IF(F1122="","",IFERROR(INDEX(マスター!$F$5:$F$200,MATCH(F1122,マスター!$E$5:$E$200,0)),"※マスター未登録"))</f>
        <v/>
      </c>
      <c r="F1122" s="27"/>
      <c r="G1122" s="27"/>
      <c r="H1122" s="27"/>
      <c r="I1122" s="27"/>
      <c r="J1122" s="27"/>
      <c r="K1122" s="27"/>
    </row>
    <row r="1123" spans="1:11" x14ac:dyDescent="0.2">
      <c r="A1123" s="26"/>
      <c r="B1123" s="14" t="str">
        <f>IF(A1123="","",CHOOSE(WEEKDAY(A1123),"日","月","火","水","木","金","土"))</f>
        <v/>
      </c>
      <c r="C1123" s="27"/>
      <c r="D1123" s="27"/>
      <c r="E1123" s="14" t="str">
        <f>IF(F1123="","",IFERROR(INDEX(マスター!$F$5:$F$200,MATCH(F1123,マスター!$E$5:$E$200,0)),"※マスター未登録"))</f>
        <v/>
      </c>
      <c r="F1123" s="27"/>
      <c r="G1123" s="27"/>
      <c r="H1123" s="27"/>
      <c r="I1123" s="27"/>
      <c r="J1123" s="27"/>
      <c r="K1123" s="27"/>
    </row>
    <row r="1124" spans="1:11" x14ac:dyDescent="0.2">
      <c r="A1124" s="26"/>
      <c r="B1124" s="14" t="str">
        <f>IF(A1124="","",CHOOSE(WEEKDAY(A1124),"日","月","火","水","木","金","土"))</f>
        <v/>
      </c>
      <c r="C1124" s="27"/>
      <c r="D1124" s="27"/>
      <c r="E1124" s="14" t="str">
        <f>IF(F1124="","",IFERROR(INDEX(マスター!$F$5:$F$200,MATCH(F1124,マスター!$E$5:$E$200,0)),"※マスター未登録"))</f>
        <v/>
      </c>
      <c r="F1124" s="27"/>
      <c r="G1124" s="27"/>
      <c r="H1124" s="27"/>
      <c r="I1124" s="27"/>
      <c r="J1124" s="27"/>
      <c r="K1124" s="27"/>
    </row>
    <row r="1125" spans="1:11" x14ac:dyDescent="0.2">
      <c r="A1125" s="26"/>
      <c r="B1125" s="14" t="str">
        <f>IF(A1125="","",CHOOSE(WEEKDAY(A1125),"日","月","火","水","木","金","土"))</f>
        <v/>
      </c>
      <c r="C1125" s="27"/>
      <c r="D1125" s="27"/>
      <c r="E1125" s="14" t="str">
        <f>IF(F1125="","",IFERROR(INDEX(マスター!$F$5:$F$200,MATCH(F1125,マスター!$E$5:$E$200,0)),"※マスター未登録"))</f>
        <v/>
      </c>
      <c r="F1125" s="27"/>
      <c r="G1125" s="27"/>
      <c r="H1125" s="27"/>
      <c r="I1125" s="27"/>
      <c r="J1125" s="27"/>
      <c r="K1125" s="27"/>
    </row>
    <row r="1126" spans="1:11" x14ac:dyDescent="0.2">
      <c r="A1126" s="26"/>
      <c r="B1126" s="14" t="str">
        <f>IF(A1126="","",CHOOSE(WEEKDAY(A1126),"日","月","火","水","木","金","土"))</f>
        <v/>
      </c>
      <c r="C1126" s="27"/>
      <c r="D1126" s="27"/>
      <c r="E1126" s="14" t="str">
        <f>IF(F1126="","",IFERROR(INDEX(マスター!$F$5:$F$200,MATCH(F1126,マスター!$E$5:$E$200,0)),"※マスター未登録"))</f>
        <v/>
      </c>
      <c r="F1126" s="27"/>
      <c r="G1126" s="27"/>
      <c r="H1126" s="27"/>
      <c r="I1126" s="27"/>
      <c r="J1126" s="27"/>
      <c r="K1126" s="27"/>
    </row>
    <row r="1127" spans="1:11" x14ac:dyDescent="0.2">
      <c r="A1127" s="26"/>
      <c r="B1127" s="14" t="str">
        <f>IF(A1127="","",CHOOSE(WEEKDAY(A1127),"日","月","火","水","木","金","土"))</f>
        <v/>
      </c>
      <c r="C1127" s="27"/>
      <c r="D1127" s="27"/>
      <c r="E1127" s="14" t="str">
        <f>IF(F1127="","",IFERROR(INDEX(マスター!$F$5:$F$200,MATCH(F1127,マスター!$E$5:$E$200,0)),"※マスター未登録"))</f>
        <v/>
      </c>
      <c r="F1127" s="27"/>
      <c r="G1127" s="27"/>
      <c r="H1127" s="27"/>
      <c r="I1127" s="27"/>
      <c r="J1127" s="27"/>
      <c r="K1127" s="27"/>
    </row>
    <row r="1128" spans="1:11" x14ac:dyDescent="0.2">
      <c r="A1128" s="26"/>
      <c r="B1128" s="14" t="str">
        <f>IF(A1128="","",CHOOSE(WEEKDAY(A1128),"日","月","火","水","木","金","土"))</f>
        <v/>
      </c>
      <c r="C1128" s="27"/>
      <c r="D1128" s="27"/>
      <c r="E1128" s="14" t="str">
        <f>IF(F1128="","",IFERROR(INDEX(マスター!$F$5:$F$200,MATCH(F1128,マスター!$E$5:$E$200,0)),"※マスター未登録"))</f>
        <v/>
      </c>
      <c r="F1128" s="27"/>
      <c r="G1128" s="27"/>
      <c r="H1128" s="27"/>
      <c r="I1128" s="27"/>
      <c r="J1128" s="27"/>
      <c r="K1128" s="27"/>
    </row>
    <row r="1129" spans="1:11" x14ac:dyDescent="0.2">
      <c r="A1129" s="26"/>
      <c r="B1129" s="14" t="str">
        <f>IF(A1129="","",CHOOSE(WEEKDAY(A1129),"日","月","火","水","木","金","土"))</f>
        <v/>
      </c>
      <c r="C1129" s="27"/>
      <c r="D1129" s="27"/>
      <c r="E1129" s="14" t="str">
        <f>IF(F1129="","",IFERROR(INDEX(マスター!$F$5:$F$200,MATCH(F1129,マスター!$E$5:$E$200,0)),"※マスター未登録"))</f>
        <v/>
      </c>
      <c r="F1129" s="27"/>
      <c r="G1129" s="27"/>
      <c r="H1129" s="27"/>
      <c r="I1129" s="27"/>
      <c r="J1129" s="27"/>
      <c r="K1129" s="27"/>
    </row>
    <row r="1130" spans="1:11" x14ac:dyDescent="0.2">
      <c r="A1130" s="26"/>
      <c r="B1130" s="14" t="str">
        <f>IF(A1130="","",CHOOSE(WEEKDAY(A1130),"日","月","火","水","木","金","土"))</f>
        <v/>
      </c>
      <c r="C1130" s="27"/>
      <c r="D1130" s="27"/>
      <c r="E1130" s="14" t="str">
        <f>IF(F1130="","",IFERROR(INDEX(マスター!$F$5:$F$200,MATCH(F1130,マスター!$E$5:$E$200,0)),"※マスター未登録"))</f>
        <v/>
      </c>
      <c r="F1130" s="27"/>
      <c r="G1130" s="27"/>
      <c r="H1130" s="27"/>
      <c r="I1130" s="27"/>
      <c r="J1130" s="27"/>
      <c r="K1130" s="27"/>
    </row>
    <row r="1131" spans="1:11" x14ac:dyDescent="0.2">
      <c r="A1131" s="26"/>
      <c r="B1131" s="14" t="str">
        <f>IF(A1131="","",CHOOSE(WEEKDAY(A1131),"日","月","火","水","木","金","土"))</f>
        <v/>
      </c>
      <c r="C1131" s="27"/>
      <c r="D1131" s="27"/>
      <c r="E1131" s="14" t="str">
        <f>IF(F1131="","",IFERROR(INDEX(マスター!$F$5:$F$200,MATCH(F1131,マスター!$E$5:$E$200,0)),"※マスター未登録"))</f>
        <v/>
      </c>
      <c r="F1131" s="27"/>
      <c r="G1131" s="27"/>
      <c r="H1131" s="27"/>
      <c r="I1131" s="27"/>
      <c r="J1131" s="27"/>
      <c r="K1131" s="27"/>
    </row>
    <row r="1132" spans="1:11" x14ac:dyDescent="0.2">
      <c r="A1132" s="26"/>
      <c r="B1132" s="14" t="str">
        <f>IF(A1132="","",CHOOSE(WEEKDAY(A1132),"日","月","火","水","木","金","土"))</f>
        <v/>
      </c>
      <c r="C1132" s="27"/>
      <c r="D1132" s="27"/>
      <c r="E1132" s="14" t="str">
        <f>IF(F1132="","",IFERROR(INDEX(マスター!$F$5:$F$200,MATCH(F1132,マスター!$E$5:$E$200,0)),"※マスター未登録"))</f>
        <v/>
      </c>
      <c r="F1132" s="27"/>
      <c r="G1132" s="27"/>
      <c r="H1132" s="27"/>
      <c r="I1132" s="27"/>
      <c r="J1132" s="27"/>
      <c r="K1132" s="27"/>
    </row>
    <row r="1133" spans="1:11" x14ac:dyDescent="0.2">
      <c r="A1133" s="26"/>
      <c r="B1133" s="14" t="str">
        <f>IF(A1133="","",CHOOSE(WEEKDAY(A1133),"日","月","火","水","木","金","土"))</f>
        <v/>
      </c>
      <c r="C1133" s="27"/>
      <c r="D1133" s="27"/>
      <c r="E1133" s="14" t="str">
        <f>IF(F1133="","",IFERROR(INDEX(マスター!$F$5:$F$200,MATCH(F1133,マスター!$E$5:$E$200,0)),"※マスター未登録"))</f>
        <v/>
      </c>
      <c r="F1133" s="27"/>
      <c r="G1133" s="27"/>
      <c r="H1133" s="27"/>
      <c r="I1133" s="27"/>
      <c r="J1133" s="27"/>
      <c r="K1133" s="27"/>
    </row>
    <row r="1134" spans="1:11" x14ac:dyDescent="0.2">
      <c r="A1134" s="26"/>
      <c r="B1134" s="14" t="str">
        <f>IF(A1134="","",CHOOSE(WEEKDAY(A1134),"日","月","火","水","木","金","土"))</f>
        <v/>
      </c>
      <c r="C1134" s="27"/>
      <c r="D1134" s="27"/>
      <c r="E1134" s="14" t="str">
        <f>IF(F1134="","",IFERROR(INDEX(マスター!$F$5:$F$200,MATCH(F1134,マスター!$E$5:$E$200,0)),"※マスター未登録"))</f>
        <v/>
      </c>
      <c r="F1134" s="27"/>
      <c r="G1134" s="27"/>
      <c r="H1134" s="27"/>
      <c r="I1134" s="27"/>
      <c r="J1134" s="27"/>
      <c r="K1134" s="27"/>
    </row>
    <row r="1135" spans="1:11" x14ac:dyDescent="0.2">
      <c r="A1135" s="26"/>
      <c r="B1135" s="14" t="str">
        <f>IF(A1135="","",CHOOSE(WEEKDAY(A1135),"日","月","火","水","木","金","土"))</f>
        <v/>
      </c>
      <c r="C1135" s="27"/>
      <c r="D1135" s="27"/>
      <c r="E1135" s="14" t="str">
        <f>IF(F1135="","",IFERROR(INDEX(マスター!$F$5:$F$200,MATCH(F1135,マスター!$E$5:$E$200,0)),"※マスター未登録"))</f>
        <v/>
      </c>
      <c r="F1135" s="27"/>
      <c r="G1135" s="27"/>
      <c r="H1135" s="27"/>
      <c r="I1135" s="27"/>
      <c r="J1135" s="27"/>
      <c r="K1135" s="27"/>
    </row>
    <row r="1136" spans="1:11" x14ac:dyDescent="0.2">
      <c r="A1136" s="26"/>
      <c r="B1136" s="14" t="str">
        <f>IF(A1136="","",CHOOSE(WEEKDAY(A1136),"日","月","火","水","木","金","土"))</f>
        <v/>
      </c>
      <c r="C1136" s="27"/>
      <c r="D1136" s="27"/>
      <c r="E1136" s="14" t="str">
        <f>IF(F1136="","",IFERROR(INDEX(マスター!$F$5:$F$200,MATCH(F1136,マスター!$E$5:$E$200,0)),"※マスター未登録"))</f>
        <v/>
      </c>
      <c r="F1136" s="27"/>
      <c r="G1136" s="27"/>
      <c r="H1136" s="27"/>
      <c r="I1136" s="27"/>
      <c r="J1136" s="27"/>
      <c r="K1136" s="27"/>
    </row>
    <row r="1137" spans="1:11" x14ac:dyDescent="0.2">
      <c r="A1137" s="26"/>
      <c r="B1137" s="14" t="str">
        <f>IF(A1137="","",CHOOSE(WEEKDAY(A1137),"日","月","火","水","木","金","土"))</f>
        <v/>
      </c>
      <c r="C1137" s="27"/>
      <c r="D1137" s="27"/>
      <c r="E1137" s="14" t="str">
        <f>IF(F1137="","",IFERROR(INDEX(マスター!$F$5:$F$200,MATCH(F1137,マスター!$E$5:$E$200,0)),"※マスター未登録"))</f>
        <v/>
      </c>
      <c r="F1137" s="27"/>
      <c r="G1137" s="27"/>
      <c r="H1137" s="27"/>
      <c r="I1137" s="27"/>
      <c r="J1137" s="27"/>
      <c r="K1137" s="27"/>
    </row>
    <row r="1138" spans="1:11" x14ac:dyDescent="0.2">
      <c r="A1138" s="26"/>
      <c r="B1138" s="14" t="str">
        <f>IF(A1138="","",CHOOSE(WEEKDAY(A1138),"日","月","火","水","木","金","土"))</f>
        <v/>
      </c>
      <c r="C1138" s="27"/>
      <c r="D1138" s="27"/>
      <c r="E1138" s="14" t="str">
        <f>IF(F1138="","",IFERROR(INDEX(マスター!$F$5:$F$200,MATCH(F1138,マスター!$E$5:$E$200,0)),"※マスター未登録"))</f>
        <v/>
      </c>
      <c r="F1138" s="27"/>
      <c r="G1138" s="27"/>
      <c r="H1138" s="27"/>
      <c r="I1138" s="27"/>
      <c r="J1138" s="27"/>
      <c r="K1138" s="27"/>
    </row>
    <row r="1139" spans="1:11" x14ac:dyDescent="0.2">
      <c r="A1139" s="26"/>
      <c r="B1139" s="14" t="str">
        <f>IF(A1139="","",CHOOSE(WEEKDAY(A1139),"日","月","火","水","木","金","土"))</f>
        <v/>
      </c>
      <c r="C1139" s="27"/>
      <c r="D1139" s="27"/>
      <c r="E1139" s="14" t="str">
        <f>IF(F1139="","",IFERROR(INDEX(マスター!$F$5:$F$200,MATCH(F1139,マスター!$E$5:$E$200,0)),"※マスター未登録"))</f>
        <v/>
      </c>
      <c r="F1139" s="27"/>
      <c r="G1139" s="27"/>
      <c r="H1139" s="27"/>
      <c r="I1139" s="27"/>
      <c r="J1139" s="27"/>
      <c r="K1139" s="27"/>
    </row>
    <row r="1140" spans="1:11" x14ac:dyDescent="0.2">
      <c r="A1140" s="26"/>
      <c r="B1140" s="14" t="str">
        <f>IF(A1140="","",CHOOSE(WEEKDAY(A1140),"日","月","火","水","木","金","土"))</f>
        <v/>
      </c>
      <c r="C1140" s="27"/>
      <c r="D1140" s="27"/>
      <c r="E1140" s="14" t="str">
        <f>IF(F1140="","",IFERROR(INDEX(マスター!$F$5:$F$200,MATCH(F1140,マスター!$E$5:$E$200,0)),"※マスター未登録"))</f>
        <v/>
      </c>
      <c r="F1140" s="27"/>
      <c r="G1140" s="27"/>
      <c r="H1140" s="27"/>
      <c r="I1140" s="27"/>
      <c r="J1140" s="27"/>
      <c r="K1140" s="27"/>
    </row>
    <row r="1141" spans="1:11" x14ac:dyDescent="0.2">
      <c r="A1141" s="26"/>
      <c r="B1141" s="14" t="str">
        <f>IF(A1141="","",CHOOSE(WEEKDAY(A1141),"日","月","火","水","木","金","土"))</f>
        <v/>
      </c>
      <c r="C1141" s="27"/>
      <c r="D1141" s="27"/>
      <c r="E1141" s="14" t="str">
        <f>IF(F1141="","",IFERROR(INDEX(マスター!$F$5:$F$200,MATCH(F1141,マスター!$E$5:$E$200,0)),"※マスター未登録"))</f>
        <v/>
      </c>
      <c r="F1141" s="27"/>
      <c r="G1141" s="27"/>
      <c r="H1141" s="27"/>
      <c r="I1141" s="27"/>
      <c r="J1141" s="27"/>
      <c r="K1141" s="27"/>
    </row>
    <row r="1142" spans="1:11" x14ac:dyDescent="0.2">
      <c r="A1142" s="26"/>
      <c r="B1142" s="14" t="str">
        <f>IF(A1142="","",CHOOSE(WEEKDAY(A1142),"日","月","火","水","木","金","土"))</f>
        <v/>
      </c>
      <c r="C1142" s="27"/>
      <c r="D1142" s="27"/>
      <c r="E1142" s="14" t="str">
        <f>IF(F1142="","",IFERROR(INDEX(マスター!$F$5:$F$200,MATCH(F1142,マスター!$E$5:$E$200,0)),"※マスター未登録"))</f>
        <v/>
      </c>
      <c r="F1142" s="27"/>
      <c r="G1142" s="27"/>
      <c r="H1142" s="27"/>
      <c r="I1142" s="27"/>
      <c r="J1142" s="27"/>
      <c r="K1142" s="27"/>
    </row>
    <row r="1143" spans="1:11" x14ac:dyDescent="0.2">
      <c r="A1143" s="26"/>
      <c r="B1143" s="14" t="str">
        <f>IF(A1143="","",CHOOSE(WEEKDAY(A1143),"日","月","火","水","木","金","土"))</f>
        <v/>
      </c>
      <c r="C1143" s="27"/>
      <c r="D1143" s="27"/>
      <c r="E1143" s="14" t="str">
        <f>IF(F1143="","",IFERROR(INDEX(マスター!$F$5:$F$200,MATCH(F1143,マスター!$E$5:$E$200,0)),"※マスター未登録"))</f>
        <v/>
      </c>
      <c r="F1143" s="27"/>
      <c r="G1143" s="27"/>
      <c r="H1143" s="27"/>
      <c r="I1143" s="27"/>
      <c r="J1143" s="27"/>
      <c r="K1143" s="27"/>
    </row>
    <row r="1144" spans="1:11" x14ac:dyDescent="0.2">
      <c r="A1144" s="26"/>
      <c r="B1144" s="14" t="str">
        <f>IF(A1144="","",CHOOSE(WEEKDAY(A1144),"日","月","火","水","木","金","土"))</f>
        <v/>
      </c>
      <c r="C1144" s="27"/>
      <c r="D1144" s="27"/>
      <c r="E1144" s="14" t="str">
        <f>IF(F1144="","",IFERROR(INDEX(マスター!$F$5:$F$200,MATCH(F1144,マスター!$E$5:$E$200,0)),"※マスター未登録"))</f>
        <v/>
      </c>
      <c r="F1144" s="27"/>
      <c r="G1144" s="27"/>
      <c r="H1144" s="27"/>
      <c r="I1144" s="27"/>
      <c r="J1144" s="27"/>
      <c r="K1144" s="27"/>
    </row>
    <row r="1145" spans="1:11" x14ac:dyDescent="0.2">
      <c r="A1145" s="26"/>
      <c r="B1145" s="14" t="str">
        <f>IF(A1145="","",CHOOSE(WEEKDAY(A1145),"日","月","火","水","木","金","土"))</f>
        <v/>
      </c>
      <c r="C1145" s="27"/>
      <c r="D1145" s="27"/>
      <c r="E1145" s="14" t="str">
        <f>IF(F1145="","",IFERROR(INDEX(マスター!$F$5:$F$200,MATCH(F1145,マスター!$E$5:$E$200,0)),"※マスター未登録"))</f>
        <v/>
      </c>
      <c r="F1145" s="27"/>
      <c r="G1145" s="27"/>
      <c r="H1145" s="27"/>
      <c r="I1145" s="27"/>
      <c r="J1145" s="27"/>
      <c r="K1145" s="27"/>
    </row>
    <row r="1146" spans="1:11" x14ac:dyDescent="0.2">
      <c r="A1146" s="26"/>
      <c r="B1146" s="14" t="str">
        <f>IF(A1146="","",CHOOSE(WEEKDAY(A1146),"日","月","火","水","木","金","土"))</f>
        <v/>
      </c>
      <c r="C1146" s="27"/>
      <c r="D1146" s="27"/>
      <c r="E1146" s="14" t="str">
        <f>IF(F1146="","",IFERROR(INDEX(マスター!$F$5:$F$200,MATCH(F1146,マスター!$E$5:$E$200,0)),"※マスター未登録"))</f>
        <v/>
      </c>
      <c r="F1146" s="27"/>
      <c r="G1146" s="27"/>
      <c r="H1146" s="27"/>
      <c r="I1146" s="27"/>
      <c r="J1146" s="27"/>
      <c r="K1146" s="27"/>
    </row>
    <row r="1147" spans="1:11" x14ac:dyDescent="0.2">
      <c r="A1147" s="26"/>
      <c r="B1147" s="14" t="str">
        <f>IF(A1147="","",CHOOSE(WEEKDAY(A1147),"日","月","火","水","木","金","土"))</f>
        <v/>
      </c>
      <c r="C1147" s="27"/>
      <c r="D1147" s="27"/>
      <c r="E1147" s="14" t="str">
        <f>IF(F1147="","",IFERROR(INDEX(マスター!$F$5:$F$200,MATCH(F1147,マスター!$E$5:$E$200,0)),"※マスター未登録"))</f>
        <v/>
      </c>
      <c r="F1147" s="27"/>
      <c r="G1147" s="27"/>
      <c r="H1147" s="27"/>
      <c r="I1147" s="27"/>
      <c r="J1147" s="27"/>
      <c r="K1147" s="27"/>
    </row>
    <row r="1148" spans="1:11" x14ac:dyDescent="0.2">
      <c r="A1148" s="26"/>
      <c r="B1148" s="14" t="str">
        <f>IF(A1148="","",CHOOSE(WEEKDAY(A1148),"日","月","火","水","木","金","土"))</f>
        <v/>
      </c>
      <c r="C1148" s="27"/>
      <c r="D1148" s="27"/>
      <c r="E1148" s="14" t="str">
        <f>IF(F1148="","",IFERROR(INDEX(マスター!$F$5:$F$200,MATCH(F1148,マスター!$E$5:$E$200,0)),"※マスター未登録"))</f>
        <v/>
      </c>
      <c r="F1148" s="27"/>
      <c r="G1148" s="27"/>
      <c r="H1148" s="27"/>
      <c r="I1148" s="27"/>
      <c r="J1148" s="27"/>
      <c r="K1148" s="27"/>
    </row>
    <row r="1149" spans="1:11" x14ac:dyDescent="0.2">
      <c r="A1149" s="26"/>
      <c r="B1149" s="14" t="str">
        <f>IF(A1149="","",CHOOSE(WEEKDAY(A1149),"日","月","火","水","木","金","土"))</f>
        <v/>
      </c>
      <c r="C1149" s="27"/>
      <c r="D1149" s="27"/>
      <c r="E1149" s="14" t="str">
        <f>IF(F1149="","",IFERROR(INDEX(マスター!$F$5:$F$200,MATCH(F1149,マスター!$E$5:$E$200,0)),"※マスター未登録"))</f>
        <v/>
      </c>
      <c r="F1149" s="27"/>
      <c r="G1149" s="27"/>
      <c r="H1149" s="27"/>
      <c r="I1149" s="27"/>
      <c r="J1149" s="27"/>
      <c r="K1149" s="27"/>
    </row>
    <row r="1150" spans="1:11" x14ac:dyDescent="0.2">
      <c r="A1150" s="26"/>
      <c r="B1150" s="14" t="str">
        <f>IF(A1150="","",CHOOSE(WEEKDAY(A1150),"日","月","火","水","木","金","土"))</f>
        <v/>
      </c>
      <c r="C1150" s="27"/>
      <c r="D1150" s="27"/>
      <c r="E1150" s="14" t="str">
        <f>IF(F1150="","",IFERROR(INDEX(マスター!$F$5:$F$200,MATCH(F1150,マスター!$E$5:$E$200,0)),"※マスター未登録"))</f>
        <v/>
      </c>
      <c r="F1150" s="27"/>
      <c r="G1150" s="27"/>
      <c r="H1150" s="27"/>
      <c r="I1150" s="27"/>
      <c r="J1150" s="27"/>
      <c r="K1150" s="27"/>
    </row>
    <row r="1151" spans="1:11" x14ac:dyDescent="0.2">
      <c r="A1151" s="26"/>
      <c r="B1151" s="14" t="str">
        <f>IF(A1151="","",CHOOSE(WEEKDAY(A1151),"日","月","火","水","木","金","土"))</f>
        <v/>
      </c>
      <c r="C1151" s="27"/>
      <c r="D1151" s="27"/>
      <c r="E1151" s="14" t="str">
        <f>IF(F1151="","",IFERROR(INDEX(マスター!$F$5:$F$200,MATCH(F1151,マスター!$E$5:$E$200,0)),"※マスター未登録"))</f>
        <v/>
      </c>
      <c r="F1151" s="27"/>
      <c r="G1151" s="27"/>
      <c r="H1151" s="27"/>
      <c r="I1151" s="27"/>
      <c r="J1151" s="27"/>
      <c r="K1151" s="27"/>
    </row>
    <row r="1152" spans="1:11" x14ac:dyDescent="0.2">
      <c r="A1152" s="26"/>
      <c r="B1152" s="14" t="str">
        <f>IF(A1152="","",CHOOSE(WEEKDAY(A1152),"日","月","火","水","木","金","土"))</f>
        <v/>
      </c>
      <c r="C1152" s="27"/>
      <c r="D1152" s="27"/>
      <c r="E1152" s="14" t="str">
        <f>IF(F1152="","",IFERROR(INDEX(マスター!$F$5:$F$200,MATCH(F1152,マスター!$E$5:$E$200,0)),"※マスター未登録"))</f>
        <v/>
      </c>
      <c r="F1152" s="27"/>
      <c r="G1152" s="27"/>
      <c r="H1152" s="27"/>
      <c r="I1152" s="27"/>
      <c r="J1152" s="27"/>
      <c r="K1152" s="27"/>
    </row>
    <row r="1153" spans="1:11" x14ac:dyDescent="0.2">
      <c r="A1153" s="26"/>
      <c r="B1153" s="14" t="str">
        <f>IF(A1153="","",CHOOSE(WEEKDAY(A1153),"日","月","火","水","木","金","土"))</f>
        <v/>
      </c>
      <c r="C1153" s="27"/>
      <c r="D1153" s="27"/>
      <c r="E1153" s="14" t="str">
        <f>IF(F1153="","",IFERROR(INDEX(マスター!$F$5:$F$200,MATCH(F1153,マスター!$E$5:$E$200,0)),"※マスター未登録"))</f>
        <v/>
      </c>
      <c r="F1153" s="27"/>
      <c r="G1153" s="27"/>
      <c r="H1153" s="27"/>
      <c r="I1153" s="27"/>
      <c r="J1153" s="27"/>
      <c r="K1153" s="27"/>
    </row>
    <row r="1154" spans="1:11" x14ac:dyDescent="0.2">
      <c r="A1154" s="26"/>
      <c r="B1154" s="14" t="str">
        <f>IF(A1154="","",CHOOSE(WEEKDAY(A1154),"日","月","火","水","木","金","土"))</f>
        <v/>
      </c>
      <c r="C1154" s="27"/>
      <c r="D1154" s="27"/>
      <c r="E1154" s="14" t="str">
        <f>IF(F1154="","",IFERROR(INDEX(マスター!$F$5:$F$200,MATCH(F1154,マスター!$E$5:$E$200,0)),"※マスター未登録"))</f>
        <v/>
      </c>
      <c r="F1154" s="27"/>
      <c r="G1154" s="27"/>
      <c r="H1154" s="27"/>
      <c r="I1154" s="27"/>
      <c r="J1154" s="27"/>
      <c r="K1154" s="27"/>
    </row>
    <row r="1155" spans="1:11" x14ac:dyDescent="0.2">
      <c r="A1155" s="26"/>
      <c r="B1155" s="14" t="str">
        <f>IF(A1155="","",CHOOSE(WEEKDAY(A1155),"日","月","火","水","木","金","土"))</f>
        <v/>
      </c>
      <c r="C1155" s="27"/>
      <c r="D1155" s="27"/>
      <c r="E1155" s="14" t="str">
        <f>IF(F1155="","",IFERROR(INDEX(マスター!$F$5:$F$200,MATCH(F1155,マスター!$E$5:$E$200,0)),"※マスター未登録"))</f>
        <v/>
      </c>
      <c r="F1155" s="27"/>
      <c r="G1155" s="27"/>
      <c r="H1155" s="27"/>
      <c r="I1155" s="27"/>
      <c r="J1155" s="27"/>
      <c r="K1155" s="27"/>
    </row>
    <row r="1156" spans="1:11" x14ac:dyDescent="0.2">
      <c r="A1156" s="26"/>
      <c r="B1156" s="14" t="str">
        <f>IF(A1156="","",CHOOSE(WEEKDAY(A1156),"日","月","火","水","木","金","土"))</f>
        <v/>
      </c>
      <c r="C1156" s="27"/>
      <c r="D1156" s="27"/>
      <c r="E1156" s="14" t="str">
        <f>IF(F1156="","",IFERROR(INDEX(マスター!$F$5:$F$200,MATCH(F1156,マスター!$E$5:$E$200,0)),"※マスター未登録"))</f>
        <v/>
      </c>
      <c r="F1156" s="27"/>
      <c r="G1156" s="27"/>
      <c r="H1156" s="27"/>
      <c r="I1156" s="27"/>
      <c r="J1156" s="27"/>
      <c r="K1156" s="27"/>
    </row>
    <row r="1157" spans="1:11" x14ac:dyDescent="0.2">
      <c r="A1157" s="26"/>
      <c r="B1157" s="14" t="str">
        <f>IF(A1157="","",CHOOSE(WEEKDAY(A1157),"日","月","火","水","木","金","土"))</f>
        <v/>
      </c>
      <c r="C1157" s="27"/>
      <c r="D1157" s="27"/>
      <c r="E1157" s="14" t="str">
        <f>IF(F1157="","",IFERROR(INDEX(マスター!$F$5:$F$200,MATCH(F1157,マスター!$E$5:$E$200,0)),"※マスター未登録"))</f>
        <v/>
      </c>
      <c r="F1157" s="27"/>
      <c r="G1157" s="27"/>
      <c r="H1157" s="27"/>
      <c r="I1157" s="27"/>
      <c r="J1157" s="27"/>
      <c r="K1157" s="27"/>
    </row>
    <row r="1158" spans="1:11" x14ac:dyDescent="0.2">
      <c r="A1158" s="26"/>
      <c r="B1158" s="14" t="str">
        <f>IF(A1158="","",CHOOSE(WEEKDAY(A1158),"日","月","火","水","木","金","土"))</f>
        <v/>
      </c>
      <c r="C1158" s="27"/>
      <c r="D1158" s="27"/>
      <c r="E1158" s="14" t="str">
        <f>IF(F1158="","",IFERROR(INDEX(マスター!$F$5:$F$200,MATCH(F1158,マスター!$E$5:$E$200,0)),"※マスター未登録"))</f>
        <v/>
      </c>
      <c r="F1158" s="27"/>
      <c r="G1158" s="27"/>
      <c r="H1158" s="27"/>
      <c r="I1158" s="27"/>
      <c r="J1158" s="27"/>
      <c r="K1158" s="27"/>
    </row>
    <row r="1159" spans="1:11" x14ac:dyDescent="0.2">
      <c r="A1159" s="26"/>
      <c r="B1159" s="14" t="str">
        <f>IF(A1159="","",CHOOSE(WEEKDAY(A1159),"日","月","火","水","木","金","土"))</f>
        <v/>
      </c>
      <c r="C1159" s="27"/>
      <c r="D1159" s="27"/>
      <c r="E1159" s="14" t="str">
        <f>IF(F1159="","",IFERROR(INDEX(マスター!$F$5:$F$200,MATCH(F1159,マスター!$E$5:$E$200,0)),"※マスター未登録"))</f>
        <v/>
      </c>
      <c r="F1159" s="27"/>
      <c r="G1159" s="27"/>
      <c r="H1159" s="27"/>
      <c r="I1159" s="27"/>
      <c r="J1159" s="27"/>
      <c r="K1159" s="27"/>
    </row>
    <row r="1160" spans="1:11" x14ac:dyDescent="0.2">
      <c r="A1160" s="26"/>
      <c r="B1160" s="14" t="str">
        <f>IF(A1160="","",CHOOSE(WEEKDAY(A1160),"日","月","火","水","木","金","土"))</f>
        <v/>
      </c>
      <c r="C1160" s="27"/>
      <c r="D1160" s="27"/>
      <c r="E1160" s="14" t="str">
        <f>IF(F1160="","",IFERROR(INDEX(マスター!$F$5:$F$200,MATCH(F1160,マスター!$E$5:$E$200,0)),"※マスター未登録"))</f>
        <v/>
      </c>
      <c r="F1160" s="27"/>
      <c r="G1160" s="27"/>
      <c r="H1160" s="27"/>
      <c r="I1160" s="27"/>
      <c r="J1160" s="27"/>
      <c r="K1160" s="27"/>
    </row>
    <row r="1161" spans="1:11" x14ac:dyDescent="0.2">
      <c r="A1161" s="26"/>
      <c r="B1161" s="14" t="str">
        <f>IF(A1161="","",CHOOSE(WEEKDAY(A1161),"日","月","火","水","木","金","土"))</f>
        <v/>
      </c>
      <c r="C1161" s="27"/>
      <c r="D1161" s="27"/>
      <c r="E1161" s="14" t="str">
        <f>IF(F1161="","",IFERROR(INDEX(マスター!$F$5:$F$200,MATCH(F1161,マスター!$E$5:$E$200,0)),"※マスター未登録"))</f>
        <v/>
      </c>
      <c r="F1161" s="27"/>
      <c r="G1161" s="27"/>
      <c r="H1161" s="27"/>
      <c r="I1161" s="27"/>
      <c r="J1161" s="27"/>
      <c r="K1161" s="27"/>
    </row>
    <row r="1162" spans="1:11" x14ac:dyDescent="0.2">
      <c r="A1162" s="26"/>
      <c r="B1162" s="14" t="str">
        <f>IF(A1162="","",CHOOSE(WEEKDAY(A1162),"日","月","火","水","木","金","土"))</f>
        <v/>
      </c>
      <c r="C1162" s="27"/>
      <c r="D1162" s="27"/>
      <c r="E1162" s="14" t="str">
        <f>IF(F1162="","",IFERROR(INDEX(マスター!$F$5:$F$200,MATCH(F1162,マスター!$E$5:$E$200,0)),"※マスター未登録"))</f>
        <v/>
      </c>
      <c r="F1162" s="27"/>
      <c r="G1162" s="27"/>
      <c r="H1162" s="27"/>
      <c r="I1162" s="27"/>
      <c r="J1162" s="27"/>
      <c r="K1162" s="27"/>
    </row>
    <row r="1163" spans="1:11" x14ac:dyDescent="0.2">
      <c r="A1163" s="26"/>
      <c r="B1163" s="14" t="str">
        <f>IF(A1163="","",CHOOSE(WEEKDAY(A1163),"日","月","火","水","木","金","土"))</f>
        <v/>
      </c>
      <c r="C1163" s="27"/>
      <c r="D1163" s="27"/>
      <c r="E1163" s="14" t="str">
        <f>IF(F1163="","",IFERROR(INDEX(マスター!$F$5:$F$200,MATCH(F1163,マスター!$E$5:$E$200,0)),"※マスター未登録"))</f>
        <v/>
      </c>
      <c r="F1163" s="27"/>
      <c r="G1163" s="27"/>
      <c r="H1163" s="27"/>
      <c r="I1163" s="27"/>
      <c r="J1163" s="27"/>
      <c r="K1163" s="27"/>
    </row>
    <row r="1164" spans="1:11" x14ac:dyDescent="0.2">
      <c r="A1164" s="26"/>
      <c r="B1164" s="14" t="str">
        <f>IF(A1164="","",CHOOSE(WEEKDAY(A1164),"日","月","火","水","木","金","土"))</f>
        <v/>
      </c>
      <c r="C1164" s="27"/>
      <c r="D1164" s="27"/>
      <c r="E1164" s="14" t="str">
        <f>IF(F1164="","",IFERROR(INDEX(マスター!$F$5:$F$200,MATCH(F1164,マスター!$E$5:$E$200,0)),"※マスター未登録"))</f>
        <v/>
      </c>
      <c r="F1164" s="27"/>
      <c r="G1164" s="27"/>
      <c r="H1164" s="27"/>
      <c r="I1164" s="27"/>
      <c r="J1164" s="27"/>
      <c r="K1164" s="27"/>
    </row>
    <row r="1165" spans="1:11" x14ac:dyDescent="0.2">
      <c r="A1165" s="26"/>
      <c r="B1165" s="14" t="str">
        <f>IF(A1165="","",CHOOSE(WEEKDAY(A1165),"日","月","火","水","木","金","土"))</f>
        <v/>
      </c>
      <c r="C1165" s="27"/>
      <c r="D1165" s="27"/>
      <c r="E1165" s="14" t="str">
        <f>IF(F1165="","",IFERROR(INDEX(マスター!$F$5:$F$200,MATCH(F1165,マスター!$E$5:$E$200,0)),"※マスター未登録"))</f>
        <v/>
      </c>
      <c r="F1165" s="27"/>
      <c r="G1165" s="27"/>
      <c r="H1165" s="27"/>
      <c r="I1165" s="27"/>
      <c r="J1165" s="27"/>
      <c r="K1165" s="27"/>
    </row>
    <row r="1166" spans="1:11" x14ac:dyDescent="0.2">
      <c r="A1166" s="26"/>
      <c r="B1166" s="14" t="str">
        <f>IF(A1166="","",CHOOSE(WEEKDAY(A1166),"日","月","火","水","木","金","土"))</f>
        <v/>
      </c>
      <c r="C1166" s="27"/>
      <c r="D1166" s="27"/>
      <c r="E1166" s="14" t="str">
        <f>IF(F1166="","",IFERROR(INDEX(マスター!$F$5:$F$200,MATCH(F1166,マスター!$E$5:$E$200,0)),"※マスター未登録"))</f>
        <v/>
      </c>
      <c r="F1166" s="27"/>
      <c r="G1166" s="27"/>
      <c r="H1166" s="27"/>
      <c r="I1166" s="27"/>
      <c r="J1166" s="27"/>
      <c r="K1166" s="27"/>
    </row>
    <row r="1167" spans="1:11" x14ac:dyDescent="0.2">
      <c r="A1167" s="26"/>
      <c r="B1167" s="14" t="str">
        <f>IF(A1167="","",CHOOSE(WEEKDAY(A1167),"日","月","火","水","木","金","土"))</f>
        <v/>
      </c>
      <c r="C1167" s="27"/>
      <c r="D1167" s="27"/>
      <c r="E1167" s="14" t="str">
        <f>IF(F1167="","",IFERROR(INDEX(マスター!$F$5:$F$200,MATCH(F1167,マスター!$E$5:$E$200,0)),"※マスター未登録"))</f>
        <v/>
      </c>
      <c r="F1167" s="27"/>
      <c r="G1167" s="27"/>
      <c r="H1167" s="27"/>
      <c r="I1167" s="27"/>
      <c r="J1167" s="27"/>
      <c r="K1167" s="27"/>
    </row>
    <row r="1168" spans="1:11" x14ac:dyDescent="0.2">
      <c r="A1168" s="26"/>
      <c r="B1168" s="14" t="str">
        <f>IF(A1168="","",CHOOSE(WEEKDAY(A1168),"日","月","火","水","木","金","土"))</f>
        <v/>
      </c>
      <c r="C1168" s="27"/>
      <c r="D1168" s="27"/>
      <c r="E1168" s="14" t="str">
        <f>IF(F1168="","",IFERROR(INDEX(マスター!$F$5:$F$200,MATCH(F1168,マスター!$E$5:$E$200,0)),"※マスター未登録"))</f>
        <v/>
      </c>
      <c r="F1168" s="27"/>
      <c r="G1168" s="27"/>
      <c r="H1168" s="27"/>
      <c r="I1168" s="27"/>
      <c r="J1168" s="27"/>
      <c r="K1168" s="27"/>
    </row>
    <row r="1169" spans="1:11" x14ac:dyDescent="0.2">
      <c r="A1169" s="26"/>
      <c r="B1169" s="14" t="str">
        <f>IF(A1169="","",CHOOSE(WEEKDAY(A1169),"日","月","火","水","木","金","土"))</f>
        <v/>
      </c>
      <c r="C1169" s="27"/>
      <c r="D1169" s="27"/>
      <c r="E1169" s="14" t="str">
        <f>IF(F1169="","",IFERROR(INDEX(マスター!$F$5:$F$200,MATCH(F1169,マスター!$E$5:$E$200,0)),"※マスター未登録"))</f>
        <v/>
      </c>
      <c r="F1169" s="27"/>
      <c r="G1169" s="27"/>
      <c r="H1169" s="27"/>
      <c r="I1169" s="27"/>
      <c r="J1169" s="27"/>
      <c r="K1169" s="27"/>
    </row>
    <row r="1170" spans="1:11" x14ac:dyDescent="0.2">
      <c r="A1170" s="26"/>
      <c r="B1170" s="14" t="str">
        <f>IF(A1170="","",CHOOSE(WEEKDAY(A1170),"日","月","火","水","木","金","土"))</f>
        <v/>
      </c>
      <c r="C1170" s="27"/>
      <c r="D1170" s="27"/>
      <c r="E1170" s="14" t="str">
        <f>IF(F1170="","",IFERROR(INDEX(マスター!$F$5:$F$200,MATCH(F1170,マスター!$E$5:$E$200,0)),"※マスター未登録"))</f>
        <v/>
      </c>
      <c r="F1170" s="27"/>
      <c r="G1170" s="27"/>
      <c r="H1170" s="27"/>
      <c r="I1170" s="27"/>
      <c r="J1170" s="27"/>
      <c r="K1170" s="27"/>
    </row>
    <row r="1171" spans="1:11" x14ac:dyDescent="0.2">
      <c r="A1171" s="26"/>
      <c r="B1171" s="14" t="str">
        <f>IF(A1171="","",CHOOSE(WEEKDAY(A1171),"日","月","火","水","木","金","土"))</f>
        <v/>
      </c>
      <c r="C1171" s="27"/>
      <c r="D1171" s="27"/>
      <c r="E1171" s="14" t="str">
        <f>IF(F1171="","",IFERROR(INDEX(マスター!$F$5:$F$200,MATCH(F1171,マスター!$E$5:$E$200,0)),"※マスター未登録"))</f>
        <v/>
      </c>
      <c r="F1171" s="27"/>
      <c r="G1171" s="27"/>
      <c r="H1171" s="27"/>
      <c r="I1171" s="27"/>
      <c r="J1171" s="27"/>
      <c r="K1171" s="27"/>
    </row>
    <row r="1172" spans="1:11" x14ac:dyDescent="0.2">
      <c r="A1172" s="26"/>
      <c r="B1172" s="14" t="str">
        <f>IF(A1172="","",CHOOSE(WEEKDAY(A1172),"日","月","火","水","木","金","土"))</f>
        <v/>
      </c>
      <c r="C1172" s="27"/>
      <c r="D1172" s="27"/>
      <c r="E1172" s="14" t="str">
        <f>IF(F1172="","",IFERROR(INDEX(マスター!$F$5:$F$200,MATCH(F1172,マスター!$E$5:$E$200,0)),"※マスター未登録"))</f>
        <v/>
      </c>
      <c r="F1172" s="27"/>
      <c r="G1172" s="27"/>
      <c r="H1172" s="27"/>
      <c r="I1172" s="27"/>
      <c r="J1172" s="27"/>
      <c r="K1172" s="27"/>
    </row>
    <row r="1173" spans="1:11" x14ac:dyDescent="0.2">
      <c r="A1173" s="26"/>
      <c r="B1173" s="14" t="str">
        <f>IF(A1173="","",CHOOSE(WEEKDAY(A1173),"日","月","火","水","木","金","土"))</f>
        <v/>
      </c>
      <c r="C1173" s="27"/>
      <c r="D1173" s="27"/>
      <c r="E1173" s="14" t="str">
        <f>IF(F1173="","",IFERROR(INDEX(マスター!$F$5:$F$200,MATCH(F1173,マスター!$E$5:$E$200,0)),"※マスター未登録"))</f>
        <v/>
      </c>
      <c r="F1173" s="27"/>
      <c r="G1173" s="27"/>
      <c r="H1173" s="27"/>
      <c r="I1173" s="27"/>
      <c r="J1173" s="27"/>
      <c r="K1173" s="27"/>
    </row>
    <row r="1174" spans="1:11" x14ac:dyDescent="0.2">
      <c r="A1174" s="26"/>
      <c r="B1174" s="14" t="str">
        <f>IF(A1174="","",CHOOSE(WEEKDAY(A1174),"日","月","火","水","木","金","土"))</f>
        <v/>
      </c>
      <c r="C1174" s="27"/>
      <c r="D1174" s="27"/>
      <c r="E1174" s="14" t="str">
        <f>IF(F1174="","",IFERROR(INDEX(マスター!$F$5:$F$200,MATCH(F1174,マスター!$E$5:$E$200,0)),"※マスター未登録"))</f>
        <v/>
      </c>
      <c r="F1174" s="27"/>
      <c r="G1174" s="27"/>
      <c r="H1174" s="27"/>
      <c r="I1174" s="27"/>
      <c r="J1174" s="27"/>
      <c r="K1174" s="27"/>
    </row>
    <row r="1175" spans="1:11" x14ac:dyDescent="0.2">
      <c r="A1175" s="26"/>
      <c r="B1175" s="14" t="str">
        <f>IF(A1175="","",CHOOSE(WEEKDAY(A1175),"日","月","火","水","木","金","土"))</f>
        <v/>
      </c>
      <c r="C1175" s="27"/>
      <c r="D1175" s="27"/>
      <c r="E1175" s="14" t="str">
        <f>IF(F1175="","",IFERROR(INDEX(マスター!$F$5:$F$200,MATCH(F1175,マスター!$E$5:$E$200,0)),"※マスター未登録"))</f>
        <v/>
      </c>
      <c r="F1175" s="27"/>
      <c r="G1175" s="27"/>
      <c r="H1175" s="27"/>
      <c r="I1175" s="27"/>
      <c r="J1175" s="27"/>
      <c r="K1175" s="27"/>
    </row>
    <row r="1176" spans="1:11" x14ac:dyDescent="0.2">
      <c r="A1176" s="26"/>
      <c r="B1176" s="14" t="str">
        <f>IF(A1176="","",CHOOSE(WEEKDAY(A1176),"日","月","火","水","木","金","土"))</f>
        <v/>
      </c>
      <c r="C1176" s="27"/>
      <c r="D1176" s="27"/>
      <c r="E1176" s="14" t="str">
        <f>IF(F1176="","",IFERROR(INDEX(マスター!$F$5:$F$200,MATCH(F1176,マスター!$E$5:$E$200,0)),"※マスター未登録"))</f>
        <v/>
      </c>
      <c r="F1176" s="27"/>
      <c r="G1176" s="27"/>
      <c r="H1176" s="27"/>
      <c r="I1176" s="27"/>
      <c r="J1176" s="27"/>
      <c r="K1176" s="27"/>
    </row>
    <row r="1177" spans="1:11" x14ac:dyDescent="0.2">
      <c r="A1177" s="26"/>
      <c r="B1177" s="14" t="str">
        <f>IF(A1177="","",CHOOSE(WEEKDAY(A1177),"日","月","火","水","木","金","土"))</f>
        <v/>
      </c>
      <c r="C1177" s="27"/>
      <c r="D1177" s="27"/>
      <c r="E1177" s="14" t="str">
        <f>IF(F1177="","",IFERROR(INDEX(マスター!$F$5:$F$200,MATCH(F1177,マスター!$E$5:$E$200,0)),"※マスター未登録"))</f>
        <v/>
      </c>
      <c r="F1177" s="27"/>
      <c r="G1177" s="27"/>
      <c r="H1177" s="27"/>
      <c r="I1177" s="27"/>
      <c r="J1177" s="27"/>
      <c r="K1177" s="27"/>
    </row>
    <row r="1178" spans="1:11" x14ac:dyDescent="0.2">
      <c r="A1178" s="26"/>
      <c r="B1178" s="14" t="str">
        <f>IF(A1178="","",CHOOSE(WEEKDAY(A1178),"日","月","火","水","木","金","土"))</f>
        <v/>
      </c>
      <c r="C1178" s="27"/>
      <c r="D1178" s="27"/>
      <c r="E1178" s="14" t="str">
        <f>IF(F1178="","",IFERROR(INDEX(マスター!$F$5:$F$200,MATCH(F1178,マスター!$E$5:$E$200,0)),"※マスター未登録"))</f>
        <v/>
      </c>
      <c r="F1178" s="27"/>
      <c r="G1178" s="27"/>
      <c r="H1178" s="27"/>
      <c r="I1178" s="27"/>
      <c r="J1178" s="27"/>
      <c r="K1178" s="27"/>
    </row>
    <row r="1179" spans="1:11" x14ac:dyDescent="0.2">
      <c r="A1179" s="26"/>
      <c r="B1179" s="14" t="str">
        <f>IF(A1179="","",CHOOSE(WEEKDAY(A1179),"日","月","火","水","木","金","土"))</f>
        <v/>
      </c>
      <c r="C1179" s="27"/>
      <c r="D1179" s="27"/>
      <c r="E1179" s="14" t="str">
        <f>IF(F1179="","",IFERROR(INDEX(マスター!$F$5:$F$200,MATCH(F1179,マスター!$E$5:$E$200,0)),"※マスター未登録"))</f>
        <v/>
      </c>
      <c r="F1179" s="27"/>
      <c r="G1179" s="27"/>
      <c r="H1179" s="27"/>
      <c r="I1179" s="27"/>
      <c r="J1179" s="27"/>
      <c r="K1179" s="27"/>
    </row>
    <row r="1180" spans="1:11" x14ac:dyDescent="0.2">
      <c r="A1180" s="26"/>
      <c r="B1180" s="14" t="str">
        <f>IF(A1180="","",CHOOSE(WEEKDAY(A1180),"日","月","火","水","木","金","土"))</f>
        <v/>
      </c>
      <c r="C1180" s="27"/>
      <c r="D1180" s="27"/>
      <c r="E1180" s="14" t="str">
        <f>IF(F1180="","",IFERROR(INDEX(マスター!$F$5:$F$200,MATCH(F1180,マスター!$E$5:$E$200,0)),"※マスター未登録"))</f>
        <v/>
      </c>
      <c r="F1180" s="27"/>
      <c r="G1180" s="27"/>
      <c r="H1180" s="27"/>
      <c r="I1180" s="27"/>
      <c r="J1180" s="27"/>
      <c r="K1180" s="27"/>
    </row>
    <row r="1181" spans="1:11" x14ac:dyDescent="0.2">
      <c r="A1181" s="26"/>
      <c r="B1181" s="14" t="str">
        <f>IF(A1181="","",CHOOSE(WEEKDAY(A1181),"日","月","火","水","木","金","土"))</f>
        <v/>
      </c>
      <c r="C1181" s="27"/>
      <c r="D1181" s="27"/>
      <c r="E1181" s="14" t="str">
        <f>IF(F1181="","",IFERROR(INDEX(マスター!$F$5:$F$200,MATCH(F1181,マスター!$E$5:$E$200,0)),"※マスター未登録"))</f>
        <v/>
      </c>
      <c r="F1181" s="27"/>
      <c r="G1181" s="27"/>
      <c r="H1181" s="27"/>
      <c r="I1181" s="27"/>
      <c r="J1181" s="27"/>
      <c r="K1181" s="27"/>
    </row>
    <row r="1182" spans="1:11" x14ac:dyDescent="0.2">
      <c r="A1182" s="26"/>
      <c r="B1182" s="14" t="str">
        <f>IF(A1182="","",CHOOSE(WEEKDAY(A1182),"日","月","火","水","木","金","土"))</f>
        <v/>
      </c>
      <c r="C1182" s="27"/>
      <c r="D1182" s="27"/>
      <c r="E1182" s="14" t="str">
        <f>IF(F1182="","",IFERROR(INDEX(マスター!$F$5:$F$200,MATCH(F1182,マスター!$E$5:$E$200,0)),"※マスター未登録"))</f>
        <v/>
      </c>
      <c r="F1182" s="27"/>
      <c r="G1182" s="27"/>
      <c r="H1182" s="27"/>
      <c r="I1182" s="27"/>
      <c r="J1182" s="27"/>
      <c r="K1182" s="27"/>
    </row>
    <row r="1183" spans="1:11" x14ac:dyDescent="0.2">
      <c r="A1183" s="26"/>
      <c r="B1183" s="14" t="str">
        <f>IF(A1183="","",CHOOSE(WEEKDAY(A1183),"日","月","火","水","木","金","土"))</f>
        <v/>
      </c>
      <c r="C1183" s="27"/>
      <c r="D1183" s="27"/>
      <c r="E1183" s="14" t="str">
        <f>IF(F1183="","",IFERROR(INDEX(マスター!$F$5:$F$200,MATCH(F1183,マスター!$E$5:$E$200,0)),"※マスター未登録"))</f>
        <v/>
      </c>
      <c r="F1183" s="27"/>
      <c r="G1183" s="27"/>
      <c r="H1183" s="27"/>
      <c r="I1183" s="27"/>
      <c r="J1183" s="27"/>
      <c r="K1183" s="27"/>
    </row>
    <row r="1184" spans="1:11" x14ac:dyDescent="0.2">
      <c r="A1184" s="26"/>
      <c r="B1184" s="14" t="str">
        <f>IF(A1184="","",CHOOSE(WEEKDAY(A1184),"日","月","火","水","木","金","土"))</f>
        <v/>
      </c>
      <c r="C1184" s="27"/>
      <c r="D1184" s="27"/>
      <c r="E1184" s="14" t="str">
        <f>IF(F1184="","",IFERROR(INDEX(マスター!$F$5:$F$200,MATCH(F1184,マスター!$E$5:$E$200,0)),"※マスター未登録"))</f>
        <v/>
      </c>
      <c r="F1184" s="27"/>
      <c r="G1184" s="27"/>
      <c r="H1184" s="27"/>
      <c r="I1184" s="27"/>
      <c r="J1184" s="27"/>
      <c r="K1184" s="27"/>
    </row>
    <row r="1185" spans="1:11" x14ac:dyDescent="0.2">
      <c r="A1185" s="26"/>
      <c r="B1185" s="14" t="str">
        <f>IF(A1185="","",CHOOSE(WEEKDAY(A1185),"日","月","火","水","木","金","土"))</f>
        <v/>
      </c>
      <c r="C1185" s="27"/>
      <c r="D1185" s="27"/>
      <c r="E1185" s="14" t="str">
        <f>IF(F1185="","",IFERROR(INDEX(マスター!$F$5:$F$200,MATCH(F1185,マスター!$E$5:$E$200,0)),"※マスター未登録"))</f>
        <v/>
      </c>
      <c r="F1185" s="27"/>
      <c r="G1185" s="27"/>
      <c r="H1185" s="27"/>
      <c r="I1185" s="27"/>
      <c r="J1185" s="27"/>
      <c r="K1185" s="27"/>
    </row>
    <row r="1186" spans="1:11" x14ac:dyDescent="0.2">
      <c r="A1186" s="26"/>
      <c r="B1186" s="14" t="str">
        <f>IF(A1186="","",CHOOSE(WEEKDAY(A1186),"日","月","火","水","木","金","土"))</f>
        <v/>
      </c>
      <c r="C1186" s="27"/>
      <c r="D1186" s="27"/>
      <c r="E1186" s="14" t="str">
        <f>IF(F1186="","",IFERROR(INDEX(マスター!$F$5:$F$200,MATCH(F1186,マスター!$E$5:$E$200,0)),"※マスター未登録"))</f>
        <v/>
      </c>
      <c r="F1186" s="27"/>
      <c r="G1186" s="27"/>
      <c r="H1186" s="27"/>
      <c r="I1186" s="27"/>
      <c r="J1186" s="27"/>
      <c r="K1186" s="27"/>
    </row>
    <row r="1187" spans="1:11" x14ac:dyDescent="0.2">
      <c r="A1187" s="26"/>
      <c r="B1187" s="14" t="str">
        <f>IF(A1187="","",CHOOSE(WEEKDAY(A1187),"日","月","火","水","木","金","土"))</f>
        <v/>
      </c>
      <c r="C1187" s="27"/>
      <c r="D1187" s="27"/>
      <c r="E1187" s="14" t="str">
        <f>IF(F1187="","",IFERROR(INDEX(マスター!$F$5:$F$200,MATCH(F1187,マスター!$E$5:$E$200,0)),"※マスター未登録"))</f>
        <v/>
      </c>
      <c r="F1187" s="27"/>
      <c r="G1187" s="27"/>
      <c r="H1187" s="27"/>
      <c r="I1187" s="27"/>
      <c r="J1187" s="27"/>
      <c r="K1187" s="27"/>
    </row>
    <row r="1188" spans="1:11" x14ac:dyDescent="0.2">
      <c r="A1188" s="26"/>
      <c r="B1188" s="14" t="str">
        <f>IF(A1188="","",CHOOSE(WEEKDAY(A1188),"日","月","火","水","木","金","土"))</f>
        <v/>
      </c>
      <c r="C1188" s="27"/>
      <c r="D1188" s="27"/>
      <c r="E1188" s="14" t="str">
        <f>IF(F1188="","",IFERROR(INDEX(マスター!$F$5:$F$200,MATCH(F1188,マスター!$E$5:$E$200,0)),"※マスター未登録"))</f>
        <v/>
      </c>
      <c r="F1188" s="27"/>
      <c r="G1188" s="27"/>
      <c r="H1188" s="27"/>
      <c r="I1188" s="27"/>
      <c r="J1188" s="27"/>
      <c r="K1188" s="27"/>
    </row>
    <row r="1189" spans="1:11" x14ac:dyDescent="0.2">
      <c r="A1189" s="26"/>
      <c r="B1189" s="14" t="str">
        <f>IF(A1189="","",CHOOSE(WEEKDAY(A1189),"日","月","火","水","木","金","土"))</f>
        <v/>
      </c>
      <c r="C1189" s="27"/>
      <c r="D1189" s="27"/>
      <c r="E1189" s="14" t="str">
        <f>IF(F1189="","",IFERROR(INDEX(マスター!$F$5:$F$200,MATCH(F1189,マスター!$E$5:$E$200,0)),"※マスター未登録"))</f>
        <v/>
      </c>
      <c r="F1189" s="27"/>
      <c r="G1189" s="27"/>
      <c r="H1189" s="27"/>
      <c r="I1189" s="27"/>
      <c r="J1189" s="27"/>
      <c r="K1189" s="27"/>
    </row>
    <row r="1190" spans="1:11" x14ac:dyDescent="0.2">
      <c r="A1190" s="26"/>
      <c r="B1190" s="14" t="str">
        <f>IF(A1190="","",CHOOSE(WEEKDAY(A1190),"日","月","火","水","木","金","土"))</f>
        <v/>
      </c>
      <c r="C1190" s="27"/>
      <c r="D1190" s="27"/>
      <c r="E1190" s="14" t="str">
        <f>IF(F1190="","",IFERROR(INDEX(マスター!$F$5:$F$200,MATCH(F1190,マスター!$E$5:$E$200,0)),"※マスター未登録"))</f>
        <v/>
      </c>
      <c r="F1190" s="27"/>
      <c r="G1190" s="27"/>
      <c r="H1190" s="27"/>
      <c r="I1190" s="27"/>
      <c r="J1190" s="27"/>
      <c r="K1190" s="27"/>
    </row>
    <row r="1191" spans="1:11" x14ac:dyDescent="0.2">
      <c r="A1191" s="26"/>
      <c r="B1191" s="14" t="str">
        <f>IF(A1191="","",CHOOSE(WEEKDAY(A1191),"日","月","火","水","木","金","土"))</f>
        <v/>
      </c>
      <c r="C1191" s="27"/>
      <c r="D1191" s="27"/>
      <c r="E1191" s="14" t="str">
        <f>IF(F1191="","",IFERROR(INDEX(マスター!$F$5:$F$200,MATCH(F1191,マスター!$E$5:$E$200,0)),"※マスター未登録"))</f>
        <v/>
      </c>
      <c r="F1191" s="27"/>
      <c r="G1191" s="27"/>
      <c r="H1191" s="27"/>
      <c r="I1191" s="27"/>
      <c r="J1191" s="27"/>
      <c r="K1191" s="27"/>
    </row>
    <row r="1192" spans="1:11" x14ac:dyDescent="0.2">
      <c r="A1192" s="26"/>
      <c r="B1192" s="14" t="str">
        <f>IF(A1192="","",CHOOSE(WEEKDAY(A1192),"日","月","火","水","木","金","土"))</f>
        <v/>
      </c>
      <c r="C1192" s="27"/>
      <c r="D1192" s="27"/>
      <c r="E1192" s="14" t="str">
        <f>IF(F1192="","",IFERROR(INDEX(マスター!$F$5:$F$200,MATCH(F1192,マスター!$E$5:$E$200,0)),"※マスター未登録"))</f>
        <v/>
      </c>
      <c r="F1192" s="27"/>
      <c r="G1192" s="27"/>
      <c r="H1192" s="27"/>
      <c r="I1192" s="27"/>
      <c r="J1192" s="27"/>
      <c r="K1192" s="27"/>
    </row>
    <row r="1193" spans="1:11" x14ac:dyDescent="0.2">
      <c r="A1193" s="26"/>
      <c r="B1193" s="14" t="str">
        <f>IF(A1193="","",CHOOSE(WEEKDAY(A1193),"日","月","火","水","木","金","土"))</f>
        <v/>
      </c>
      <c r="C1193" s="27"/>
      <c r="D1193" s="27"/>
      <c r="E1193" s="14" t="str">
        <f>IF(F1193="","",IFERROR(INDEX(マスター!$F$5:$F$200,MATCH(F1193,マスター!$E$5:$E$200,0)),"※マスター未登録"))</f>
        <v/>
      </c>
      <c r="F1193" s="27"/>
      <c r="G1193" s="27"/>
      <c r="H1193" s="27"/>
      <c r="I1193" s="27"/>
      <c r="J1193" s="27"/>
      <c r="K1193" s="27"/>
    </row>
    <row r="1194" spans="1:11" x14ac:dyDescent="0.2">
      <c r="A1194" s="26"/>
      <c r="B1194" s="14" t="str">
        <f>IF(A1194="","",CHOOSE(WEEKDAY(A1194),"日","月","火","水","木","金","土"))</f>
        <v/>
      </c>
      <c r="C1194" s="27"/>
      <c r="D1194" s="27"/>
      <c r="E1194" s="14" t="str">
        <f>IF(F1194="","",IFERROR(INDEX(マスター!$F$5:$F$200,MATCH(F1194,マスター!$E$5:$E$200,0)),"※マスター未登録"))</f>
        <v/>
      </c>
      <c r="F1194" s="27"/>
      <c r="G1194" s="27"/>
      <c r="H1194" s="27"/>
      <c r="I1194" s="27"/>
      <c r="J1194" s="27"/>
      <c r="K1194" s="27"/>
    </row>
    <row r="1195" spans="1:11" x14ac:dyDescent="0.2">
      <c r="A1195" s="26"/>
      <c r="B1195" s="14" t="str">
        <f>IF(A1195="","",CHOOSE(WEEKDAY(A1195),"日","月","火","水","木","金","土"))</f>
        <v/>
      </c>
      <c r="C1195" s="27"/>
      <c r="D1195" s="27"/>
      <c r="E1195" s="14" t="str">
        <f>IF(F1195="","",IFERROR(INDEX(マスター!$F$5:$F$200,MATCH(F1195,マスター!$E$5:$E$200,0)),"※マスター未登録"))</f>
        <v/>
      </c>
      <c r="F1195" s="27"/>
      <c r="G1195" s="27"/>
      <c r="H1195" s="27"/>
      <c r="I1195" s="27"/>
      <c r="J1195" s="27"/>
      <c r="K1195" s="27"/>
    </row>
    <row r="1196" spans="1:11" x14ac:dyDescent="0.2">
      <c r="A1196" s="26"/>
      <c r="B1196" s="14" t="str">
        <f>IF(A1196="","",CHOOSE(WEEKDAY(A1196),"日","月","火","水","木","金","土"))</f>
        <v/>
      </c>
      <c r="C1196" s="27"/>
      <c r="D1196" s="27"/>
      <c r="E1196" s="14" t="str">
        <f>IF(F1196="","",IFERROR(INDEX(マスター!$F$5:$F$200,MATCH(F1196,マスター!$E$5:$E$200,0)),"※マスター未登録"))</f>
        <v/>
      </c>
      <c r="F1196" s="27"/>
      <c r="G1196" s="27"/>
      <c r="H1196" s="27"/>
      <c r="I1196" s="27"/>
      <c r="J1196" s="27"/>
      <c r="K1196" s="27"/>
    </row>
    <row r="1197" spans="1:11" x14ac:dyDescent="0.2">
      <c r="A1197" s="26"/>
      <c r="B1197" s="14" t="str">
        <f>IF(A1197="","",CHOOSE(WEEKDAY(A1197),"日","月","火","水","木","金","土"))</f>
        <v/>
      </c>
      <c r="C1197" s="27"/>
      <c r="D1197" s="27"/>
      <c r="E1197" s="14" t="str">
        <f>IF(F1197="","",IFERROR(INDEX(マスター!$F$5:$F$200,MATCH(F1197,マスター!$E$5:$E$200,0)),"※マスター未登録"))</f>
        <v/>
      </c>
      <c r="F1197" s="27"/>
      <c r="G1197" s="27"/>
      <c r="H1197" s="27"/>
      <c r="I1197" s="27"/>
      <c r="J1197" s="27"/>
      <c r="K1197" s="27"/>
    </row>
    <row r="1198" spans="1:11" x14ac:dyDescent="0.2">
      <c r="A1198" s="26"/>
      <c r="B1198" s="14" t="str">
        <f>IF(A1198="","",CHOOSE(WEEKDAY(A1198),"日","月","火","水","木","金","土"))</f>
        <v/>
      </c>
      <c r="C1198" s="27"/>
      <c r="D1198" s="27"/>
      <c r="E1198" s="14" t="str">
        <f>IF(F1198="","",IFERROR(INDEX(マスター!$F$5:$F$200,MATCH(F1198,マスター!$E$5:$E$200,0)),"※マスター未登録"))</f>
        <v/>
      </c>
      <c r="F1198" s="27"/>
      <c r="G1198" s="27"/>
      <c r="H1198" s="27"/>
      <c r="I1198" s="27"/>
      <c r="J1198" s="27"/>
      <c r="K1198" s="27"/>
    </row>
    <row r="1199" spans="1:11" x14ac:dyDescent="0.2">
      <c r="A1199" s="26"/>
      <c r="B1199" s="14" t="str">
        <f>IF(A1199="","",CHOOSE(WEEKDAY(A1199),"日","月","火","水","木","金","土"))</f>
        <v/>
      </c>
      <c r="C1199" s="27"/>
      <c r="D1199" s="27"/>
      <c r="E1199" s="14" t="str">
        <f>IF(F1199="","",IFERROR(INDEX(マスター!$F$5:$F$200,MATCH(F1199,マスター!$E$5:$E$200,0)),"※マスター未登録"))</f>
        <v/>
      </c>
      <c r="F1199" s="27"/>
      <c r="G1199" s="27"/>
      <c r="H1199" s="27"/>
      <c r="I1199" s="27"/>
      <c r="J1199" s="27"/>
      <c r="K1199" s="27"/>
    </row>
    <row r="1200" spans="1:11" x14ac:dyDescent="0.2">
      <c r="A1200" s="26"/>
      <c r="B1200" s="14" t="str">
        <f>IF(A1200="","",CHOOSE(WEEKDAY(A1200),"日","月","火","水","木","金","土"))</f>
        <v/>
      </c>
      <c r="C1200" s="27"/>
      <c r="D1200" s="27"/>
      <c r="E1200" s="14" t="str">
        <f>IF(F1200="","",IFERROR(INDEX(マスター!$F$5:$F$200,MATCH(F1200,マスター!$E$5:$E$200,0)),"※マスター未登録"))</f>
        <v/>
      </c>
      <c r="F1200" s="27"/>
      <c r="G1200" s="27"/>
      <c r="H1200" s="27"/>
      <c r="I1200" s="27"/>
      <c r="J1200" s="27"/>
      <c r="K1200" s="27"/>
    </row>
    <row r="1201" spans="1:11" x14ac:dyDescent="0.2">
      <c r="A1201" s="26"/>
      <c r="B1201" s="14" t="str">
        <f>IF(A1201="","",CHOOSE(WEEKDAY(A1201),"日","月","火","水","木","金","土"))</f>
        <v/>
      </c>
      <c r="C1201" s="27"/>
      <c r="D1201" s="27"/>
      <c r="E1201" s="14" t="str">
        <f>IF(F1201="","",IFERROR(INDEX(マスター!$F$5:$F$200,MATCH(F1201,マスター!$E$5:$E$200,0)),"※マスター未登録"))</f>
        <v/>
      </c>
      <c r="F1201" s="27"/>
      <c r="G1201" s="27"/>
      <c r="H1201" s="27"/>
      <c r="I1201" s="27"/>
      <c r="J1201" s="27"/>
      <c r="K1201" s="27"/>
    </row>
    <row r="1202" spans="1:11" x14ac:dyDescent="0.2">
      <c r="A1202" s="26"/>
      <c r="B1202" s="14" t="str">
        <f>IF(A1202="","",CHOOSE(WEEKDAY(A1202),"日","月","火","水","木","金","土"))</f>
        <v/>
      </c>
      <c r="C1202" s="27"/>
      <c r="D1202" s="27"/>
      <c r="E1202" s="14" t="str">
        <f>IF(F1202="","",IFERROR(INDEX(マスター!$F$5:$F$200,MATCH(F1202,マスター!$E$5:$E$200,0)),"※マスター未登録"))</f>
        <v/>
      </c>
      <c r="F1202" s="27"/>
      <c r="G1202" s="27"/>
      <c r="H1202" s="27"/>
      <c r="I1202" s="27"/>
      <c r="J1202" s="27"/>
      <c r="K1202" s="27"/>
    </row>
    <row r="1203" spans="1:11" x14ac:dyDescent="0.2">
      <c r="A1203" s="26"/>
      <c r="B1203" s="14" t="str">
        <f>IF(A1203="","",CHOOSE(WEEKDAY(A1203),"日","月","火","水","木","金","土"))</f>
        <v/>
      </c>
      <c r="C1203" s="27"/>
      <c r="D1203" s="27"/>
      <c r="E1203" s="14" t="str">
        <f>IF(F1203="","",IFERROR(INDEX(マスター!$F$5:$F$200,MATCH(F1203,マスター!$E$5:$E$200,0)),"※マスター未登録"))</f>
        <v/>
      </c>
      <c r="F1203" s="27"/>
      <c r="G1203" s="27"/>
      <c r="H1203" s="27"/>
      <c r="I1203" s="27"/>
      <c r="J1203" s="27"/>
      <c r="K1203" s="27"/>
    </row>
    <row r="1204" spans="1:11" x14ac:dyDescent="0.2">
      <c r="A1204" s="26"/>
      <c r="B1204" s="14" t="str">
        <f>IF(A1204="","",CHOOSE(WEEKDAY(A1204),"日","月","火","水","木","金","土"))</f>
        <v/>
      </c>
      <c r="C1204" s="27"/>
      <c r="D1204" s="27"/>
      <c r="E1204" s="14" t="str">
        <f>IF(F1204="","",IFERROR(INDEX(マスター!$F$5:$F$200,MATCH(F1204,マスター!$E$5:$E$200,0)),"※マスター未登録"))</f>
        <v/>
      </c>
      <c r="F1204" s="27"/>
      <c r="G1204" s="27"/>
      <c r="H1204" s="27"/>
      <c r="I1204" s="27"/>
      <c r="J1204" s="27"/>
      <c r="K1204" s="27"/>
    </row>
    <row r="1205" spans="1:11" x14ac:dyDescent="0.2">
      <c r="A1205" s="26"/>
      <c r="B1205" s="14" t="str">
        <f>IF(A1205="","",CHOOSE(WEEKDAY(A1205),"日","月","火","水","木","金","土"))</f>
        <v/>
      </c>
      <c r="C1205" s="27"/>
      <c r="D1205" s="27"/>
      <c r="E1205" s="14" t="str">
        <f>IF(F1205="","",IFERROR(INDEX(マスター!$F$5:$F$200,MATCH(F1205,マスター!$E$5:$E$200,0)),"※マスター未登録"))</f>
        <v/>
      </c>
      <c r="F1205" s="27"/>
      <c r="G1205" s="27"/>
      <c r="H1205" s="27"/>
      <c r="I1205" s="27"/>
      <c r="J1205" s="27"/>
      <c r="K1205" s="27"/>
    </row>
    <row r="1206" spans="1:11" x14ac:dyDescent="0.2">
      <c r="A1206" s="26"/>
      <c r="B1206" s="14" t="str">
        <f>IF(A1206="","",CHOOSE(WEEKDAY(A1206),"日","月","火","水","木","金","土"))</f>
        <v/>
      </c>
      <c r="C1206" s="27"/>
      <c r="D1206" s="27"/>
      <c r="E1206" s="14" t="str">
        <f>IF(F1206="","",IFERROR(INDEX(マスター!$F$5:$F$200,MATCH(F1206,マスター!$E$5:$E$200,0)),"※マスター未登録"))</f>
        <v/>
      </c>
      <c r="F1206" s="27"/>
      <c r="G1206" s="27"/>
      <c r="H1206" s="27"/>
      <c r="I1206" s="27"/>
      <c r="J1206" s="27"/>
      <c r="K1206" s="27"/>
    </row>
    <row r="1207" spans="1:11" x14ac:dyDescent="0.2">
      <c r="A1207" s="26"/>
      <c r="B1207" s="14" t="str">
        <f>IF(A1207="","",CHOOSE(WEEKDAY(A1207),"日","月","火","水","木","金","土"))</f>
        <v/>
      </c>
      <c r="C1207" s="27"/>
      <c r="D1207" s="27"/>
      <c r="E1207" s="14" t="str">
        <f>IF(F1207="","",IFERROR(INDEX(マスター!$F$5:$F$200,MATCH(F1207,マスター!$E$5:$E$200,0)),"※マスター未登録"))</f>
        <v/>
      </c>
      <c r="F1207" s="27"/>
      <c r="G1207" s="27"/>
      <c r="H1207" s="27"/>
      <c r="I1207" s="27"/>
      <c r="J1207" s="27"/>
      <c r="K1207" s="27"/>
    </row>
    <row r="1208" spans="1:11" x14ac:dyDescent="0.2">
      <c r="A1208" s="26"/>
      <c r="B1208" s="14" t="str">
        <f>IF(A1208="","",CHOOSE(WEEKDAY(A1208),"日","月","火","水","木","金","土"))</f>
        <v/>
      </c>
      <c r="C1208" s="27"/>
      <c r="D1208" s="27"/>
      <c r="E1208" s="14" t="str">
        <f>IF(F1208="","",IFERROR(INDEX(マスター!$F$5:$F$200,MATCH(F1208,マスター!$E$5:$E$200,0)),"※マスター未登録"))</f>
        <v/>
      </c>
      <c r="F1208" s="27"/>
      <c r="G1208" s="27"/>
      <c r="H1208" s="27"/>
      <c r="I1208" s="27"/>
      <c r="J1208" s="27"/>
      <c r="K1208" s="27"/>
    </row>
    <row r="1209" spans="1:11" x14ac:dyDescent="0.2">
      <c r="A1209" s="26"/>
      <c r="B1209" s="14" t="str">
        <f>IF(A1209="","",CHOOSE(WEEKDAY(A1209),"日","月","火","水","木","金","土"))</f>
        <v/>
      </c>
      <c r="C1209" s="27"/>
      <c r="D1209" s="27"/>
      <c r="E1209" s="14" t="str">
        <f>IF(F1209="","",IFERROR(INDEX(マスター!$F$5:$F$200,MATCH(F1209,マスター!$E$5:$E$200,0)),"※マスター未登録"))</f>
        <v/>
      </c>
      <c r="F1209" s="27"/>
      <c r="G1209" s="27"/>
      <c r="H1209" s="27"/>
      <c r="I1209" s="27"/>
      <c r="J1209" s="27"/>
      <c r="K1209" s="27"/>
    </row>
    <row r="1210" spans="1:11" x14ac:dyDescent="0.2">
      <c r="A1210" s="26"/>
      <c r="B1210" s="14" t="str">
        <f>IF(A1210="","",CHOOSE(WEEKDAY(A1210),"日","月","火","水","木","金","土"))</f>
        <v/>
      </c>
      <c r="C1210" s="27"/>
      <c r="D1210" s="27"/>
      <c r="E1210" s="14" t="str">
        <f>IF(F1210="","",IFERROR(INDEX(マスター!$F$5:$F$200,MATCH(F1210,マスター!$E$5:$E$200,0)),"※マスター未登録"))</f>
        <v/>
      </c>
      <c r="F1210" s="27"/>
      <c r="G1210" s="27"/>
      <c r="H1210" s="27"/>
      <c r="I1210" s="27"/>
      <c r="J1210" s="27"/>
      <c r="K1210" s="27"/>
    </row>
    <row r="1211" spans="1:11" x14ac:dyDescent="0.2">
      <c r="A1211" s="26"/>
      <c r="B1211" s="14" t="str">
        <f>IF(A1211="","",CHOOSE(WEEKDAY(A1211),"日","月","火","水","木","金","土"))</f>
        <v/>
      </c>
      <c r="C1211" s="27"/>
      <c r="D1211" s="27"/>
      <c r="E1211" s="14" t="str">
        <f>IF(F1211="","",IFERROR(INDEX(マスター!$F$5:$F$200,MATCH(F1211,マスター!$E$5:$E$200,0)),"※マスター未登録"))</f>
        <v/>
      </c>
      <c r="F1211" s="27"/>
      <c r="G1211" s="27"/>
      <c r="H1211" s="27"/>
      <c r="I1211" s="27"/>
      <c r="J1211" s="27"/>
      <c r="K1211" s="27"/>
    </row>
    <row r="1212" spans="1:11" x14ac:dyDescent="0.2">
      <c r="A1212" s="26"/>
      <c r="B1212" s="14" t="str">
        <f>IF(A1212="","",CHOOSE(WEEKDAY(A1212),"日","月","火","水","木","金","土"))</f>
        <v/>
      </c>
      <c r="C1212" s="27"/>
      <c r="D1212" s="27"/>
      <c r="E1212" s="14" t="str">
        <f>IF(F1212="","",IFERROR(INDEX(マスター!$F$5:$F$200,MATCH(F1212,マスター!$E$5:$E$200,0)),"※マスター未登録"))</f>
        <v/>
      </c>
      <c r="F1212" s="27"/>
      <c r="G1212" s="27"/>
      <c r="H1212" s="27"/>
      <c r="I1212" s="27"/>
      <c r="J1212" s="27"/>
      <c r="K1212" s="27"/>
    </row>
    <row r="1213" spans="1:11" x14ac:dyDescent="0.2">
      <c r="A1213" s="26"/>
      <c r="B1213" s="14" t="str">
        <f>IF(A1213="","",CHOOSE(WEEKDAY(A1213),"日","月","火","水","木","金","土"))</f>
        <v/>
      </c>
      <c r="C1213" s="27"/>
      <c r="D1213" s="27"/>
      <c r="E1213" s="14" t="str">
        <f>IF(F1213="","",IFERROR(INDEX(マスター!$F$5:$F$200,MATCH(F1213,マスター!$E$5:$E$200,0)),"※マスター未登録"))</f>
        <v/>
      </c>
      <c r="F1213" s="27"/>
      <c r="G1213" s="27"/>
      <c r="H1213" s="27"/>
      <c r="I1213" s="27"/>
      <c r="J1213" s="27"/>
      <c r="K1213" s="27"/>
    </row>
    <row r="1214" spans="1:11" x14ac:dyDescent="0.2">
      <c r="A1214" s="26"/>
      <c r="B1214" s="14" t="str">
        <f>IF(A1214="","",CHOOSE(WEEKDAY(A1214),"日","月","火","水","木","金","土"))</f>
        <v/>
      </c>
      <c r="C1214" s="27"/>
      <c r="D1214" s="27"/>
      <c r="E1214" s="14" t="str">
        <f>IF(F1214="","",IFERROR(INDEX(マスター!$F$5:$F$200,MATCH(F1214,マスター!$E$5:$E$200,0)),"※マスター未登録"))</f>
        <v/>
      </c>
      <c r="F1214" s="27"/>
      <c r="G1214" s="27"/>
      <c r="H1214" s="27"/>
      <c r="I1214" s="27"/>
      <c r="J1214" s="27"/>
      <c r="K1214" s="27"/>
    </row>
    <row r="1215" spans="1:11" x14ac:dyDescent="0.2">
      <c r="A1215" s="26"/>
      <c r="B1215" s="14" t="str">
        <f>IF(A1215="","",CHOOSE(WEEKDAY(A1215),"日","月","火","水","木","金","土"))</f>
        <v/>
      </c>
      <c r="C1215" s="27"/>
      <c r="D1215" s="27"/>
      <c r="E1215" s="14" t="str">
        <f>IF(F1215="","",IFERROR(INDEX(マスター!$F$5:$F$200,MATCH(F1215,マスター!$E$5:$E$200,0)),"※マスター未登録"))</f>
        <v/>
      </c>
      <c r="F1215" s="27"/>
      <c r="G1215" s="27"/>
      <c r="H1215" s="27"/>
      <c r="I1215" s="27"/>
      <c r="J1215" s="27"/>
      <c r="K1215" s="27"/>
    </row>
    <row r="1216" spans="1:11" x14ac:dyDescent="0.2">
      <c r="A1216" s="26"/>
      <c r="B1216" s="14" t="str">
        <f>IF(A1216="","",CHOOSE(WEEKDAY(A1216),"日","月","火","水","木","金","土"))</f>
        <v/>
      </c>
      <c r="C1216" s="27"/>
      <c r="D1216" s="27"/>
      <c r="E1216" s="14" t="str">
        <f>IF(F1216="","",IFERROR(INDEX(マスター!$F$5:$F$200,MATCH(F1216,マスター!$E$5:$E$200,0)),"※マスター未登録"))</f>
        <v/>
      </c>
      <c r="F1216" s="27"/>
      <c r="G1216" s="27"/>
      <c r="H1216" s="27"/>
      <c r="I1216" s="27"/>
      <c r="J1216" s="27"/>
      <c r="K1216" s="27"/>
    </row>
    <row r="1217" spans="1:11" x14ac:dyDescent="0.2">
      <c r="A1217" s="26"/>
      <c r="B1217" s="14" t="str">
        <f>IF(A1217="","",CHOOSE(WEEKDAY(A1217),"日","月","火","水","木","金","土"))</f>
        <v/>
      </c>
      <c r="C1217" s="27"/>
      <c r="D1217" s="27"/>
      <c r="E1217" s="14" t="str">
        <f>IF(F1217="","",IFERROR(INDEX(マスター!$F$5:$F$200,MATCH(F1217,マスター!$E$5:$E$200,0)),"※マスター未登録"))</f>
        <v/>
      </c>
      <c r="F1217" s="27"/>
      <c r="G1217" s="27"/>
      <c r="H1217" s="27"/>
      <c r="I1217" s="27"/>
      <c r="J1217" s="27"/>
      <c r="K1217" s="27"/>
    </row>
    <row r="1218" spans="1:11" x14ac:dyDescent="0.2">
      <c r="A1218" s="26"/>
      <c r="B1218" s="14" t="str">
        <f>IF(A1218="","",CHOOSE(WEEKDAY(A1218),"日","月","火","水","木","金","土"))</f>
        <v/>
      </c>
      <c r="C1218" s="27"/>
      <c r="D1218" s="27"/>
      <c r="E1218" s="14" t="str">
        <f>IF(F1218="","",IFERROR(INDEX(マスター!$F$5:$F$200,MATCH(F1218,マスター!$E$5:$E$200,0)),"※マスター未登録"))</f>
        <v/>
      </c>
      <c r="F1218" s="27"/>
      <c r="G1218" s="27"/>
      <c r="H1218" s="27"/>
      <c r="I1218" s="27"/>
      <c r="J1218" s="27"/>
      <c r="K1218" s="27"/>
    </row>
    <row r="1219" spans="1:11" x14ac:dyDescent="0.2">
      <c r="A1219" s="26"/>
      <c r="B1219" s="14" t="str">
        <f>IF(A1219="","",CHOOSE(WEEKDAY(A1219),"日","月","火","水","木","金","土"))</f>
        <v/>
      </c>
      <c r="C1219" s="27"/>
      <c r="D1219" s="27"/>
      <c r="E1219" s="14" t="str">
        <f>IF(F1219="","",IFERROR(INDEX(マスター!$F$5:$F$200,MATCH(F1219,マスター!$E$5:$E$200,0)),"※マスター未登録"))</f>
        <v/>
      </c>
      <c r="F1219" s="27"/>
      <c r="G1219" s="27"/>
      <c r="H1219" s="27"/>
      <c r="I1219" s="27"/>
      <c r="J1219" s="27"/>
      <c r="K1219" s="27"/>
    </row>
    <row r="1220" spans="1:11" x14ac:dyDescent="0.2">
      <c r="A1220" s="26"/>
      <c r="B1220" s="14" t="str">
        <f>IF(A1220="","",CHOOSE(WEEKDAY(A1220),"日","月","火","水","木","金","土"))</f>
        <v/>
      </c>
      <c r="C1220" s="27"/>
      <c r="D1220" s="27"/>
      <c r="E1220" s="14" t="str">
        <f>IF(F1220="","",IFERROR(INDEX(マスター!$F$5:$F$200,MATCH(F1220,マスター!$E$5:$E$200,0)),"※マスター未登録"))</f>
        <v/>
      </c>
      <c r="F1220" s="27"/>
      <c r="G1220" s="27"/>
      <c r="H1220" s="27"/>
      <c r="I1220" s="27"/>
      <c r="J1220" s="27"/>
      <c r="K1220" s="27"/>
    </row>
    <row r="1221" spans="1:11" x14ac:dyDescent="0.2">
      <c r="A1221" s="26"/>
      <c r="B1221" s="14" t="str">
        <f>IF(A1221="","",CHOOSE(WEEKDAY(A1221),"日","月","火","水","木","金","土"))</f>
        <v/>
      </c>
      <c r="C1221" s="27"/>
      <c r="D1221" s="27"/>
      <c r="E1221" s="14" t="str">
        <f>IF(F1221="","",IFERROR(INDEX(マスター!$F$5:$F$200,MATCH(F1221,マスター!$E$5:$E$200,0)),"※マスター未登録"))</f>
        <v/>
      </c>
      <c r="F1221" s="27"/>
      <c r="G1221" s="27"/>
      <c r="H1221" s="27"/>
      <c r="I1221" s="27"/>
      <c r="J1221" s="27"/>
      <c r="K1221" s="27"/>
    </row>
    <row r="1222" spans="1:11" x14ac:dyDescent="0.2">
      <c r="A1222" s="26"/>
      <c r="B1222" s="14" t="str">
        <f>IF(A1222="","",CHOOSE(WEEKDAY(A1222),"日","月","火","水","木","金","土"))</f>
        <v/>
      </c>
      <c r="C1222" s="27"/>
      <c r="D1222" s="27"/>
      <c r="E1222" s="14" t="str">
        <f>IF(F1222="","",IFERROR(INDEX(マスター!$F$5:$F$200,MATCH(F1222,マスター!$E$5:$E$200,0)),"※マスター未登録"))</f>
        <v/>
      </c>
      <c r="F1222" s="27"/>
      <c r="G1222" s="27"/>
      <c r="H1222" s="27"/>
      <c r="I1222" s="27"/>
      <c r="J1222" s="27"/>
      <c r="K1222" s="27"/>
    </row>
    <row r="1223" spans="1:11" x14ac:dyDescent="0.2">
      <c r="A1223" s="26"/>
      <c r="B1223" s="14" t="str">
        <f>IF(A1223="","",CHOOSE(WEEKDAY(A1223),"日","月","火","水","木","金","土"))</f>
        <v/>
      </c>
      <c r="C1223" s="27"/>
      <c r="D1223" s="27"/>
      <c r="E1223" s="14" t="str">
        <f>IF(F1223="","",IFERROR(INDEX(マスター!$F$5:$F$200,MATCH(F1223,マスター!$E$5:$E$200,0)),"※マスター未登録"))</f>
        <v/>
      </c>
      <c r="F1223" s="27"/>
      <c r="G1223" s="27"/>
      <c r="H1223" s="27"/>
      <c r="I1223" s="27"/>
      <c r="J1223" s="27"/>
      <c r="K1223" s="27"/>
    </row>
    <row r="1224" spans="1:11" x14ac:dyDescent="0.2">
      <c r="A1224" s="26"/>
      <c r="B1224" s="14" t="str">
        <f>IF(A1224="","",CHOOSE(WEEKDAY(A1224),"日","月","火","水","木","金","土"))</f>
        <v/>
      </c>
      <c r="C1224" s="27"/>
      <c r="D1224" s="27"/>
      <c r="E1224" s="14" t="str">
        <f>IF(F1224="","",IFERROR(INDEX(マスター!$F$5:$F$200,MATCH(F1224,マスター!$E$5:$E$200,0)),"※マスター未登録"))</f>
        <v/>
      </c>
      <c r="F1224" s="27"/>
      <c r="G1224" s="27"/>
      <c r="H1224" s="27"/>
      <c r="I1224" s="27"/>
      <c r="J1224" s="27"/>
      <c r="K1224" s="27"/>
    </row>
    <row r="1225" spans="1:11" x14ac:dyDescent="0.2">
      <c r="A1225" s="26"/>
      <c r="B1225" s="14" t="str">
        <f>IF(A1225="","",CHOOSE(WEEKDAY(A1225),"日","月","火","水","木","金","土"))</f>
        <v/>
      </c>
      <c r="C1225" s="27"/>
      <c r="D1225" s="27"/>
      <c r="E1225" s="14" t="str">
        <f>IF(F1225="","",IFERROR(INDEX(マスター!$F$5:$F$200,MATCH(F1225,マスター!$E$5:$E$200,0)),"※マスター未登録"))</f>
        <v/>
      </c>
      <c r="F1225" s="27"/>
      <c r="G1225" s="27"/>
      <c r="H1225" s="27"/>
      <c r="I1225" s="27"/>
      <c r="J1225" s="27"/>
      <c r="K1225" s="27"/>
    </row>
    <row r="1226" spans="1:11" x14ac:dyDescent="0.2">
      <c r="A1226" s="26"/>
      <c r="B1226" s="14" t="str">
        <f>IF(A1226="","",CHOOSE(WEEKDAY(A1226),"日","月","火","水","木","金","土"))</f>
        <v/>
      </c>
      <c r="C1226" s="27"/>
      <c r="D1226" s="27"/>
      <c r="E1226" s="14" t="str">
        <f>IF(F1226="","",IFERROR(INDEX(マスター!$F$5:$F$200,MATCH(F1226,マスター!$E$5:$E$200,0)),"※マスター未登録"))</f>
        <v/>
      </c>
      <c r="F1226" s="27"/>
      <c r="G1226" s="27"/>
      <c r="H1226" s="27"/>
      <c r="I1226" s="27"/>
      <c r="J1226" s="27"/>
      <c r="K1226" s="27"/>
    </row>
    <row r="1227" spans="1:11" x14ac:dyDescent="0.2">
      <c r="A1227" s="26"/>
      <c r="B1227" s="14" t="str">
        <f>IF(A1227="","",CHOOSE(WEEKDAY(A1227),"日","月","火","水","木","金","土"))</f>
        <v/>
      </c>
      <c r="C1227" s="27"/>
      <c r="D1227" s="27"/>
      <c r="E1227" s="14" t="str">
        <f>IF(F1227="","",IFERROR(INDEX(マスター!$F$5:$F$200,MATCH(F1227,マスター!$E$5:$E$200,0)),"※マスター未登録"))</f>
        <v/>
      </c>
      <c r="F1227" s="27"/>
      <c r="G1227" s="27"/>
      <c r="H1227" s="27"/>
      <c r="I1227" s="27"/>
      <c r="J1227" s="27"/>
      <c r="K1227" s="27"/>
    </row>
    <row r="1228" spans="1:11" x14ac:dyDescent="0.2">
      <c r="A1228" s="26"/>
      <c r="B1228" s="14" t="str">
        <f>IF(A1228="","",CHOOSE(WEEKDAY(A1228),"日","月","火","水","木","金","土"))</f>
        <v/>
      </c>
      <c r="C1228" s="27"/>
      <c r="D1228" s="27"/>
      <c r="E1228" s="14" t="str">
        <f>IF(F1228="","",IFERROR(INDEX(マスター!$F$5:$F$200,MATCH(F1228,マスター!$E$5:$E$200,0)),"※マスター未登録"))</f>
        <v/>
      </c>
      <c r="F1228" s="27"/>
      <c r="G1228" s="27"/>
      <c r="H1228" s="27"/>
      <c r="I1228" s="27"/>
      <c r="J1228" s="27"/>
      <c r="K1228" s="27"/>
    </row>
    <row r="1229" spans="1:11" x14ac:dyDescent="0.2">
      <c r="A1229" s="26"/>
      <c r="B1229" s="14" t="str">
        <f>IF(A1229="","",CHOOSE(WEEKDAY(A1229),"日","月","火","水","木","金","土"))</f>
        <v/>
      </c>
      <c r="C1229" s="27"/>
      <c r="D1229" s="27"/>
      <c r="E1229" s="14" t="str">
        <f>IF(F1229="","",IFERROR(INDEX(マスター!$F$5:$F$200,MATCH(F1229,マスター!$E$5:$E$200,0)),"※マスター未登録"))</f>
        <v/>
      </c>
      <c r="F1229" s="27"/>
      <c r="G1229" s="27"/>
      <c r="H1229" s="27"/>
      <c r="I1229" s="27"/>
      <c r="J1229" s="27"/>
      <c r="K1229" s="27"/>
    </row>
    <row r="1230" spans="1:11" x14ac:dyDescent="0.2">
      <c r="A1230" s="26"/>
      <c r="B1230" s="14" t="str">
        <f>IF(A1230="","",CHOOSE(WEEKDAY(A1230),"日","月","火","水","木","金","土"))</f>
        <v/>
      </c>
      <c r="C1230" s="27"/>
      <c r="D1230" s="27"/>
      <c r="E1230" s="14" t="str">
        <f>IF(F1230="","",IFERROR(INDEX(マスター!$F$5:$F$200,MATCH(F1230,マスター!$E$5:$E$200,0)),"※マスター未登録"))</f>
        <v/>
      </c>
      <c r="F1230" s="27"/>
      <c r="G1230" s="27"/>
      <c r="H1230" s="27"/>
      <c r="I1230" s="27"/>
      <c r="J1230" s="27"/>
      <c r="K1230" s="27"/>
    </row>
    <row r="1231" spans="1:11" x14ac:dyDescent="0.2">
      <c r="A1231" s="26"/>
      <c r="B1231" s="14" t="str">
        <f>IF(A1231="","",CHOOSE(WEEKDAY(A1231),"日","月","火","水","木","金","土"))</f>
        <v/>
      </c>
      <c r="C1231" s="27"/>
      <c r="D1231" s="27"/>
      <c r="E1231" s="14" t="str">
        <f>IF(F1231="","",IFERROR(INDEX(マスター!$F$5:$F$200,MATCH(F1231,マスター!$E$5:$E$200,0)),"※マスター未登録"))</f>
        <v/>
      </c>
      <c r="F1231" s="27"/>
      <c r="G1231" s="27"/>
      <c r="H1231" s="27"/>
      <c r="I1231" s="27"/>
      <c r="J1231" s="27"/>
      <c r="K1231" s="27"/>
    </row>
    <row r="1232" spans="1:11" x14ac:dyDescent="0.2">
      <c r="A1232" s="26"/>
      <c r="B1232" s="14" t="str">
        <f>IF(A1232="","",CHOOSE(WEEKDAY(A1232),"日","月","火","水","木","金","土"))</f>
        <v/>
      </c>
      <c r="C1232" s="27"/>
      <c r="D1232" s="27"/>
      <c r="E1232" s="14" t="str">
        <f>IF(F1232="","",IFERROR(INDEX(マスター!$F$5:$F$200,MATCH(F1232,マスター!$E$5:$E$200,0)),"※マスター未登録"))</f>
        <v/>
      </c>
      <c r="F1232" s="27"/>
      <c r="G1232" s="27"/>
      <c r="H1232" s="27"/>
      <c r="I1232" s="27"/>
      <c r="J1232" s="27"/>
      <c r="K1232" s="27"/>
    </row>
    <row r="1233" spans="1:11" x14ac:dyDescent="0.2">
      <c r="A1233" s="26"/>
      <c r="B1233" s="14" t="str">
        <f>IF(A1233="","",CHOOSE(WEEKDAY(A1233),"日","月","火","水","木","金","土"))</f>
        <v/>
      </c>
      <c r="C1233" s="27"/>
      <c r="D1233" s="27"/>
      <c r="E1233" s="14" t="str">
        <f>IF(F1233="","",IFERROR(INDEX(マスター!$F$5:$F$200,MATCH(F1233,マスター!$E$5:$E$200,0)),"※マスター未登録"))</f>
        <v/>
      </c>
      <c r="F1233" s="27"/>
      <c r="G1233" s="27"/>
      <c r="H1233" s="27"/>
      <c r="I1233" s="27"/>
      <c r="J1233" s="27"/>
      <c r="K1233" s="27"/>
    </row>
    <row r="1234" spans="1:11" x14ac:dyDescent="0.2">
      <c r="A1234" s="26"/>
      <c r="B1234" s="14" t="str">
        <f>IF(A1234="","",CHOOSE(WEEKDAY(A1234),"日","月","火","水","木","金","土"))</f>
        <v/>
      </c>
      <c r="C1234" s="27"/>
      <c r="D1234" s="27"/>
      <c r="E1234" s="14" t="str">
        <f>IF(F1234="","",IFERROR(INDEX(マスター!$F$5:$F$200,MATCH(F1234,マスター!$E$5:$E$200,0)),"※マスター未登録"))</f>
        <v/>
      </c>
      <c r="F1234" s="27"/>
      <c r="G1234" s="27"/>
      <c r="H1234" s="27"/>
      <c r="I1234" s="27"/>
      <c r="J1234" s="27"/>
      <c r="K1234" s="27"/>
    </row>
    <row r="1235" spans="1:11" x14ac:dyDescent="0.2">
      <c r="A1235" s="26"/>
      <c r="B1235" s="14" t="str">
        <f>IF(A1235="","",CHOOSE(WEEKDAY(A1235),"日","月","火","水","木","金","土"))</f>
        <v/>
      </c>
      <c r="C1235" s="27"/>
      <c r="D1235" s="27"/>
      <c r="E1235" s="14" t="str">
        <f>IF(F1235="","",IFERROR(INDEX(マスター!$F$5:$F$200,MATCH(F1235,マスター!$E$5:$E$200,0)),"※マスター未登録"))</f>
        <v/>
      </c>
      <c r="F1235" s="27"/>
      <c r="G1235" s="27"/>
      <c r="H1235" s="27"/>
      <c r="I1235" s="27"/>
      <c r="J1235" s="27"/>
      <c r="K1235" s="27"/>
    </row>
    <row r="1236" spans="1:11" x14ac:dyDescent="0.2">
      <c r="A1236" s="26"/>
      <c r="B1236" s="14" t="str">
        <f>IF(A1236="","",CHOOSE(WEEKDAY(A1236),"日","月","火","水","木","金","土"))</f>
        <v/>
      </c>
      <c r="C1236" s="27"/>
      <c r="D1236" s="27"/>
      <c r="E1236" s="14" t="str">
        <f>IF(F1236="","",IFERROR(INDEX(マスター!$F$5:$F$200,MATCH(F1236,マスター!$E$5:$E$200,0)),"※マスター未登録"))</f>
        <v/>
      </c>
      <c r="F1236" s="27"/>
      <c r="G1236" s="27"/>
      <c r="H1236" s="27"/>
      <c r="I1236" s="27"/>
      <c r="J1236" s="27"/>
      <c r="K1236" s="27"/>
    </row>
    <row r="1237" spans="1:11" x14ac:dyDescent="0.2">
      <c r="A1237" s="26"/>
      <c r="B1237" s="14" t="str">
        <f>IF(A1237="","",CHOOSE(WEEKDAY(A1237),"日","月","火","水","木","金","土"))</f>
        <v/>
      </c>
      <c r="C1237" s="27"/>
      <c r="D1237" s="27"/>
      <c r="E1237" s="14" t="str">
        <f>IF(F1237="","",IFERROR(INDEX(マスター!$F$5:$F$200,MATCH(F1237,マスター!$E$5:$E$200,0)),"※マスター未登録"))</f>
        <v/>
      </c>
      <c r="F1237" s="27"/>
      <c r="G1237" s="27"/>
      <c r="H1237" s="27"/>
      <c r="I1237" s="27"/>
      <c r="J1237" s="27"/>
      <c r="K1237" s="27"/>
    </row>
    <row r="1238" spans="1:11" x14ac:dyDescent="0.2">
      <c r="A1238" s="26"/>
      <c r="B1238" s="14" t="str">
        <f>IF(A1238="","",CHOOSE(WEEKDAY(A1238),"日","月","火","水","木","金","土"))</f>
        <v/>
      </c>
      <c r="C1238" s="27"/>
      <c r="D1238" s="27"/>
      <c r="E1238" s="14" t="str">
        <f>IF(F1238="","",IFERROR(INDEX(マスター!$F$5:$F$200,MATCH(F1238,マスター!$E$5:$E$200,0)),"※マスター未登録"))</f>
        <v/>
      </c>
      <c r="F1238" s="27"/>
      <c r="G1238" s="27"/>
      <c r="H1238" s="27"/>
      <c r="I1238" s="27"/>
      <c r="J1238" s="27"/>
      <c r="K1238" s="27"/>
    </row>
    <row r="1239" spans="1:11" x14ac:dyDescent="0.2">
      <c r="A1239" s="26"/>
      <c r="B1239" s="14" t="str">
        <f>IF(A1239="","",CHOOSE(WEEKDAY(A1239),"日","月","火","水","木","金","土"))</f>
        <v/>
      </c>
      <c r="C1239" s="27"/>
      <c r="D1239" s="27"/>
      <c r="E1239" s="14" t="str">
        <f>IF(F1239="","",IFERROR(INDEX(マスター!$F$5:$F$200,MATCH(F1239,マスター!$E$5:$E$200,0)),"※マスター未登録"))</f>
        <v/>
      </c>
      <c r="F1239" s="27"/>
      <c r="G1239" s="27"/>
      <c r="H1239" s="27"/>
      <c r="I1239" s="27"/>
      <c r="J1239" s="27"/>
      <c r="K1239" s="27"/>
    </row>
    <row r="1240" spans="1:11" x14ac:dyDescent="0.2">
      <c r="A1240" s="26"/>
      <c r="B1240" s="14" t="str">
        <f>IF(A1240="","",CHOOSE(WEEKDAY(A1240),"日","月","火","水","木","金","土"))</f>
        <v/>
      </c>
      <c r="C1240" s="27"/>
      <c r="D1240" s="27"/>
      <c r="E1240" s="14" t="str">
        <f>IF(F1240="","",IFERROR(INDEX(マスター!$F$5:$F$200,MATCH(F1240,マスター!$E$5:$E$200,0)),"※マスター未登録"))</f>
        <v/>
      </c>
      <c r="F1240" s="27"/>
      <c r="G1240" s="27"/>
      <c r="H1240" s="27"/>
      <c r="I1240" s="27"/>
      <c r="J1240" s="27"/>
      <c r="K1240" s="27"/>
    </row>
    <row r="1241" spans="1:11" x14ac:dyDescent="0.2">
      <c r="A1241" s="26"/>
      <c r="B1241" s="14" t="str">
        <f>IF(A1241="","",CHOOSE(WEEKDAY(A1241),"日","月","火","水","木","金","土"))</f>
        <v/>
      </c>
      <c r="C1241" s="27"/>
      <c r="D1241" s="27"/>
      <c r="E1241" s="14" t="str">
        <f>IF(F1241="","",IFERROR(INDEX(マスター!$F$5:$F$200,MATCH(F1241,マスター!$E$5:$E$200,0)),"※マスター未登録"))</f>
        <v/>
      </c>
      <c r="F1241" s="27"/>
      <c r="G1241" s="27"/>
      <c r="H1241" s="27"/>
      <c r="I1241" s="27"/>
      <c r="J1241" s="27"/>
      <c r="K1241" s="27"/>
    </row>
    <row r="1242" spans="1:11" x14ac:dyDescent="0.2">
      <c r="A1242" s="26"/>
      <c r="B1242" s="14" t="str">
        <f>IF(A1242="","",CHOOSE(WEEKDAY(A1242),"日","月","火","水","木","金","土"))</f>
        <v/>
      </c>
      <c r="C1242" s="27"/>
      <c r="D1242" s="27"/>
      <c r="E1242" s="14" t="str">
        <f>IF(F1242="","",IFERROR(INDEX(マスター!$F$5:$F$200,MATCH(F1242,マスター!$E$5:$E$200,0)),"※マスター未登録"))</f>
        <v/>
      </c>
      <c r="F1242" s="27"/>
      <c r="G1242" s="27"/>
      <c r="H1242" s="27"/>
      <c r="I1242" s="27"/>
      <c r="J1242" s="27"/>
      <c r="K1242" s="27"/>
    </row>
    <row r="1243" spans="1:11" x14ac:dyDescent="0.2">
      <c r="A1243" s="26"/>
      <c r="B1243" s="14" t="str">
        <f>IF(A1243="","",CHOOSE(WEEKDAY(A1243),"日","月","火","水","木","金","土"))</f>
        <v/>
      </c>
      <c r="C1243" s="27"/>
      <c r="D1243" s="27"/>
      <c r="E1243" s="14" t="str">
        <f>IF(F1243="","",IFERROR(INDEX(マスター!$F$5:$F$200,MATCH(F1243,マスター!$E$5:$E$200,0)),"※マスター未登録"))</f>
        <v/>
      </c>
      <c r="F1243" s="27"/>
      <c r="G1243" s="27"/>
      <c r="H1243" s="27"/>
      <c r="I1243" s="27"/>
      <c r="J1243" s="27"/>
      <c r="K1243" s="27"/>
    </row>
    <row r="1244" spans="1:11" x14ac:dyDescent="0.2">
      <c r="A1244" s="26"/>
      <c r="B1244" s="14" t="str">
        <f>IF(A1244="","",CHOOSE(WEEKDAY(A1244),"日","月","火","水","木","金","土"))</f>
        <v/>
      </c>
      <c r="C1244" s="27"/>
      <c r="D1244" s="27"/>
      <c r="E1244" s="14" t="str">
        <f>IF(F1244="","",IFERROR(INDEX(マスター!$F$5:$F$200,MATCH(F1244,マスター!$E$5:$E$200,0)),"※マスター未登録"))</f>
        <v/>
      </c>
      <c r="F1244" s="27"/>
      <c r="G1244" s="27"/>
      <c r="H1244" s="27"/>
      <c r="I1244" s="27"/>
      <c r="J1244" s="27"/>
      <c r="K1244" s="27"/>
    </row>
    <row r="1245" spans="1:11" x14ac:dyDescent="0.2">
      <c r="A1245" s="26"/>
      <c r="B1245" s="14" t="str">
        <f>IF(A1245="","",CHOOSE(WEEKDAY(A1245),"日","月","火","水","木","金","土"))</f>
        <v/>
      </c>
      <c r="C1245" s="27"/>
      <c r="D1245" s="27"/>
      <c r="E1245" s="14" t="str">
        <f>IF(F1245="","",IFERROR(INDEX(マスター!$F$5:$F$200,MATCH(F1245,マスター!$E$5:$E$200,0)),"※マスター未登録"))</f>
        <v/>
      </c>
      <c r="F1245" s="27"/>
      <c r="G1245" s="27"/>
      <c r="H1245" s="27"/>
      <c r="I1245" s="27"/>
      <c r="J1245" s="27"/>
      <c r="K1245" s="27"/>
    </row>
    <row r="1246" spans="1:11" x14ac:dyDescent="0.2">
      <c r="A1246" s="26"/>
      <c r="B1246" s="14" t="str">
        <f>IF(A1246="","",CHOOSE(WEEKDAY(A1246),"日","月","火","水","木","金","土"))</f>
        <v/>
      </c>
      <c r="C1246" s="27"/>
      <c r="D1246" s="27"/>
      <c r="E1246" s="14" t="str">
        <f>IF(F1246="","",IFERROR(INDEX(マスター!$F$5:$F$200,MATCH(F1246,マスター!$E$5:$E$200,0)),"※マスター未登録"))</f>
        <v/>
      </c>
      <c r="F1246" s="27"/>
      <c r="G1246" s="27"/>
      <c r="H1246" s="27"/>
      <c r="I1246" s="27"/>
      <c r="J1246" s="27"/>
      <c r="K1246" s="27"/>
    </row>
    <row r="1247" spans="1:11" x14ac:dyDescent="0.2">
      <c r="A1247" s="26"/>
      <c r="B1247" s="14" t="str">
        <f>IF(A1247="","",CHOOSE(WEEKDAY(A1247),"日","月","火","水","木","金","土"))</f>
        <v/>
      </c>
      <c r="C1247" s="27"/>
      <c r="D1247" s="27"/>
      <c r="E1247" s="14" t="str">
        <f>IF(F1247="","",IFERROR(INDEX(マスター!$F$5:$F$200,MATCH(F1247,マスター!$E$5:$E$200,0)),"※マスター未登録"))</f>
        <v/>
      </c>
      <c r="F1247" s="27"/>
      <c r="G1247" s="27"/>
      <c r="H1247" s="27"/>
      <c r="I1247" s="27"/>
      <c r="J1247" s="27"/>
      <c r="K1247" s="27"/>
    </row>
    <row r="1248" spans="1:11" x14ac:dyDescent="0.2">
      <c r="A1248" s="26"/>
      <c r="B1248" s="14" t="str">
        <f>IF(A1248="","",CHOOSE(WEEKDAY(A1248),"日","月","火","水","木","金","土"))</f>
        <v/>
      </c>
      <c r="C1248" s="27"/>
      <c r="D1248" s="27"/>
      <c r="E1248" s="14" t="str">
        <f>IF(F1248="","",IFERROR(INDEX(マスター!$F$5:$F$200,MATCH(F1248,マスター!$E$5:$E$200,0)),"※マスター未登録"))</f>
        <v/>
      </c>
      <c r="F1248" s="27"/>
      <c r="G1248" s="27"/>
      <c r="H1248" s="27"/>
      <c r="I1248" s="27"/>
      <c r="J1248" s="27"/>
      <c r="K1248" s="27"/>
    </row>
    <row r="1249" spans="1:11" x14ac:dyDescent="0.2">
      <c r="A1249" s="26"/>
      <c r="B1249" s="14" t="str">
        <f>IF(A1249="","",CHOOSE(WEEKDAY(A1249),"日","月","火","水","木","金","土"))</f>
        <v/>
      </c>
      <c r="C1249" s="27"/>
      <c r="D1249" s="27"/>
      <c r="E1249" s="14" t="str">
        <f>IF(F1249="","",IFERROR(INDEX(マスター!$F$5:$F$200,MATCH(F1249,マスター!$E$5:$E$200,0)),"※マスター未登録"))</f>
        <v/>
      </c>
      <c r="F1249" s="27"/>
      <c r="G1249" s="27"/>
      <c r="H1249" s="27"/>
      <c r="I1249" s="27"/>
      <c r="J1249" s="27"/>
      <c r="K1249" s="27"/>
    </row>
    <row r="1250" spans="1:11" x14ac:dyDescent="0.2">
      <c r="A1250" s="26"/>
      <c r="B1250" s="14" t="str">
        <f>IF(A1250="","",CHOOSE(WEEKDAY(A1250),"日","月","火","水","木","金","土"))</f>
        <v/>
      </c>
      <c r="C1250" s="27"/>
      <c r="D1250" s="27"/>
      <c r="E1250" s="14" t="str">
        <f>IF(F1250="","",IFERROR(INDEX(マスター!$F$5:$F$200,MATCH(F1250,マスター!$E$5:$E$200,0)),"※マスター未登録"))</f>
        <v/>
      </c>
      <c r="F1250" s="27"/>
      <c r="G1250" s="27"/>
      <c r="H1250" s="27"/>
      <c r="I1250" s="27"/>
      <c r="J1250" s="27"/>
      <c r="K1250" s="27"/>
    </row>
    <row r="1251" spans="1:11" x14ac:dyDescent="0.2">
      <c r="A1251" s="26"/>
      <c r="B1251" s="14" t="str">
        <f>IF(A1251="","",CHOOSE(WEEKDAY(A1251),"日","月","火","水","木","金","土"))</f>
        <v/>
      </c>
      <c r="C1251" s="27"/>
      <c r="D1251" s="27"/>
      <c r="E1251" s="14" t="str">
        <f>IF(F1251="","",IFERROR(INDEX(マスター!$F$5:$F$200,MATCH(F1251,マスター!$E$5:$E$200,0)),"※マスター未登録"))</f>
        <v/>
      </c>
      <c r="F1251" s="27"/>
      <c r="G1251" s="27"/>
      <c r="H1251" s="27"/>
      <c r="I1251" s="27"/>
      <c r="J1251" s="27"/>
      <c r="K1251" s="27"/>
    </row>
    <row r="1252" spans="1:11" x14ac:dyDescent="0.2">
      <c r="A1252" s="26"/>
      <c r="B1252" s="14" t="str">
        <f>IF(A1252="","",CHOOSE(WEEKDAY(A1252),"日","月","火","水","木","金","土"))</f>
        <v/>
      </c>
      <c r="C1252" s="27"/>
      <c r="D1252" s="27"/>
      <c r="E1252" s="14" t="str">
        <f>IF(F1252="","",IFERROR(INDEX(マスター!$F$5:$F$200,MATCH(F1252,マスター!$E$5:$E$200,0)),"※マスター未登録"))</f>
        <v/>
      </c>
      <c r="F1252" s="27"/>
      <c r="G1252" s="27"/>
      <c r="H1252" s="27"/>
      <c r="I1252" s="27"/>
      <c r="J1252" s="27"/>
      <c r="K1252" s="27"/>
    </row>
    <row r="1253" spans="1:11" x14ac:dyDescent="0.2">
      <c r="A1253" s="26"/>
      <c r="B1253" s="14" t="str">
        <f>IF(A1253="","",CHOOSE(WEEKDAY(A1253),"日","月","火","水","木","金","土"))</f>
        <v/>
      </c>
      <c r="C1253" s="27"/>
      <c r="D1253" s="27"/>
      <c r="E1253" s="14" t="str">
        <f>IF(F1253="","",IFERROR(INDEX(マスター!$F$5:$F$200,MATCH(F1253,マスター!$E$5:$E$200,0)),"※マスター未登録"))</f>
        <v/>
      </c>
      <c r="F1253" s="27"/>
      <c r="G1253" s="27"/>
      <c r="H1253" s="27"/>
      <c r="I1253" s="27"/>
      <c r="J1253" s="27"/>
      <c r="K1253" s="27"/>
    </row>
    <row r="1254" spans="1:11" x14ac:dyDescent="0.2">
      <c r="A1254" s="26"/>
      <c r="B1254" s="14" t="str">
        <f>IF(A1254="","",CHOOSE(WEEKDAY(A1254),"日","月","火","水","木","金","土"))</f>
        <v/>
      </c>
      <c r="C1254" s="27"/>
      <c r="D1254" s="27"/>
      <c r="E1254" s="14" t="str">
        <f>IF(F1254="","",IFERROR(INDEX(マスター!$F$5:$F$200,MATCH(F1254,マスター!$E$5:$E$200,0)),"※マスター未登録"))</f>
        <v/>
      </c>
      <c r="F1254" s="27"/>
      <c r="G1254" s="27"/>
      <c r="H1254" s="27"/>
      <c r="I1254" s="27"/>
      <c r="J1254" s="27"/>
      <c r="K1254" s="27"/>
    </row>
    <row r="1255" spans="1:11" x14ac:dyDescent="0.2">
      <c r="A1255" s="26"/>
      <c r="B1255" s="14" t="str">
        <f>IF(A1255="","",CHOOSE(WEEKDAY(A1255),"日","月","火","水","木","金","土"))</f>
        <v/>
      </c>
      <c r="C1255" s="27"/>
      <c r="D1255" s="27"/>
      <c r="E1255" s="14" t="str">
        <f>IF(F1255="","",IFERROR(INDEX(マスター!$F$5:$F$200,MATCH(F1255,マスター!$E$5:$E$200,0)),"※マスター未登録"))</f>
        <v/>
      </c>
      <c r="F1255" s="27"/>
      <c r="G1255" s="27"/>
      <c r="H1255" s="27"/>
      <c r="I1255" s="27"/>
      <c r="J1255" s="27"/>
      <c r="K1255" s="27"/>
    </row>
    <row r="1256" spans="1:11" x14ac:dyDescent="0.2">
      <c r="A1256" s="26"/>
      <c r="B1256" s="14" t="str">
        <f>IF(A1256="","",CHOOSE(WEEKDAY(A1256),"日","月","火","水","木","金","土"))</f>
        <v/>
      </c>
      <c r="C1256" s="27"/>
      <c r="D1256" s="27"/>
      <c r="E1256" s="14" t="str">
        <f>IF(F1256="","",IFERROR(INDEX(マスター!$F$5:$F$200,MATCH(F1256,マスター!$E$5:$E$200,0)),"※マスター未登録"))</f>
        <v/>
      </c>
      <c r="F1256" s="27"/>
      <c r="G1256" s="27"/>
      <c r="H1256" s="27"/>
      <c r="I1256" s="27"/>
      <c r="J1256" s="27"/>
      <c r="K1256" s="27"/>
    </row>
    <row r="1257" spans="1:11" x14ac:dyDescent="0.2">
      <c r="A1257" s="26"/>
      <c r="B1257" s="14" t="str">
        <f>IF(A1257="","",CHOOSE(WEEKDAY(A1257),"日","月","火","水","木","金","土"))</f>
        <v/>
      </c>
      <c r="C1257" s="27"/>
      <c r="D1257" s="27"/>
      <c r="E1257" s="14" t="str">
        <f>IF(F1257="","",IFERROR(INDEX(マスター!$F$5:$F$200,MATCH(F1257,マスター!$E$5:$E$200,0)),"※マスター未登録"))</f>
        <v/>
      </c>
      <c r="F1257" s="27"/>
      <c r="G1257" s="27"/>
      <c r="H1257" s="27"/>
      <c r="I1257" s="27"/>
      <c r="J1257" s="27"/>
      <c r="K1257" s="27"/>
    </row>
    <row r="1258" spans="1:11" x14ac:dyDescent="0.2">
      <c r="A1258" s="26"/>
      <c r="B1258" s="14" t="str">
        <f>IF(A1258="","",CHOOSE(WEEKDAY(A1258),"日","月","火","水","木","金","土"))</f>
        <v/>
      </c>
      <c r="C1258" s="27"/>
      <c r="D1258" s="27"/>
      <c r="E1258" s="14" t="str">
        <f>IF(F1258="","",IFERROR(INDEX(マスター!$F$5:$F$200,MATCH(F1258,マスター!$E$5:$E$200,0)),"※マスター未登録"))</f>
        <v/>
      </c>
      <c r="F1258" s="27"/>
      <c r="G1258" s="27"/>
      <c r="H1258" s="27"/>
      <c r="I1258" s="27"/>
      <c r="J1258" s="27"/>
      <c r="K1258" s="27"/>
    </row>
    <row r="1259" spans="1:11" x14ac:dyDescent="0.2">
      <c r="A1259" s="26"/>
      <c r="B1259" s="14" t="str">
        <f>IF(A1259="","",CHOOSE(WEEKDAY(A1259),"日","月","火","水","木","金","土"))</f>
        <v/>
      </c>
      <c r="C1259" s="27"/>
      <c r="D1259" s="27"/>
      <c r="E1259" s="14" t="str">
        <f>IF(F1259="","",IFERROR(INDEX(マスター!$F$5:$F$200,MATCH(F1259,マスター!$E$5:$E$200,0)),"※マスター未登録"))</f>
        <v/>
      </c>
      <c r="F1259" s="27"/>
      <c r="G1259" s="27"/>
      <c r="H1259" s="27"/>
      <c r="I1259" s="27"/>
      <c r="J1259" s="27"/>
      <c r="K1259" s="27"/>
    </row>
    <row r="1260" spans="1:11" x14ac:dyDescent="0.2">
      <c r="A1260" s="26"/>
      <c r="B1260" s="14" t="str">
        <f>IF(A1260="","",CHOOSE(WEEKDAY(A1260),"日","月","火","水","木","金","土"))</f>
        <v/>
      </c>
      <c r="C1260" s="27"/>
      <c r="D1260" s="27"/>
      <c r="E1260" s="14" t="str">
        <f>IF(F1260="","",IFERROR(INDEX(マスター!$F$5:$F$200,MATCH(F1260,マスター!$E$5:$E$200,0)),"※マスター未登録"))</f>
        <v/>
      </c>
      <c r="F1260" s="27"/>
      <c r="G1260" s="27"/>
      <c r="H1260" s="27"/>
      <c r="I1260" s="27"/>
      <c r="J1260" s="27"/>
      <c r="K1260" s="27"/>
    </row>
    <row r="1261" spans="1:11" x14ac:dyDescent="0.2">
      <c r="A1261" s="26"/>
      <c r="B1261" s="14" t="str">
        <f>IF(A1261="","",CHOOSE(WEEKDAY(A1261),"日","月","火","水","木","金","土"))</f>
        <v/>
      </c>
      <c r="C1261" s="27"/>
      <c r="D1261" s="27"/>
      <c r="E1261" s="14" t="str">
        <f>IF(F1261="","",IFERROR(INDEX(マスター!$F$5:$F$200,MATCH(F1261,マスター!$E$5:$E$200,0)),"※マスター未登録"))</f>
        <v/>
      </c>
      <c r="F1261" s="27"/>
      <c r="G1261" s="27"/>
      <c r="H1261" s="27"/>
      <c r="I1261" s="27"/>
      <c r="J1261" s="27"/>
      <c r="K1261" s="27"/>
    </row>
    <row r="1262" spans="1:11" x14ac:dyDescent="0.2">
      <c r="A1262" s="26"/>
      <c r="B1262" s="14" t="str">
        <f>IF(A1262="","",CHOOSE(WEEKDAY(A1262),"日","月","火","水","木","金","土"))</f>
        <v/>
      </c>
      <c r="C1262" s="27"/>
      <c r="D1262" s="27"/>
      <c r="E1262" s="14" t="str">
        <f>IF(F1262="","",IFERROR(INDEX(マスター!$F$5:$F$200,MATCH(F1262,マスター!$E$5:$E$200,0)),"※マスター未登録"))</f>
        <v/>
      </c>
      <c r="F1262" s="27"/>
      <c r="G1262" s="27"/>
      <c r="H1262" s="27"/>
      <c r="I1262" s="27"/>
      <c r="J1262" s="27"/>
      <c r="K1262" s="27"/>
    </row>
    <row r="1263" spans="1:11" x14ac:dyDescent="0.2">
      <c r="A1263" s="26"/>
      <c r="B1263" s="14" t="str">
        <f>IF(A1263="","",CHOOSE(WEEKDAY(A1263),"日","月","火","水","木","金","土"))</f>
        <v/>
      </c>
      <c r="C1263" s="27"/>
      <c r="D1263" s="27"/>
      <c r="E1263" s="14" t="str">
        <f>IF(F1263="","",IFERROR(INDEX(マスター!$F$5:$F$200,MATCH(F1263,マスター!$E$5:$E$200,0)),"※マスター未登録"))</f>
        <v/>
      </c>
      <c r="F1263" s="27"/>
      <c r="G1263" s="27"/>
      <c r="H1263" s="27"/>
      <c r="I1263" s="27"/>
      <c r="J1263" s="27"/>
      <c r="K1263" s="27"/>
    </row>
    <row r="1264" spans="1:11" x14ac:dyDescent="0.2">
      <c r="A1264" s="26"/>
      <c r="B1264" s="14" t="str">
        <f>IF(A1264="","",CHOOSE(WEEKDAY(A1264),"日","月","火","水","木","金","土"))</f>
        <v/>
      </c>
      <c r="C1264" s="27"/>
      <c r="D1264" s="27"/>
      <c r="E1264" s="14" t="str">
        <f>IF(F1264="","",IFERROR(INDEX(マスター!$F$5:$F$200,MATCH(F1264,マスター!$E$5:$E$200,0)),"※マスター未登録"))</f>
        <v/>
      </c>
      <c r="F1264" s="27"/>
      <c r="G1264" s="27"/>
      <c r="H1264" s="27"/>
      <c r="I1264" s="27"/>
      <c r="J1264" s="27"/>
      <c r="K1264" s="27"/>
    </row>
    <row r="1265" spans="1:11" x14ac:dyDescent="0.2">
      <c r="A1265" s="26"/>
      <c r="B1265" s="14" t="str">
        <f>IF(A1265="","",CHOOSE(WEEKDAY(A1265),"日","月","火","水","木","金","土"))</f>
        <v/>
      </c>
      <c r="C1265" s="27"/>
      <c r="D1265" s="27"/>
      <c r="E1265" s="14" t="str">
        <f>IF(F1265="","",IFERROR(INDEX(マスター!$F$5:$F$200,MATCH(F1265,マスター!$E$5:$E$200,0)),"※マスター未登録"))</f>
        <v/>
      </c>
      <c r="F1265" s="27"/>
      <c r="G1265" s="27"/>
      <c r="H1265" s="27"/>
      <c r="I1265" s="27"/>
      <c r="J1265" s="27"/>
      <c r="K1265" s="27"/>
    </row>
    <row r="1266" spans="1:11" x14ac:dyDescent="0.2">
      <c r="A1266" s="26"/>
      <c r="B1266" s="14" t="str">
        <f>IF(A1266="","",CHOOSE(WEEKDAY(A1266),"日","月","火","水","木","金","土"))</f>
        <v/>
      </c>
      <c r="C1266" s="27"/>
      <c r="D1266" s="27"/>
      <c r="E1266" s="14" t="str">
        <f>IF(F1266="","",IFERROR(INDEX(マスター!$F$5:$F$200,MATCH(F1266,マスター!$E$5:$E$200,0)),"※マスター未登録"))</f>
        <v/>
      </c>
      <c r="F1266" s="27"/>
      <c r="G1266" s="27"/>
      <c r="H1266" s="27"/>
      <c r="I1266" s="27"/>
      <c r="J1266" s="27"/>
      <c r="K1266" s="27"/>
    </row>
    <row r="1267" spans="1:11" x14ac:dyDescent="0.2">
      <c r="A1267" s="26"/>
      <c r="B1267" s="14" t="str">
        <f>IF(A1267="","",CHOOSE(WEEKDAY(A1267),"日","月","火","水","木","金","土"))</f>
        <v/>
      </c>
      <c r="C1267" s="27"/>
      <c r="D1267" s="27"/>
      <c r="E1267" s="14" t="str">
        <f>IF(F1267="","",IFERROR(INDEX(マスター!$F$5:$F$200,MATCH(F1267,マスター!$E$5:$E$200,0)),"※マスター未登録"))</f>
        <v/>
      </c>
      <c r="F1267" s="27"/>
      <c r="G1267" s="27"/>
      <c r="H1267" s="27"/>
      <c r="I1267" s="27"/>
      <c r="J1267" s="27"/>
      <c r="K1267" s="27"/>
    </row>
    <row r="1268" spans="1:11" x14ac:dyDescent="0.2">
      <c r="A1268" s="26"/>
      <c r="B1268" s="14" t="str">
        <f>IF(A1268="","",CHOOSE(WEEKDAY(A1268),"日","月","火","水","木","金","土"))</f>
        <v/>
      </c>
      <c r="C1268" s="27"/>
      <c r="D1268" s="27"/>
      <c r="E1268" s="14" t="str">
        <f>IF(F1268="","",IFERROR(INDEX(マスター!$F$5:$F$200,MATCH(F1268,マスター!$E$5:$E$200,0)),"※マスター未登録"))</f>
        <v/>
      </c>
      <c r="F1268" s="27"/>
      <c r="G1268" s="27"/>
      <c r="H1268" s="27"/>
      <c r="I1268" s="27"/>
      <c r="J1268" s="27"/>
      <c r="K1268" s="27"/>
    </row>
    <row r="1269" spans="1:11" x14ac:dyDescent="0.2">
      <c r="A1269" s="26"/>
      <c r="B1269" s="14" t="str">
        <f>IF(A1269="","",CHOOSE(WEEKDAY(A1269),"日","月","火","水","木","金","土"))</f>
        <v/>
      </c>
      <c r="C1269" s="27"/>
      <c r="D1269" s="27"/>
      <c r="E1269" s="14" t="str">
        <f>IF(F1269="","",IFERROR(INDEX(マスター!$F$5:$F$200,MATCH(F1269,マスター!$E$5:$E$200,0)),"※マスター未登録"))</f>
        <v/>
      </c>
      <c r="F1269" s="27"/>
      <c r="G1269" s="27"/>
      <c r="H1269" s="27"/>
      <c r="I1269" s="27"/>
      <c r="J1269" s="27"/>
      <c r="K1269" s="27"/>
    </row>
    <row r="1270" spans="1:11" x14ac:dyDescent="0.2">
      <c r="A1270" s="26"/>
      <c r="B1270" s="14" t="str">
        <f>IF(A1270="","",CHOOSE(WEEKDAY(A1270),"日","月","火","水","木","金","土"))</f>
        <v/>
      </c>
      <c r="C1270" s="27"/>
      <c r="D1270" s="27"/>
      <c r="E1270" s="14" t="str">
        <f>IF(F1270="","",IFERROR(INDEX(マスター!$F$5:$F$200,MATCH(F1270,マスター!$E$5:$E$200,0)),"※マスター未登録"))</f>
        <v/>
      </c>
      <c r="F1270" s="27"/>
      <c r="G1270" s="27"/>
      <c r="H1270" s="27"/>
      <c r="I1270" s="27"/>
      <c r="J1270" s="27"/>
      <c r="K1270" s="27"/>
    </row>
    <row r="1271" spans="1:11" x14ac:dyDescent="0.2">
      <c r="A1271" s="26"/>
      <c r="B1271" s="14" t="str">
        <f>IF(A1271="","",CHOOSE(WEEKDAY(A1271),"日","月","火","水","木","金","土"))</f>
        <v/>
      </c>
      <c r="C1271" s="27"/>
      <c r="D1271" s="27"/>
      <c r="E1271" s="14" t="str">
        <f>IF(F1271="","",IFERROR(INDEX(マスター!$F$5:$F$200,MATCH(F1271,マスター!$E$5:$E$200,0)),"※マスター未登録"))</f>
        <v/>
      </c>
      <c r="F1271" s="27"/>
      <c r="G1271" s="27"/>
      <c r="H1271" s="27"/>
      <c r="I1271" s="27"/>
      <c r="J1271" s="27"/>
      <c r="K1271" s="27"/>
    </row>
    <row r="1272" spans="1:11" x14ac:dyDescent="0.2">
      <c r="A1272" s="26"/>
      <c r="B1272" s="14" t="str">
        <f>IF(A1272="","",CHOOSE(WEEKDAY(A1272),"日","月","火","水","木","金","土"))</f>
        <v/>
      </c>
      <c r="C1272" s="27"/>
      <c r="D1272" s="27"/>
      <c r="E1272" s="14" t="str">
        <f>IF(F1272="","",IFERROR(INDEX(マスター!$F$5:$F$200,MATCH(F1272,マスター!$E$5:$E$200,0)),"※マスター未登録"))</f>
        <v/>
      </c>
      <c r="F1272" s="27"/>
      <c r="G1272" s="27"/>
      <c r="H1272" s="27"/>
      <c r="I1272" s="27"/>
      <c r="J1272" s="27"/>
      <c r="K1272" s="27"/>
    </row>
    <row r="1273" spans="1:11" x14ac:dyDescent="0.2">
      <c r="A1273" s="26"/>
      <c r="B1273" s="14" t="str">
        <f>IF(A1273="","",CHOOSE(WEEKDAY(A1273),"日","月","火","水","木","金","土"))</f>
        <v/>
      </c>
      <c r="C1273" s="27"/>
      <c r="D1273" s="27"/>
      <c r="E1273" s="14" t="str">
        <f>IF(F1273="","",IFERROR(INDEX(マスター!$F$5:$F$200,MATCH(F1273,マスター!$E$5:$E$200,0)),"※マスター未登録"))</f>
        <v/>
      </c>
      <c r="F1273" s="27"/>
      <c r="G1273" s="27"/>
      <c r="H1273" s="27"/>
      <c r="I1273" s="27"/>
      <c r="J1273" s="27"/>
      <c r="K1273" s="27"/>
    </row>
    <row r="1274" spans="1:11" x14ac:dyDescent="0.2">
      <c r="A1274" s="26"/>
      <c r="B1274" s="14" t="str">
        <f>IF(A1274="","",CHOOSE(WEEKDAY(A1274),"日","月","火","水","木","金","土"))</f>
        <v/>
      </c>
      <c r="C1274" s="27"/>
      <c r="D1274" s="27"/>
      <c r="E1274" s="14" t="str">
        <f>IF(F1274="","",IFERROR(INDEX(マスター!$F$5:$F$200,MATCH(F1274,マスター!$E$5:$E$200,0)),"※マスター未登録"))</f>
        <v/>
      </c>
      <c r="F1274" s="27"/>
      <c r="G1274" s="27"/>
      <c r="H1274" s="27"/>
      <c r="I1274" s="27"/>
      <c r="J1274" s="27"/>
      <c r="K1274" s="27"/>
    </row>
    <row r="1275" spans="1:11" x14ac:dyDescent="0.2">
      <c r="A1275" s="26"/>
      <c r="B1275" s="14" t="str">
        <f>IF(A1275="","",CHOOSE(WEEKDAY(A1275),"日","月","火","水","木","金","土"))</f>
        <v/>
      </c>
      <c r="C1275" s="27"/>
      <c r="D1275" s="27"/>
      <c r="E1275" s="14" t="str">
        <f>IF(F1275="","",IFERROR(INDEX(マスター!$F$5:$F$200,MATCH(F1275,マスター!$E$5:$E$200,0)),"※マスター未登録"))</f>
        <v/>
      </c>
      <c r="F1275" s="27"/>
      <c r="G1275" s="27"/>
      <c r="H1275" s="27"/>
      <c r="I1275" s="27"/>
      <c r="J1275" s="27"/>
      <c r="K1275" s="27"/>
    </row>
    <row r="1276" spans="1:11" x14ac:dyDescent="0.2">
      <c r="A1276" s="26"/>
      <c r="B1276" s="14" t="str">
        <f>IF(A1276="","",CHOOSE(WEEKDAY(A1276),"日","月","火","水","木","金","土"))</f>
        <v/>
      </c>
      <c r="C1276" s="27"/>
      <c r="D1276" s="27"/>
      <c r="E1276" s="14" t="str">
        <f>IF(F1276="","",IFERROR(INDEX(マスター!$F$5:$F$200,MATCH(F1276,マスター!$E$5:$E$200,0)),"※マスター未登録"))</f>
        <v/>
      </c>
      <c r="F1276" s="27"/>
      <c r="G1276" s="27"/>
      <c r="H1276" s="27"/>
      <c r="I1276" s="27"/>
      <c r="J1276" s="27"/>
      <c r="K1276" s="27"/>
    </row>
    <row r="1277" spans="1:11" x14ac:dyDescent="0.2">
      <c r="A1277" s="26"/>
      <c r="B1277" s="14" t="str">
        <f>IF(A1277="","",CHOOSE(WEEKDAY(A1277),"日","月","火","水","木","金","土"))</f>
        <v/>
      </c>
      <c r="C1277" s="27"/>
      <c r="D1277" s="27"/>
      <c r="E1277" s="14" t="str">
        <f>IF(F1277="","",IFERROR(INDEX(マスター!$F$5:$F$200,MATCH(F1277,マスター!$E$5:$E$200,0)),"※マスター未登録"))</f>
        <v/>
      </c>
      <c r="F1277" s="27"/>
      <c r="G1277" s="27"/>
      <c r="H1277" s="27"/>
      <c r="I1277" s="27"/>
      <c r="J1277" s="27"/>
      <c r="K1277" s="27"/>
    </row>
    <row r="1278" spans="1:11" x14ac:dyDescent="0.2">
      <c r="A1278" s="26"/>
      <c r="B1278" s="14" t="str">
        <f>IF(A1278="","",CHOOSE(WEEKDAY(A1278),"日","月","火","水","木","金","土"))</f>
        <v/>
      </c>
      <c r="C1278" s="27"/>
      <c r="D1278" s="27"/>
      <c r="E1278" s="14" t="str">
        <f>IF(F1278="","",IFERROR(INDEX(マスター!$F$5:$F$200,MATCH(F1278,マスター!$E$5:$E$200,0)),"※マスター未登録"))</f>
        <v/>
      </c>
      <c r="F1278" s="27"/>
      <c r="G1278" s="27"/>
      <c r="H1278" s="27"/>
      <c r="I1278" s="27"/>
      <c r="J1278" s="27"/>
      <c r="K1278" s="27"/>
    </row>
    <row r="1279" spans="1:11" x14ac:dyDescent="0.2">
      <c r="A1279" s="26"/>
      <c r="B1279" s="14" t="str">
        <f>IF(A1279="","",CHOOSE(WEEKDAY(A1279),"日","月","火","水","木","金","土"))</f>
        <v/>
      </c>
      <c r="C1279" s="27"/>
      <c r="D1279" s="27"/>
      <c r="E1279" s="14" t="str">
        <f>IF(F1279="","",IFERROR(INDEX(マスター!$F$5:$F$200,MATCH(F1279,マスター!$E$5:$E$200,0)),"※マスター未登録"))</f>
        <v/>
      </c>
      <c r="F1279" s="27"/>
      <c r="G1279" s="27"/>
      <c r="H1279" s="27"/>
      <c r="I1279" s="27"/>
      <c r="J1279" s="27"/>
      <c r="K1279" s="27"/>
    </row>
    <row r="1280" spans="1:11" x14ac:dyDescent="0.2">
      <c r="A1280" s="26"/>
      <c r="B1280" s="14" t="str">
        <f>IF(A1280="","",CHOOSE(WEEKDAY(A1280),"日","月","火","水","木","金","土"))</f>
        <v/>
      </c>
      <c r="C1280" s="27"/>
      <c r="D1280" s="27"/>
      <c r="E1280" s="14" t="str">
        <f>IF(F1280="","",IFERROR(INDEX(マスター!$F$5:$F$200,MATCH(F1280,マスター!$E$5:$E$200,0)),"※マスター未登録"))</f>
        <v/>
      </c>
      <c r="F1280" s="27"/>
      <c r="G1280" s="27"/>
      <c r="H1280" s="27"/>
      <c r="I1280" s="27"/>
      <c r="J1280" s="27"/>
      <c r="K1280" s="27"/>
    </row>
    <row r="1281" spans="1:11" x14ac:dyDescent="0.2">
      <c r="A1281" s="26"/>
      <c r="B1281" s="14" t="str">
        <f>IF(A1281="","",CHOOSE(WEEKDAY(A1281),"日","月","火","水","木","金","土"))</f>
        <v/>
      </c>
      <c r="C1281" s="27"/>
      <c r="D1281" s="27"/>
      <c r="E1281" s="14" t="str">
        <f>IF(F1281="","",IFERROR(INDEX(マスター!$F$5:$F$200,MATCH(F1281,マスター!$E$5:$E$200,0)),"※マスター未登録"))</f>
        <v/>
      </c>
      <c r="F1281" s="27"/>
      <c r="G1281" s="27"/>
      <c r="H1281" s="27"/>
      <c r="I1281" s="27"/>
      <c r="J1281" s="27"/>
      <c r="K1281" s="27"/>
    </row>
    <row r="1282" spans="1:11" x14ac:dyDescent="0.2">
      <c r="A1282" s="26"/>
      <c r="B1282" s="14" t="str">
        <f>IF(A1282="","",CHOOSE(WEEKDAY(A1282),"日","月","火","水","木","金","土"))</f>
        <v/>
      </c>
      <c r="C1282" s="27"/>
      <c r="D1282" s="27"/>
      <c r="E1282" s="14" t="str">
        <f>IF(F1282="","",IFERROR(INDEX(マスター!$F$5:$F$200,MATCH(F1282,マスター!$E$5:$E$200,0)),"※マスター未登録"))</f>
        <v/>
      </c>
      <c r="F1282" s="27"/>
      <c r="G1282" s="27"/>
      <c r="H1282" s="27"/>
      <c r="I1282" s="27"/>
      <c r="J1282" s="27"/>
      <c r="K1282" s="27"/>
    </row>
    <row r="1283" spans="1:11" x14ac:dyDescent="0.2">
      <c r="A1283" s="26"/>
      <c r="B1283" s="14" t="str">
        <f>IF(A1283="","",CHOOSE(WEEKDAY(A1283),"日","月","火","水","木","金","土"))</f>
        <v/>
      </c>
      <c r="C1283" s="27"/>
      <c r="D1283" s="27"/>
      <c r="E1283" s="14" t="str">
        <f>IF(F1283="","",IFERROR(INDEX(マスター!$F$5:$F$200,MATCH(F1283,マスター!$E$5:$E$200,0)),"※マスター未登録"))</f>
        <v/>
      </c>
      <c r="F1283" s="27"/>
      <c r="G1283" s="27"/>
      <c r="H1283" s="27"/>
      <c r="I1283" s="27"/>
      <c r="J1283" s="27"/>
      <c r="K1283" s="27"/>
    </row>
    <row r="1284" spans="1:11" x14ac:dyDescent="0.2">
      <c r="A1284" s="26"/>
      <c r="B1284" s="14" t="str">
        <f>IF(A1284="","",CHOOSE(WEEKDAY(A1284),"日","月","火","水","木","金","土"))</f>
        <v/>
      </c>
      <c r="C1284" s="27"/>
      <c r="D1284" s="27"/>
      <c r="E1284" s="14" t="str">
        <f>IF(F1284="","",IFERROR(INDEX(マスター!$F$5:$F$200,MATCH(F1284,マスター!$E$5:$E$200,0)),"※マスター未登録"))</f>
        <v/>
      </c>
      <c r="F1284" s="27"/>
      <c r="G1284" s="27"/>
      <c r="H1284" s="27"/>
      <c r="I1284" s="27"/>
      <c r="J1284" s="27"/>
      <c r="K1284" s="27"/>
    </row>
    <row r="1285" spans="1:11" x14ac:dyDescent="0.2">
      <c r="A1285" s="26"/>
      <c r="B1285" s="14" t="str">
        <f>IF(A1285="","",CHOOSE(WEEKDAY(A1285),"日","月","火","水","木","金","土"))</f>
        <v/>
      </c>
      <c r="C1285" s="27"/>
      <c r="D1285" s="27"/>
      <c r="E1285" s="14" t="str">
        <f>IF(F1285="","",IFERROR(INDEX(マスター!$F$5:$F$200,MATCH(F1285,マスター!$E$5:$E$200,0)),"※マスター未登録"))</f>
        <v/>
      </c>
      <c r="F1285" s="27"/>
      <c r="G1285" s="27"/>
      <c r="H1285" s="27"/>
      <c r="I1285" s="27"/>
      <c r="J1285" s="27"/>
      <c r="K1285" s="27"/>
    </row>
    <row r="1286" spans="1:11" x14ac:dyDescent="0.2">
      <c r="A1286" s="26"/>
      <c r="B1286" s="14" t="str">
        <f>IF(A1286="","",CHOOSE(WEEKDAY(A1286),"日","月","火","水","木","金","土"))</f>
        <v/>
      </c>
      <c r="C1286" s="27"/>
      <c r="D1286" s="27"/>
      <c r="E1286" s="14" t="str">
        <f>IF(F1286="","",IFERROR(INDEX(マスター!$F$5:$F$200,MATCH(F1286,マスター!$E$5:$E$200,0)),"※マスター未登録"))</f>
        <v/>
      </c>
      <c r="F1286" s="27"/>
      <c r="G1286" s="27"/>
      <c r="H1286" s="27"/>
      <c r="I1286" s="27"/>
      <c r="J1286" s="27"/>
      <c r="K1286" s="27"/>
    </row>
    <row r="1287" spans="1:11" x14ac:dyDescent="0.2">
      <c r="A1287" s="26"/>
      <c r="B1287" s="14" t="str">
        <f>IF(A1287="","",CHOOSE(WEEKDAY(A1287),"日","月","火","水","木","金","土"))</f>
        <v/>
      </c>
      <c r="C1287" s="27"/>
      <c r="D1287" s="27"/>
      <c r="E1287" s="14" t="str">
        <f>IF(F1287="","",IFERROR(INDEX(マスター!$F$5:$F$200,MATCH(F1287,マスター!$E$5:$E$200,0)),"※マスター未登録"))</f>
        <v/>
      </c>
      <c r="F1287" s="27"/>
      <c r="G1287" s="27"/>
      <c r="H1287" s="27"/>
      <c r="I1287" s="27"/>
      <c r="J1287" s="27"/>
      <c r="K1287" s="27"/>
    </row>
    <row r="1288" spans="1:11" x14ac:dyDescent="0.2">
      <c r="A1288" s="26"/>
      <c r="B1288" s="14" t="str">
        <f>IF(A1288="","",CHOOSE(WEEKDAY(A1288),"日","月","火","水","木","金","土"))</f>
        <v/>
      </c>
      <c r="C1288" s="27"/>
      <c r="D1288" s="27"/>
      <c r="E1288" s="14" t="str">
        <f>IF(F1288="","",IFERROR(INDEX(マスター!$F$5:$F$200,MATCH(F1288,マスター!$E$5:$E$200,0)),"※マスター未登録"))</f>
        <v/>
      </c>
      <c r="F1288" s="27"/>
      <c r="G1288" s="27"/>
      <c r="H1288" s="27"/>
      <c r="I1288" s="27"/>
      <c r="J1288" s="27"/>
      <c r="K1288" s="27"/>
    </row>
    <row r="1289" spans="1:11" x14ac:dyDescent="0.2">
      <c r="A1289" s="26"/>
      <c r="B1289" s="14" t="str">
        <f>IF(A1289="","",CHOOSE(WEEKDAY(A1289),"日","月","火","水","木","金","土"))</f>
        <v/>
      </c>
      <c r="C1289" s="27"/>
      <c r="D1289" s="27"/>
      <c r="E1289" s="14" t="str">
        <f>IF(F1289="","",IFERROR(INDEX(マスター!$F$5:$F$200,MATCH(F1289,マスター!$E$5:$E$200,0)),"※マスター未登録"))</f>
        <v/>
      </c>
      <c r="F1289" s="27"/>
      <c r="G1289" s="27"/>
      <c r="H1289" s="27"/>
      <c r="I1289" s="27"/>
      <c r="J1289" s="27"/>
      <c r="K1289" s="27"/>
    </row>
    <row r="1290" spans="1:11" x14ac:dyDescent="0.2">
      <c r="A1290" s="26"/>
      <c r="B1290" s="14" t="str">
        <f>IF(A1290="","",CHOOSE(WEEKDAY(A1290),"日","月","火","水","木","金","土"))</f>
        <v/>
      </c>
      <c r="C1290" s="27"/>
      <c r="D1290" s="27"/>
      <c r="E1290" s="14" t="str">
        <f>IF(F1290="","",IFERROR(INDEX(マスター!$F$5:$F$200,MATCH(F1290,マスター!$E$5:$E$200,0)),"※マスター未登録"))</f>
        <v/>
      </c>
      <c r="F1290" s="27"/>
      <c r="G1290" s="27"/>
      <c r="H1290" s="27"/>
      <c r="I1290" s="27"/>
      <c r="J1290" s="27"/>
      <c r="K1290" s="27"/>
    </row>
    <row r="1291" spans="1:11" x14ac:dyDescent="0.2">
      <c r="A1291" s="26"/>
      <c r="B1291" s="14" t="str">
        <f>IF(A1291="","",CHOOSE(WEEKDAY(A1291),"日","月","火","水","木","金","土"))</f>
        <v/>
      </c>
      <c r="C1291" s="27"/>
      <c r="D1291" s="27"/>
      <c r="E1291" s="14" t="str">
        <f>IF(F1291="","",IFERROR(INDEX(マスター!$F$5:$F$200,MATCH(F1291,マスター!$E$5:$E$200,0)),"※マスター未登録"))</f>
        <v/>
      </c>
      <c r="F1291" s="27"/>
      <c r="G1291" s="27"/>
      <c r="H1291" s="27"/>
      <c r="I1291" s="27"/>
      <c r="J1291" s="27"/>
      <c r="K1291" s="27"/>
    </row>
    <row r="1292" spans="1:11" x14ac:dyDescent="0.2">
      <c r="A1292" s="26"/>
      <c r="B1292" s="14" t="str">
        <f>IF(A1292="","",CHOOSE(WEEKDAY(A1292),"日","月","火","水","木","金","土"))</f>
        <v/>
      </c>
      <c r="C1292" s="27"/>
      <c r="D1292" s="27"/>
      <c r="E1292" s="14" t="str">
        <f>IF(F1292="","",IFERROR(INDEX(マスター!$F$5:$F$200,MATCH(F1292,マスター!$E$5:$E$200,0)),"※マスター未登録"))</f>
        <v/>
      </c>
      <c r="F1292" s="27"/>
      <c r="G1292" s="27"/>
      <c r="H1292" s="27"/>
      <c r="I1292" s="27"/>
      <c r="J1292" s="27"/>
      <c r="K1292" s="27"/>
    </row>
    <row r="1293" spans="1:11" x14ac:dyDescent="0.2">
      <c r="A1293" s="26"/>
      <c r="B1293" s="14" t="str">
        <f>IF(A1293="","",CHOOSE(WEEKDAY(A1293),"日","月","火","水","木","金","土"))</f>
        <v/>
      </c>
      <c r="C1293" s="27"/>
      <c r="D1293" s="27"/>
      <c r="E1293" s="14" t="str">
        <f>IF(F1293="","",IFERROR(INDEX(マスター!$F$5:$F$200,MATCH(F1293,マスター!$E$5:$E$200,0)),"※マスター未登録"))</f>
        <v/>
      </c>
      <c r="F1293" s="27"/>
      <c r="G1293" s="27"/>
      <c r="H1293" s="27"/>
      <c r="I1293" s="27"/>
      <c r="J1293" s="27"/>
      <c r="K1293" s="27"/>
    </row>
    <row r="1294" spans="1:11" x14ac:dyDescent="0.2">
      <c r="A1294" s="26"/>
      <c r="B1294" s="14" t="str">
        <f>IF(A1294="","",CHOOSE(WEEKDAY(A1294),"日","月","火","水","木","金","土"))</f>
        <v/>
      </c>
      <c r="C1294" s="27"/>
      <c r="D1294" s="27"/>
      <c r="E1294" s="14" t="str">
        <f>IF(F1294="","",IFERROR(INDEX(マスター!$F$5:$F$200,MATCH(F1294,マスター!$E$5:$E$200,0)),"※マスター未登録"))</f>
        <v/>
      </c>
      <c r="F1294" s="27"/>
      <c r="G1294" s="27"/>
      <c r="H1294" s="27"/>
      <c r="I1294" s="27"/>
      <c r="J1294" s="27"/>
      <c r="K1294" s="27"/>
    </row>
    <row r="1295" spans="1:11" x14ac:dyDescent="0.2">
      <c r="A1295" s="26"/>
      <c r="B1295" s="14" t="str">
        <f>IF(A1295="","",CHOOSE(WEEKDAY(A1295),"日","月","火","水","木","金","土"))</f>
        <v/>
      </c>
      <c r="C1295" s="27"/>
      <c r="D1295" s="27"/>
      <c r="E1295" s="14" t="str">
        <f>IF(F1295="","",IFERROR(INDEX(マスター!$F$5:$F$200,MATCH(F1295,マスター!$E$5:$E$200,0)),"※マスター未登録"))</f>
        <v/>
      </c>
      <c r="F1295" s="27"/>
      <c r="G1295" s="27"/>
      <c r="H1295" s="27"/>
      <c r="I1295" s="27"/>
      <c r="J1295" s="27"/>
      <c r="K1295" s="27"/>
    </row>
    <row r="1296" spans="1:11" x14ac:dyDescent="0.2">
      <c r="A1296" s="26"/>
      <c r="B1296" s="14" t="str">
        <f>IF(A1296="","",CHOOSE(WEEKDAY(A1296),"日","月","火","水","木","金","土"))</f>
        <v/>
      </c>
      <c r="C1296" s="27"/>
      <c r="D1296" s="27"/>
      <c r="E1296" s="14" t="str">
        <f>IF(F1296="","",IFERROR(INDEX(マスター!$F$5:$F$200,MATCH(F1296,マスター!$E$5:$E$200,0)),"※マスター未登録"))</f>
        <v/>
      </c>
      <c r="F1296" s="27"/>
      <c r="G1296" s="27"/>
      <c r="H1296" s="27"/>
      <c r="I1296" s="27"/>
      <c r="J1296" s="27"/>
      <c r="K1296" s="27"/>
    </row>
    <row r="1297" spans="1:11" x14ac:dyDescent="0.2">
      <c r="A1297" s="26"/>
      <c r="B1297" s="14" t="str">
        <f>IF(A1297="","",CHOOSE(WEEKDAY(A1297),"日","月","火","水","木","金","土"))</f>
        <v/>
      </c>
      <c r="C1297" s="27"/>
      <c r="D1297" s="27"/>
      <c r="E1297" s="14" t="str">
        <f>IF(F1297="","",IFERROR(INDEX(マスター!$F$5:$F$200,MATCH(F1297,マスター!$E$5:$E$200,0)),"※マスター未登録"))</f>
        <v/>
      </c>
      <c r="F1297" s="27"/>
      <c r="G1297" s="27"/>
      <c r="H1297" s="27"/>
      <c r="I1297" s="27"/>
      <c r="J1297" s="27"/>
      <c r="K1297" s="27"/>
    </row>
    <row r="1298" spans="1:11" x14ac:dyDescent="0.2">
      <c r="A1298" s="26"/>
      <c r="B1298" s="14" t="str">
        <f>IF(A1298="","",CHOOSE(WEEKDAY(A1298),"日","月","火","水","木","金","土"))</f>
        <v/>
      </c>
      <c r="C1298" s="27"/>
      <c r="D1298" s="27"/>
      <c r="E1298" s="14" t="str">
        <f>IF(F1298="","",IFERROR(INDEX(マスター!$F$5:$F$200,MATCH(F1298,マスター!$E$5:$E$200,0)),"※マスター未登録"))</f>
        <v/>
      </c>
      <c r="F1298" s="27"/>
      <c r="G1298" s="27"/>
      <c r="H1298" s="27"/>
      <c r="I1298" s="27"/>
      <c r="J1298" s="27"/>
      <c r="K1298" s="27"/>
    </row>
    <row r="1299" spans="1:11" x14ac:dyDescent="0.2">
      <c r="A1299" s="26"/>
      <c r="B1299" s="14" t="str">
        <f>IF(A1299="","",CHOOSE(WEEKDAY(A1299),"日","月","火","水","木","金","土"))</f>
        <v/>
      </c>
      <c r="C1299" s="27"/>
      <c r="D1299" s="27"/>
      <c r="E1299" s="14" t="str">
        <f>IF(F1299="","",IFERROR(INDEX(マスター!$F$5:$F$200,MATCH(F1299,マスター!$E$5:$E$200,0)),"※マスター未登録"))</f>
        <v/>
      </c>
      <c r="F1299" s="27"/>
      <c r="G1299" s="27"/>
      <c r="H1299" s="27"/>
      <c r="I1299" s="27"/>
      <c r="J1299" s="27"/>
      <c r="K1299" s="27"/>
    </row>
    <row r="1300" spans="1:11" x14ac:dyDescent="0.2">
      <c r="A1300" s="26"/>
      <c r="B1300" s="14" t="str">
        <f>IF(A1300="","",CHOOSE(WEEKDAY(A1300),"日","月","火","水","木","金","土"))</f>
        <v/>
      </c>
      <c r="C1300" s="27"/>
      <c r="D1300" s="27"/>
      <c r="E1300" s="14" t="str">
        <f>IF(F1300="","",IFERROR(INDEX(マスター!$F$5:$F$200,MATCH(F1300,マスター!$E$5:$E$200,0)),"※マスター未登録"))</f>
        <v/>
      </c>
      <c r="F1300" s="27"/>
      <c r="G1300" s="27"/>
      <c r="H1300" s="27"/>
      <c r="I1300" s="27"/>
      <c r="J1300" s="27"/>
      <c r="K1300" s="27"/>
    </row>
    <row r="1301" spans="1:11" x14ac:dyDescent="0.2">
      <c r="A1301" s="26"/>
      <c r="B1301" s="14" t="str">
        <f>IF(A1301="","",CHOOSE(WEEKDAY(A1301),"日","月","火","水","木","金","土"))</f>
        <v/>
      </c>
      <c r="C1301" s="27"/>
      <c r="D1301" s="27"/>
      <c r="E1301" s="14" t="str">
        <f>IF(F1301="","",IFERROR(INDEX(マスター!$F$5:$F$200,MATCH(F1301,マスター!$E$5:$E$200,0)),"※マスター未登録"))</f>
        <v/>
      </c>
      <c r="F1301" s="27"/>
      <c r="G1301" s="27"/>
      <c r="H1301" s="27"/>
      <c r="I1301" s="27"/>
      <c r="J1301" s="27"/>
      <c r="K1301" s="27"/>
    </row>
    <row r="1302" spans="1:11" x14ac:dyDescent="0.2">
      <c r="A1302" s="26"/>
      <c r="B1302" s="14" t="str">
        <f>IF(A1302="","",CHOOSE(WEEKDAY(A1302),"日","月","火","水","木","金","土"))</f>
        <v/>
      </c>
      <c r="C1302" s="27"/>
      <c r="D1302" s="27"/>
      <c r="E1302" s="14" t="str">
        <f>IF(F1302="","",IFERROR(INDEX(マスター!$F$5:$F$200,MATCH(F1302,マスター!$E$5:$E$200,0)),"※マスター未登録"))</f>
        <v/>
      </c>
      <c r="F1302" s="27"/>
      <c r="G1302" s="27"/>
      <c r="H1302" s="27"/>
      <c r="I1302" s="27"/>
      <c r="J1302" s="27"/>
      <c r="K1302" s="27"/>
    </row>
    <row r="1303" spans="1:11" x14ac:dyDescent="0.2">
      <c r="A1303" s="26"/>
      <c r="B1303" s="14" t="str">
        <f>IF(A1303="","",CHOOSE(WEEKDAY(A1303),"日","月","火","水","木","金","土"))</f>
        <v/>
      </c>
      <c r="C1303" s="27"/>
      <c r="D1303" s="27"/>
      <c r="E1303" s="14" t="str">
        <f>IF(F1303="","",IFERROR(INDEX(マスター!$F$5:$F$200,MATCH(F1303,マスター!$E$5:$E$200,0)),"※マスター未登録"))</f>
        <v/>
      </c>
      <c r="F1303" s="27"/>
      <c r="G1303" s="27"/>
      <c r="H1303" s="27"/>
      <c r="I1303" s="27"/>
      <c r="J1303" s="27"/>
      <c r="K1303" s="27"/>
    </row>
    <row r="1304" spans="1:11" x14ac:dyDescent="0.2">
      <c r="A1304" s="26"/>
      <c r="B1304" s="14" t="str">
        <f>IF(A1304="","",CHOOSE(WEEKDAY(A1304),"日","月","火","水","木","金","土"))</f>
        <v/>
      </c>
      <c r="C1304" s="27"/>
      <c r="D1304" s="27"/>
      <c r="E1304" s="14" t="str">
        <f>IF(F1304="","",IFERROR(INDEX(マスター!$F$5:$F$200,MATCH(F1304,マスター!$E$5:$E$200,0)),"※マスター未登録"))</f>
        <v/>
      </c>
      <c r="F1304" s="27"/>
      <c r="G1304" s="27"/>
      <c r="H1304" s="27"/>
      <c r="I1304" s="27"/>
      <c r="J1304" s="27"/>
      <c r="K1304" s="27"/>
    </row>
    <row r="1305" spans="1:11" x14ac:dyDescent="0.2">
      <c r="A1305" s="26"/>
      <c r="B1305" s="14" t="str">
        <f>IF(A1305="","",CHOOSE(WEEKDAY(A1305),"日","月","火","水","木","金","土"))</f>
        <v/>
      </c>
      <c r="C1305" s="27"/>
      <c r="D1305" s="27"/>
      <c r="E1305" s="14" t="str">
        <f>IF(F1305="","",IFERROR(INDEX(マスター!$F$5:$F$200,MATCH(F1305,マスター!$E$5:$E$200,0)),"※マスター未登録"))</f>
        <v/>
      </c>
      <c r="F1305" s="27"/>
      <c r="G1305" s="27"/>
      <c r="H1305" s="27"/>
      <c r="I1305" s="27"/>
      <c r="J1305" s="27"/>
      <c r="K1305" s="27"/>
    </row>
    <row r="1306" spans="1:11" x14ac:dyDescent="0.2">
      <c r="A1306" s="26"/>
      <c r="B1306" s="14" t="str">
        <f>IF(A1306="","",CHOOSE(WEEKDAY(A1306),"日","月","火","水","木","金","土"))</f>
        <v/>
      </c>
      <c r="C1306" s="27"/>
      <c r="D1306" s="27"/>
      <c r="E1306" s="14" t="str">
        <f>IF(F1306="","",IFERROR(INDEX(マスター!$F$5:$F$200,MATCH(F1306,マスター!$E$5:$E$200,0)),"※マスター未登録"))</f>
        <v/>
      </c>
      <c r="F1306" s="27"/>
      <c r="G1306" s="27"/>
      <c r="H1306" s="27"/>
      <c r="I1306" s="27"/>
      <c r="J1306" s="27"/>
      <c r="K1306" s="27"/>
    </row>
    <row r="1307" spans="1:11" x14ac:dyDescent="0.2">
      <c r="A1307" s="26"/>
      <c r="B1307" s="14" t="str">
        <f>IF(A1307="","",CHOOSE(WEEKDAY(A1307),"日","月","火","水","木","金","土"))</f>
        <v/>
      </c>
      <c r="C1307" s="27"/>
      <c r="D1307" s="27"/>
      <c r="E1307" s="14" t="str">
        <f>IF(F1307="","",IFERROR(INDEX(マスター!$F$5:$F$200,MATCH(F1307,マスター!$E$5:$E$200,0)),"※マスター未登録"))</f>
        <v/>
      </c>
      <c r="F1307" s="27"/>
      <c r="G1307" s="27"/>
      <c r="H1307" s="27"/>
      <c r="I1307" s="27"/>
      <c r="J1307" s="27"/>
      <c r="K1307" s="27"/>
    </row>
    <row r="1308" spans="1:11" x14ac:dyDescent="0.2">
      <c r="A1308" s="26"/>
      <c r="B1308" s="14" t="str">
        <f>IF(A1308="","",CHOOSE(WEEKDAY(A1308),"日","月","火","水","木","金","土"))</f>
        <v/>
      </c>
      <c r="C1308" s="27"/>
      <c r="D1308" s="27"/>
      <c r="E1308" s="14" t="str">
        <f>IF(F1308="","",IFERROR(INDEX(マスター!$F$5:$F$200,MATCH(F1308,マスター!$E$5:$E$200,0)),"※マスター未登録"))</f>
        <v/>
      </c>
      <c r="F1308" s="27"/>
      <c r="G1308" s="27"/>
      <c r="H1308" s="27"/>
      <c r="I1308" s="27"/>
      <c r="J1308" s="27"/>
      <c r="K1308" s="27"/>
    </row>
    <row r="1309" spans="1:11" x14ac:dyDescent="0.2">
      <c r="A1309" s="26"/>
      <c r="B1309" s="14" t="str">
        <f>IF(A1309="","",CHOOSE(WEEKDAY(A1309),"日","月","火","水","木","金","土"))</f>
        <v/>
      </c>
      <c r="C1309" s="27"/>
      <c r="D1309" s="27"/>
      <c r="E1309" s="14" t="str">
        <f>IF(F1309="","",IFERROR(INDEX(マスター!$F$5:$F$200,MATCH(F1309,マスター!$E$5:$E$200,0)),"※マスター未登録"))</f>
        <v/>
      </c>
      <c r="F1309" s="27"/>
      <c r="G1309" s="27"/>
      <c r="H1309" s="27"/>
      <c r="I1309" s="27"/>
      <c r="J1309" s="27"/>
      <c r="K1309" s="27"/>
    </row>
    <row r="1310" spans="1:11" x14ac:dyDescent="0.2">
      <c r="A1310" s="26"/>
      <c r="B1310" s="14" t="str">
        <f>IF(A1310="","",CHOOSE(WEEKDAY(A1310),"日","月","火","水","木","金","土"))</f>
        <v/>
      </c>
      <c r="C1310" s="27"/>
      <c r="D1310" s="27"/>
      <c r="E1310" s="14" t="str">
        <f>IF(F1310="","",IFERROR(INDEX(マスター!$F$5:$F$200,MATCH(F1310,マスター!$E$5:$E$200,0)),"※マスター未登録"))</f>
        <v/>
      </c>
      <c r="F1310" s="27"/>
      <c r="G1310" s="27"/>
      <c r="H1310" s="27"/>
      <c r="I1310" s="27"/>
      <c r="J1310" s="27"/>
      <c r="K1310" s="27"/>
    </row>
    <row r="1311" spans="1:11" x14ac:dyDescent="0.2">
      <c r="A1311" s="26"/>
      <c r="B1311" s="14" t="str">
        <f>IF(A1311="","",CHOOSE(WEEKDAY(A1311),"日","月","火","水","木","金","土"))</f>
        <v/>
      </c>
      <c r="C1311" s="27"/>
      <c r="D1311" s="27"/>
      <c r="E1311" s="14" t="str">
        <f>IF(F1311="","",IFERROR(INDEX(マスター!$F$5:$F$200,MATCH(F1311,マスター!$E$5:$E$200,0)),"※マスター未登録"))</f>
        <v/>
      </c>
      <c r="F1311" s="27"/>
      <c r="G1311" s="27"/>
      <c r="H1311" s="27"/>
      <c r="I1311" s="27"/>
      <c r="J1311" s="27"/>
      <c r="K1311" s="27"/>
    </row>
    <row r="1312" spans="1:11" x14ac:dyDescent="0.2">
      <c r="A1312" s="26"/>
      <c r="B1312" s="14" t="str">
        <f>IF(A1312="","",CHOOSE(WEEKDAY(A1312),"日","月","火","水","木","金","土"))</f>
        <v/>
      </c>
      <c r="C1312" s="27"/>
      <c r="D1312" s="27"/>
      <c r="E1312" s="14" t="str">
        <f>IF(F1312="","",IFERROR(INDEX(マスター!$F$5:$F$200,MATCH(F1312,マスター!$E$5:$E$200,0)),"※マスター未登録"))</f>
        <v/>
      </c>
      <c r="F1312" s="27"/>
      <c r="G1312" s="27"/>
      <c r="H1312" s="27"/>
      <c r="I1312" s="27"/>
      <c r="J1312" s="27"/>
      <c r="K1312" s="27"/>
    </row>
    <row r="1313" spans="1:11" x14ac:dyDescent="0.2">
      <c r="A1313" s="26"/>
      <c r="B1313" s="14" t="str">
        <f>IF(A1313="","",CHOOSE(WEEKDAY(A1313),"日","月","火","水","木","金","土"))</f>
        <v/>
      </c>
      <c r="C1313" s="27"/>
      <c r="D1313" s="27"/>
      <c r="E1313" s="14" t="str">
        <f>IF(F1313="","",IFERROR(INDEX(マスター!$F$5:$F$200,MATCH(F1313,マスター!$E$5:$E$200,0)),"※マスター未登録"))</f>
        <v/>
      </c>
      <c r="F1313" s="27"/>
      <c r="G1313" s="27"/>
      <c r="H1313" s="27"/>
      <c r="I1313" s="27"/>
      <c r="J1313" s="27"/>
      <c r="K1313" s="27"/>
    </row>
    <row r="1314" spans="1:11" x14ac:dyDescent="0.2">
      <c r="A1314" s="26"/>
      <c r="B1314" s="14" t="str">
        <f>IF(A1314="","",CHOOSE(WEEKDAY(A1314),"日","月","火","水","木","金","土"))</f>
        <v/>
      </c>
      <c r="C1314" s="27"/>
      <c r="D1314" s="27"/>
      <c r="E1314" s="14" t="str">
        <f>IF(F1314="","",IFERROR(INDEX(マスター!$F$5:$F$200,MATCH(F1314,マスター!$E$5:$E$200,0)),"※マスター未登録"))</f>
        <v/>
      </c>
      <c r="F1314" s="27"/>
      <c r="G1314" s="27"/>
      <c r="H1314" s="27"/>
      <c r="I1314" s="27"/>
      <c r="J1314" s="27"/>
      <c r="K1314" s="27"/>
    </row>
    <row r="1315" spans="1:11" x14ac:dyDescent="0.2">
      <c r="A1315" s="26"/>
      <c r="B1315" s="14" t="str">
        <f>IF(A1315="","",CHOOSE(WEEKDAY(A1315),"日","月","火","水","木","金","土"))</f>
        <v/>
      </c>
      <c r="C1315" s="27"/>
      <c r="D1315" s="27"/>
      <c r="E1315" s="14" t="str">
        <f>IF(F1315="","",IFERROR(INDEX(マスター!$F$5:$F$200,MATCH(F1315,マスター!$E$5:$E$200,0)),"※マスター未登録"))</f>
        <v/>
      </c>
      <c r="F1315" s="27"/>
      <c r="G1315" s="27"/>
      <c r="H1315" s="27"/>
      <c r="I1315" s="27"/>
      <c r="J1315" s="27"/>
      <c r="K1315" s="27"/>
    </row>
    <row r="1316" spans="1:11" x14ac:dyDescent="0.2">
      <c r="A1316" s="26"/>
      <c r="B1316" s="14" t="str">
        <f>IF(A1316="","",CHOOSE(WEEKDAY(A1316),"日","月","火","水","木","金","土"))</f>
        <v/>
      </c>
      <c r="C1316" s="27"/>
      <c r="D1316" s="27"/>
      <c r="E1316" s="14" t="str">
        <f>IF(F1316="","",IFERROR(INDEX(マスター!$F$5:$F$200,MATCH(F1316,マスター!$E$5:$E$200,0)),"※マスター未登録"))</f>
        <v/>
      </c>
      <c r="F1316" s="27"/>
      <c r="G1316" s="27"/>
      <c r="H1316" s="27"/>
      <c r="I1316" s="27"/>
      <c r="J1316" s="27"/>
      <c r="K1316" s="27"/>
    </row>
    <row r="1317" spans="1:11" x14ac:dyDescent="0.2">
      <c r="A1317" s="26"/>
      <c r="B1317" s="14" t="str">
        <f>IF(A1317="","",CHOOSE(WEEKDAY(A1317),"日","月","火","水","木","金","土"))</f>
        <v/>
      </c>
      <c r="C1317" s="27"/>
      <c r="D1317" s="27"/>
      <c r="E1317" s="14" t="str">
        <f>IF(F1317="","",IFERROR(INDEX(マスター!$F$5:$F$200,MATCH(F1317,マスター!$E$5:$E$200,0)),"※マスター未登録"))</f>
        <v/>
      </c>
      <c r="F1317" s="27"/>
      <c r="G1317" s="27"/>
      <c r="H1317" s="27"/>
      <c r="I1317" s="27"/>
      <c r="J1317" s="27"/>
      <c r="K1317" s="27"/>
    </row>
    <row r="1318" spans="1:11" x14ac:dyDescent="0.2">
      <c r="A1318" s="26"/>
      <c r="B1318" s="14" t="str">
        <f>IF(A1318="","",CHOOSE(WEEKDAY(A1318),"日","月","火","水","木","金","土"))</f>
        <v/>
      </c>
      <c r="C1318" s="27"/>
      <c r="D1318" s="27"/>
      <c r="E1318" s="14" t="str">
        <f>IF(F1318="","",IFERROR(INDEX(マスター!$F$5:$F$200,MATCH(F1318,マスター!$E$5:$E$200,0)),"※マスター未登録"))</f>
        <v/>
      </c>
      <c r="F1318" s="27"/>
      <c r="G1318" s="27"/>
      <c r="H1318" s="27"/>
      <c r="I1318" s="27"/>
      <c r="J1318" s="27"/>
      <c r="K1318" s="27"/>
    </row>
    <row r="1319" spans="1:11" x14ac:dyDescent="0.2">
      <c r="A1319" s="26"/>
      <c r="B1319" s="14" t="str">
        <f>IF(A1319="","",CHOOSE(WEEKDAY(A1319),"日","月","火","水","木","金","土"))</f>
        <v/>
      </c>
      <c r="C1319" s="27"/>
      <c r="D1319" s="27"/>
      <c r="E1319" s="14" t="str">
        <f>IF(F1319="","",IFERROR(INDEX(マスター!$F$5:$F$200,MATCH(F1319,マスター!$E$5:$E$200,0)),"※マスター未登録"))</f>
        <v/>
      </c>
      <c r="F1319" s="27"/>
      <c r="G1319" s="27"/>
      <c r="H1319" s="27"/>
      <c r="I1319" s="27"/>
      <c r="J1319" s="27"/>
      <c r="K1319" s="27"/>
    </row>
    <row r="1320" spans="1:11" x14ac:dyDescent="0.2">
      <c r="A1320" s="26"/>
      <c r="B1320" s="14" t="str">
        <f>IF(A1320="","",CHOOSE(WEEKDAY(A1320),"日","月","火","水","木","金","土"))</f>
        <v/>
      </c>
      <c r="C1320" s="27"/>
      <c r="D1320" s="27"/>
      <c r="E1320" s="14" t="str">
        <f>IF(F1320="","",IFERROR(INDEX(マスター!$F$5:$F$200,MATCH(F1320,マスター!$E$5:$E$200,0)),"※マスター未登録"))</f>
        <v/>
      </c>
      <c r="F1320" s="27"/>
      <c r="G1320" s="27"/>
      <c r="H1320" s="27"/>
      <c r="I1320" s="27"/>
      <c r="J1320" s="27"/>
      <c r="K1320" s="27"/>
    </row>
    <row r="1321" spans="1:11" x14ac:dyDescent="0.2">
      <c r="A1321" s="26"/>
      <c r="B1321" s="14" t="str">
        <f>IF(A1321="","",CHOOSE(WEEKDAY(A1321),"日","月","火","水","木","金","土"))</f>
        <v/>
      </c>
      <c r="C1321" s="27"/>
      <c r="D1321" s="27"/>
      <c r="E1321" s="14" t="str">
        <f>IF(F1321="","",IFERROR(INDEX(マスター!$F$5:$F$200,MATCH(F1321,マスター!$E$5:$E$200,0)),"※マスター未登録"))</f>
        <v/>
      </c>
      <c r="F1321" s="27"/>
      <c r="G1321" s="27"/>
      <c r="H1321" s="27"/>
      <c r="I1321" s="27"/>
      <c r="J1321" s="27"/>
      <c r="K1321" s="27"/>
    </row>
    <row r="1322" spans="1:11" x14ac:dyDescent="0.2">
      <c r="A1322" s="26"/>
      <c r="B1322" s="14" t="str">
        <f>IF(A1322="","",CHOOSE(WEEKDAY(A1322),"日","月","火","水","木","金","土"))</f>
        <v/>
      </c>
      <c r="C1322" s="27"/>
      <c r="D1322" s="27"/>
      <c r="E1322" s="14" t="str">
        <f>IF(F1322="","",IFERROR(INDEX(マスター!$F$5:$F$200,MATCH(F1322,マスター!$E$5:$E$200,0)),"※マスター未登録"))</f>
        <v/>
      </c>
      <c r="F1322" s="27"/>
      <c r="G1322" s="27"/>
      <c r="H1322" s="27"/>
      <c r="I1322" s="27"/>
      <c r="J1322" s="27"/>
      <c r="K1322" s="27"/>
    </row>
    <row r="1323" spans="1:11" x14ac:dyDescent="0.2">
      <c r="A1323" s="26"/>
      <c r="B1323" s="14" t="str">
        <f>IF(A1323="","",CHOOSE(WEEKDAY(A1323),"日","月","火","水","木","金","土"))</f>
        <v/>
      </c>
      <c r="C1323" s="27"/>
      <c r="D1323" s="27"/>
      <c r="E1323" s="14" t="str">
        <f>IF(F1323="","",IFERROR(INDEX(マスター!$F$5:$F$200,MATCH(F1323,マスター!$E$5:$E$200,0)),"※マスター未登録"))</f>
        <v/>
      </c>
      <c r="F1323" s="27"/>
      <c r="G1323" s="27"/>
      <c r="H1323" s="27"/>
      <c r="I1323" s="27"/>
      <c r="J1323" s="27"/>
      <c r="K1323" s="27"/>
    </row>
    <row r="1324" spans="1:11" x14ac:dyDescent="0.2">
      <c r="A1324" s="26"/>
      <c r="B1324" s="14" t="str">
        <f>IF(A1324="","",CHOOSE(WEEKDAY(A1324),"日","月","火","水","木","金","土"))</f>
        <v/>
      </c>
      <c r="C1324" s="27"/>
      <c r="D1324" s="27"/>
      <c r="E1324" s="14" t="str">
        <f>IF(F1324="","",IFERROR(INDEX(マスター!$F$5:$F$200,MATCH(F1324,マスター!$E$5:$E$200,0)),"※マスター未登録"))</f>
        <v/>
      </c>
      <c r="F1324" s="27"/>
      <c r="G1324" s="27"/>
      <c r="H1324" s="27"/>
      <c r="I1324" s="27"/>
      <c r="J1324" s="27"/>
      <c r="K1324" s="27"/>
    </row>
    <row r="1325" spans="1:11" x14ac:dyDescent="0.2">
      <c r="A1325" s="26"/>
      <c r="B1325" s="14" t="str">
        <f>IF(A1325="","",CHOOSE(WEEKDAY(A1325),"日","月","火","水","木","金","土"))</f>
        <v/>
      </c>
      <c r="C1325" s="27"/>
      <c r="D1325" s="27"/>
      <c r="E1325" s="14" t="str">
        <f>IF(F1325="","",IFERROR(INDEX(マスター!$F$5:$F$200,MATCH(F1325,マスター!$E$5:$E$200,0)),"※マスター未登録"))</f>
        <v/>
      </c>
      <c r="F1325" s="27"/>
      <c r="G1325" s="27"/>
      <c r="H1325" s="27"/>
      <c r="I1325" s="27"/>
      <c r="J1325" s="27"/>
      <c r="K1325" s="27"/>
    </row>
    <row r="1326" spans="1:11" x14ac:dyDescent="0.2">
      <c r="A1326" s="26"/>
      <c r="B1326" s="14" t="str">
        <f>IF(A1326="","",CHOOSE(WEEKDAY(A1326),"日","月","火","水","木","金","土"))</f>
        <v/>
      </c>
      <c r="C1326" s="27"/>
      <c r="D1326" s="27"/>
      <c r="E1326" s="14" t="str">
        <f>IF(F1326="","",IFERROR(INDEX(マスター!$F$5:$F$200,MATCH(F1326,マスター!$E$5:$E$200,0)),"※マスター未登録"))</f>
        <v/>
      </c>
      <c r="F1326" s="27"/>
      <c r="G1326" s="27"/>
      <c r="H1326" s="27"/>
      <c r="I1326" s="27"/>
      <c r="J1326" s="27"/>
      <c r="K1326" s="27"/>
    </row>
    <row r="1327" spans="1:11" x14ac:dyDescent="0.2">
      <c r="A1327" s="26"/>
      <c r="B1327" s="14" t="str">
        <f>IF(A1327="","",CHOOSE(WEEKDAY(A1327),"日","月","火","水","木","金","土"))</f>
        <v/>
      </c>
      <c r="C1327" s="27"/>
      <c r="D1327" s="27"/>
      <c r="E1327" s="14" t="str">
        <f>IF(F1327="","",IFERROR(INDEX(マスター!$F$5:$F$200,MATCH(F1327,マスター!$E$5:$E$200,0)),"※マスター未登録"))</f>
        <v/>
      </c>
      <c r="F1327" s="27"/>
      <c r="G1327" s="27"/>
      <c r="H1327" s="27"/>
      <c r="I1327" s="27"/>
      <c r="J1327" s="27"/>
      <c r="K1327" s="27"/>
    </row>
    <row r="1328" spans="1:11" x14ac:dyDescent="0.2">
      <c r="A1328" s="26"/>
      <c r="B1328" s="14" t="str">
        <f>IF(A1328="","",CHOOSE(WEEKDAY(A1328),"日","月","火","水","木","金","土"))</f>
        <v/>
      </c>
      <c r="C1328" s="27"/>
      <c r="D1328" s="27"/>
      <c r="E1328" s="14" t="str">
        <f>IF(F1328="","",IFERROR(INDEX(マスター!$F$5:$F$200,MATCH(F1328,マスター!$E$5:$E$200,0)),"※マスター未登録"))</f>
        <v/>
      </c>
      <c r="F1328" s="27"/>
      <c r="G1328" s="27"/>
      <c r="H1328" s="27"/>
      <c r="I1328" s="27"/>
      <c r="J1328" s="27"/>
      <c r="K1328" s="27"/>
    </row>
    <row r="1329" spans="1:11" x14ac:dyDescent="0.2">
      <c r="A1329" s="26"/>
      <c r="B1329" s="14" t="str">
        <f>IF(A1329="","",CHOOSE(WEEKDAY(A1329),"日","月","火","水","木","金","土"))</f>
        <v/>
      </c>
      <c r="C1329" s="27"/>
      <c r="D1329" s="27"/>
      <c r="E1329" s="14" t="str">
        <f>IF(F1329="","",IFERROR(INDEX(マスター!$F$5:$F$200,MATCH(F1329,マスター!$E$5:$E$200,0)),"※マスター未登録"))</f>
        <v/>
      </c>
      <c r="F1329" s="27"/>
      <c r="G1329" s="27"/>
      <c r="H1329" s="27"/>
      <c r="I1329" s="27"/>
      <c r="J1329" s="27"/>
      <c r="K1329" s="27"/>
    </row>
    <row r="1330" spans="1:11" x14ac:dyDescent="0.2">
      <c r="A1330" s="26"/>
      <c r="B1330" s="14" t="str">
        <f>IF(A1330="","",CHOOSE(WEEKDAY(A1330),"日","月","火","水","木","金","土"))</f>
        <v/>
      </c>
      <c r="C1330" s="27"/>
      <c r="D1330" s="27"/>
      <c r="E1330" s="14" t="str">
        <f>IF(F1330="","",IFERROR(INDEX(マスター!$F$5:$F$200,MATCH(F1330,マスター!$E$5:$E$200,0)),"※マスター未登録"))</f>
        <v/>
      </c>
      <c r="F1330" s="27"/>
      <c r="G1330" s="27"/>
      <c r="H1330" s="27"/>
      <c r="I1330" s="27"/>
      <c r="J1330" s="27"/>
      <c r="K1330" s="27"/>
    </row>
    <row r="1331" spans="1:11" x14ac:dyDescent="0.2">
      <c r="A1331" s="26"/>
      <c r="B1331" s="14" t="str">
        <f>IF(A1331="","",CHOOSE(WEEKDAY(A1331),"日","月","火","水","木","金","土"))</f>
        <v/>
      </c>
      <c r="C1331" s="27"/>
      <c r="D1331" s="27"/>
      <c r="E1331" s="14" t="str">
        <f>IF(F1331="","",IFERROR(INDEX(マスター!$F$5:$F$200,MATCH(F1331,マスター!$E$5:$E$200,0)),"※マスター未登録"))</f>
        <v/>
      </c>
      <c r="F1331" s="27"/>
      <c r="G1331" s="27"/>
      <c r="H1331" s="27"/>
      <c r="I1331" s="27"/>
      <c r="J1331" s="27"/>
      <c r="K1331" s="27"/>
    </row>
    <row r="1332" spans="1:11" x14ac:dyDescent="0.2">
      <c r="A1332" s="26"/>
      <c r="B1332" s="14" t="str">
        <f>IF(A1332="","",CHOOSE(WEEKDAY(A1332),"日","月","火","水","木","金","土"))</f>
        <v/>
      </c>
      <c r="C1332" s="27"/>
      <c r="D1332" s="27"/>
      <c r="E1332" s="14" t="str">
        <f>IF(F1332="","",IFERROR(INDEX(マスター!$F$5:$F$200,MATCH(F1332,マスター!$E$5:$E$200,0)),"※マスター未登録"))</f>
        <v/>
      </c>
      <c r="F1332" s="27"/>
      <c r="G1332" s="27"/>
      <c r="H1332" s="27"/>
      <c r="I1332" s="27"/>
      <c r="J1332" s="27"/>
      <c r="K1332" s="27"/>
    </row>
    <row r="1333" spans="1:11" x14ac:dyDescent="0.2">
      <c r="A1333" s="26"/>
      <c r="B1333" s="14" t="str">
        <f>IF(A1333="","",CHOOSE(WEEKDAY(A1333),"日","月","火","水","木","金","土"))</f>
        <v/>
      </c>
      <c r="C1333" s="27"/>
      <c r="D1333" s="27"/>
      <c r="E1333" s="14" t="str">
        <f>IF(F1333="","",IFERROR(INDEX(マスター!$F$5:$F$200,MATCH(F1333,マスター!$E$5:$E$200,0)),"※マスター未登録"))</f>
        <v/>
      </c>
      <c r="F1333" s="27"/>
      <c r="G1333" s="27"/>
      <c r="H1333" s="27"/>
      <c r="I1333" s="27"/>
      <c r="J1333" s="27"/>
      <c r="K1333" s="27"/>
    </row>
    <row r="1334" spans="1:11" x14ac:dyDescent="0.2">
      <c r="A1334" s="26"/>
      <c r="B1334" s="14" t="str">
        <f>IF(A1334="","",CHOOSE(WEEKDAY(A1334),"日","月","火","水","木","金","土"))</f>
        <v/>
      </c>
      <c r="C1334" s="27"/>
      <c r="D1334" s="27"/>
      <c r="E1334" s="14" t="str">
        <f>IF(F1334="","",IFERROR(INDEX(マスター!$F$5:$F$200,MATCH(F1334,マスター!$E$5:$E$200,0)),"※マスター未登録"))</f>
        <v/>
      </c>
      <c r="F1334" s="27"/>
      <c r="G1334" s="27"/>
      <c r="H1334" s="27"/>
      <c r="I1334" s="27"/>
      <c r="J1334" s="27"/>
      <c r="K1334" s="27"/>
    </row>
    <row r="1335" spans="1:11" x14ac:dyDescent="0.2">
      <c r="A1335" s="26"/>
      <c r="B1335" s="14" t="str">
        <f>IF(A1335="","",CHOOSE(WEEKDAY(A1335),"日","月","火","水","木","金","土"))</f>
        <v/>
      </c>
      <c r="C1335" s="27"/>
      <c r="D1335" s="27"/>
      <c r="E1335" s="14" t="str">
        <f>IF(F1335="","",IFERROR(INDEX(マスター!$F$5:$F$200,MATCH(F1335,マスター!$E$5:$E$200,0)),"※マスター未登録"))</f>
        <v/>
      </c>
      <c r="F1335" s="27"/>
      <c r="G1335" s="27"/>
      <c r="H1335" s="27"/>
      <c r="I1335" s="27"/>
      <c r="J1335" s="27"/>
      <c r="K1335" s="27"/>
    </row>
    <row r="1336" spans="1:11" x14ac:dyDescent="0.2">
      <c r="A1336" s="26"/>
      <c r="B1336" s="14" t="str">
        <f>IF(A1336="","",CHOOSE(WEEKDAY(A1336),"日","月","火","水","木","金","土"))</f>
        <v/>
      </c>
      <c r="C1336" s="27"/>
      <c r="D1336" s="27"/>
      <c r="E1336" s="14" t="str">
        <f>IF(F1336="","",IFERROR(INDEX(マスター!$F$5:$F$200,MATCH(F1336,マスター!$E$5:$E$200,0)),"※マスター未登録"))</f>
        <v/>
      </c>
      <c r="F1336" s="27"/>
      <c r="G1336" s="27"/>
      <c r="H1336" s="27"/>
      <c r="I1336" s="27"/>
      <c r="J1336" s="27"/>
      <c r="K1336" s="27"/>
    </row>
    <row r="1337" spans="1:11" x14ac:dyDescent="0.2">
      <c r="A1337" s="26"/>
      <c r="B1337" s="14" t="str">
        <f>IF(A1337="","",CHOOSE(WEEKDAY(A1337),"日","月","火","水","木","金","土"))</f>
        <v/>
      </c>
      <c r="C1337" s="27"/>
      <c r="D1337" s="27"/>
      <c r="E1337" s="14" t="str">
        <f>IF(F1337="","",IFERROR(INDEX(マスター!$F$5:$F$200,MATCH(F1337,マスター!$E$5:$E$200,0)),"※マスター未登録"))</f>
        <v/>
      </c>
      <c r="F1337" s="27"/>
      <c r="G1337" s="27"/>
      <c r="H1337" s="27"/>
      <c r="I1337" s="27"/>
      <c r="J1337" s="27"/>
      <c r="K1337" s="27"/>
    </row>
    <row r="1338" spans="1:11" x14ac:dyDescent="0.2">
      <c r="A1338" s="26"/>
      <c r="B1338" s="14" t="str">
        <f>IF(A1338="","",CHOOSE(WEEKDAY(A1338),"日","月","火","水","木","金","土"))</f>
        <v/>
      </c>
      <c r="C1338" s="27"/>
      <c r="D1338" s="27"/>
      <c r="E1338" s="14" t="str">
        <f>IF(F1338="","",IFERROR(INDEX(マスター!$F$5:$F$200,MATCH(F1338,マスター!$E$5:$E$200,0)),"※マスター未登録"))</f>
        <v/>
      </c>
      <c r="F1338" s="27"/>
      <c r="G1338" s="27"/>
      <c r="H1338" s="27"/>
      <c r="I1338" s="27"/>
      <c r="J1338" s="27"/>
      <c r="K1338" s="27"/>
    </row>
    <row r="1339" spans="1:11" x14ac:dyDescent="0.2">
      <c r="A1339" s="26"/>
      <c r="B1339" s="14" t="str">
        <f>IF(A1339="","",CHOOSE(WEEKDAY(A1339),"日","月","火","水","木","金","土"))</f>
        <v/>
      </c>
      <c r="C1339" s="27"/>
      <c r="D1339" s="27"/>
      <c r="E1339" s="14" t="str">
        <f>IF(F1339="","",IFERROR(INDEX(マスター!$F$5:$F$200,MATCH(F1339,マスター!$E$5:$E$200,0)),"※マスター未登録"))</f>
        <v/>
      </c>
      <c r="F1339" s="27"/>
      <c r="G1339" s="27"/>
      <c r="H1339" s="27"/>
      <c r="I1339" s="27"/>
      <c r="J1339" s="27"/>
      <c r="K1339" s="27"/>
    </row>
    <row r="1340" spans="1:11" x14ac:dyDescent="0.2">
      <c r="A1340" s="26"/>
      <c r="B1340" s="14" t="str">
        <f>IF(A1340="","",CHOOSE(WEEKDAY(A1340),"日","月","火","水","木","金","土"))</f>
        <v/>
      </c>
      <c r="C1340" s="27"/>
      <c r="D1340" s="27"/>
      <c r="E1340" s="14" t="str">
        <f>IF(F1340="","",IFERROR(INDEX(マスター!$F$5:$F$200,MATCH(F1340,マスター!$E$5:$E$200,0)),"※マスター未登録"))</f>
        <v/>
      </c>
      <c r="F1340" s="27"/>
      <c r="G1340" s="27"/>
      <c r="H1340" s="27"/>
      <c r="I1340" s="27"/>
      <c r="J1340" s="27"/>
      <c r="K1340" s="27"/>
    </row>
    <row r="1341" spans="1:11" x14ac:dyDescent="0.2">
      <c r="A1341" s="26"/>
      <c r="B1341" s="14" t="str">
        <f>IF(A1341="","",CHOOSE(WEEKDAY(A1341),"日","月","火","水","木","金","土"))</f>
        <v/>
      </c>
      <c r="C1341" s="27"/>
      <c r="D1341" s="27"/>
      <c r="E1341" s="14" t="str">
        <f>IF(F1341="","",IFERROR(INDEX(マスター!$F$5:$F$200,MATCH(F1341,マスター!$E$5:$E$200,0)),"※マスター未登録"))</f>
        <v/>
      </c>
      <c r="F1341" s="27"/>
      <c r="G1341" s="27"/>
      <c r="H1341" s="27"/>
      <c r="I1341" s="27"/>
      <c r="J1341" s="27"/>
      <c r="K1341" s="27"/>
    </row>
    <row r="1342" spans="1:11" x14ac:dyDescent="0.2">
      <c r="A1342" s="26"/>
      <c r="B1342" s="14" t="str">
        <f>IF(A1342="","",CHOOSE(WEEKDAY(A1342),"日","月","火","水","木","金","土"))</f>
        <v/>
      </c>
      <c r="C1342" s="27"/>
      <c r="D1342" s="27"/>
      <c r="E1342" s="14" t="str">
        <f>IF(F1342="","",IFERROR(INDEX(マスター!$F$5:$F$200,MATCH(F1342,マスター!$E$5:$E$200,0)),"※マスター未登録"))</f>
        <v/>
      </c>
      <c r="F1342" s="27"/>
      <c r="G1342" s="27"/>
      <c r="H1342" s="27"/>
      <c r="I1342" s="27"/>
      <c r="J1342" s="27"/>
      <c r="K1342" s="27"/>
    </row>
    <row r="1343" spans="1:11" x14ac:dyDescent="0.2">
      <c r="A1343" s="26"/>
      <c r="B1343" s="14" t="str">
        <f>IF(A1343="","",CHOOSE(WEEKDAY(A1343),"日","月","火","水","木","金","土"))</f>
        <v/>
      </c>
      <c r="C1343" s="27"/>
      <c r="D1343" s="27"/>
      <c r="E1343" s="14" t="str">
        <f>IF(F1343="","",IFERROR(INDEX(マスター!$F$5:$F$200,MATCH(F1343,マスター!$E$5:$E$200,0)),"※マスター未登録"))</f>
        <v/>
      </c>
      <c r="F1343" s="27"/>
      <c r="G1343" s="27"/>
      <c r="H1343" s="27"/>
      <c r="I1343" s="27"/>
      <c r="J1343" s="27"/>
      <c r="K1343" s="27"/>
    </row>
    <row r="1344" spans="1:11" x14ac:dyDescent="0.2">
      <c r="A1344" s="26"/>
      <c r="B1344" s="14" t="str">
        <f>IF(A1344="","",CHOOSE(WEEKDAY(A1344),"日","月","火","水","木","金","土"))</f>
        <v/>
      </c>
      <c r="C1344" s="27"/>
      <c r="D1344" s="27"/>
      <c r="E1344" s="14" t="str">
        <f>IF(F1344="","",IFERROR(INDEX(マスター!$F$5:$F$200,MATCH(F1344,マスター!$E$5:$E$200,0)),"※マスター未登録"))</f>
        <v/>
      </c>
      <c r="F1344" s="27"/>
      <c r="G1344" s="27"/>
      <c r="H1344" s="27"/>
      <c r="I1344" s="27"/>
      <c r="J1344" s="27"/>
      <c r="K1344" s="27"/>
    </row>
    <row r="1345" spans="1:11" x14ac:dyDescent="0.2">
      <c r="A1345" s="26"/>
      <c r="B1345" s="14" t="str">
        <f>IF(A1345="","",CHOOSE(WEEKDAY(A1345),"日","月","火","水","木","金","土"))</f>
        <v/>
      </c>
      <c r="C1345" s="27"/>
      <c r="D1345" s="27"/>
      <c r="E1345" s="14" t="str">
        <f>IF(F1345="","",IFERROR(INDEX(マスター!$F$5:$F$200,MATCH(F1345,マスター!$E$5:$E$200,0)),"※マスター未登録"))</f>
        <v/>
      </c>
      <c r="F1345" s="27"/>
      <c r="G1345" s="27"/>
      <c r="H1345" s="27"/>
      <c r="I1345" s="27"/>
      <c r="J1345" s="27"/>
      <c r="K1345" s="27"/>
    </row>
    <row r="1346" spans="1:11" x14ac:dyDescent="0.2">
      <c r="A1346" s="26"/>
      <c r="B1346" s="14" t="str">
        <f>IF(A1346="","",CHOOSE(WEEKDAY(A1346),"日","月","火","水","木","金","土"))</f>
        <v/>
      </c>
      <c r="C1346" s="27"/>
      <c r="D1346" s="27"/>
      <c r="E1346" s="14" t="str">
        <f>IF(F1346="","",IFERROR(INDEX(マスター!$F$5:$F$200,MATCH(F1346,マスター!$E$5:$E$200,0)),"※マスター未登録"))</f>
        <v/>
      </c>
      <c r="F1346" s="27"/>
      <c r="G1346" s="27"/>
      <c r="H1346" s="27"/>
      <c r="I1346" s="27"/>
      <c r="J1346" s="27"/>
      <c r="K1346" s="27"/>
    </row>
    <row r="1347" spans="1:11" x14ac:dyDescent="0.2">
      <c r="A1347" s="26"/>
      <c r="B1347" s="14" t="str">
        <f>IF(A1347="","",CHOOSE(WEEKDAY(A1347),"日","月","火","水","木","金","土"))</f>
        <v/>
      </c>
      <c r="C1347" s="27"/>
      <c r="D1347" s="27"/>
      <c r="E1347" s="14" t="str">
        <f>IF(F1347="","",IFERROR(INDEX(マスター!$F$5:$F$200,MATCH(F1347,マスター!$E$5:$E$200,0)),"※マスター未登録"))</f>
        <v/>
      </c>
      <c r="F1347" s="27"/>
      <c r="G1347" s="27"/>
      <c r="H1347" s="27"/>
      <c r="I1347" s="27"/>
      <c r="J1347" s="27"/>
      <c r="K1347" s="27"/>
    </row>
    <row r="1348" spans="1:11" x14ac:dyDescent="0.2">
      <c r="A1348" s="26"/>
      <c r="B1348" s="14" t="str">
        <f>IF(A1348="","",CHOOSE(WEEKDAY(A1348),"日","月","火","水","木","金","土"))</f>
        <v/>
      </c>
      <c r="C1348" s="27"/>
      <c r="D1348" s="27"/>
      <c r="E1348" s="14" t="str">
        <f>IF(F1348="","",IFERROR(INDEX(マスター!$F$5:$F$200,MATCH(F1348,マスター!$E$5:$E$200,0)),"※マスター未登録"))</f>
        <v/>
      </c>
      <c r="F1348" s="27"/>
      <c r="G1348" s="27"/>
      <c r="H1348" s="27"/>
      <c r="I1348" s="27"/>
      <c r="J1348" s="27"/>
      <c r="K1348" s="27"/>
    </row>
    <row r="1349" spans="1:11" x14ac:dyDescent="0.2">
      <c r="A1349" s="26"/>
      <c r="B1349" s="14" t="str">
        <f>IF(A1349="","",CHOOSE(WEEKDAY(A1349),"日","月","火","水","木","金","土"))</f>
        <v/>
      </c>
      <c r="C1349" s="27"/>
      <c r="D1349" s="27"/>
      <c r="E1349" s="14" t="str">
        <f>IF(F1349="","",IFERROR(INDEX(マスター!$F$5:$F$200,MATCH(F1349,マスター!$E$5:$E$200,0)),"※マスター未登録"))</f>
        <v/>
      </c>
      <c r="F1349" s="27"/>
      <c r="G1349" s="27"/>
      <c r="H1349" s="27"/>
      <c r="I1349" s="27"/>
      <c r="J1349" s="27"/>
      <c r="K1349" s="27"/>
    </row>
    <row r="1350" spans="1:11" x14ac:dyDescent="0.2">
      <c r="A1350" s="26"/>
      <c r="B1350" s="14" t="str">
        <f>IF(A1350="","",CHOOSE(WEEKDAY(A1350),"日","月","火","水","木","金","土"))</f>
        <v/>
      </c>
      <c r="C1350" s="27"/>
      <c r="D1350" s="27"/>
      <c r="E1350" s="14" t="str">
        <f>IF(F1350="","",IFERROR(INDEX(マスター!$F$5:$F$200,MATCH(F1350,マスター!$E$5:$E$200,0)),"※マスター未登録"))</f>
        <v/>
      </c>
      <c r="F1350" s="27"/>
      <c r="G1350" s="27"/>
      <c r="H1350" s="27"/>
      <c r="I1350" s="27"/>
      <c r="J1350" s="27"/>
      <c r="K1350" s="27"/>
    </row>
    <row r="1351" spans="1:11" x14ac:dyDescent="0.2">
      <c r="A1351" s="26"/>
      <c r="B1351" s="14" t="str">
        <f>IF(A1351="","",CHOOSE(WEEKDAY(A1351),"日","月","火","水","木","金","土"))</f>
        <v/>
      </c>
      <c r="C1351" s="27"/>
      <c r="D1351" s="27"/>
      <c r="E1351" s="14" t="str">
        <f>IF(F1351="","",IFERROR(INDEX(マスター!$F$5:$F$200,MATCH(F1351,マスター!$E$5:$E$200,0)),"※マスター未登録"))</f>
        <v/>
      </c>
      <c r="F1351" s="27"/>
      <c r="G1351" s="27"/>
      <c r="H1351" s="27"/>
      <c r="I1351" s="27"/>
      <c r="J1351" s="27"/>
      <c r="K1351" s="27"/>
    </row>
    <row r="1352" spans="1:11" x14ac:dyDescent="0.2">
      <c r="A1352" s="26"/>
      <c r="B1352" s="14" t="str">
        <f>IF(A1352="","",CHOOSE(WEEKDAY(A1352),"日","月","火","水","木","金","土"))</f>
        <v/>
      </c>
      <c r="C1352" s="27"/>
      <c r="D1352" s="27"/>
      <c r="E1352" s="14" t="str">
        <f>IF(F1352="","",IFERROR(INDEX(マスター!$F$5:$F$200,MATCH(F1352,マスター!$E$5:$E$200,0)),"※マスター未登録"))</f>
        <v/>
      </c>
      <c r="F1352" s="27"/>
      <c r="G1352" s="27"/>
      <c r="H1352" s="27"/>
      <c r="I1352" s="27"/>
      <c r="J1352" s="27"/>
      <c r="K1352" s="27"/>
    </row>
    <row r="1353" spans="1:11" x14ac:dyDescent="0.2">
      <c r="A1353" s="26"/>
      <c r="B1353" s="14" t="str">
        <f>IF(A1353="","",CHOOSE(WEEKDAY(A1353),"日","月","火","水","木","金","土"))</f>
        <v/>
      </c>
      <c r="C1353" s="27"/>
      <c r="D1353" s="27"/>
      <c r="E1353" s="14" t="str">
        <f>IF(F1353="","",IFERROR(INDEX(マスター!$F$5:$F$200,MATCH(F1353,マスター!$E$5:$E$200,0)),"※マスター未登録"))</f>
        <v/>
      </c>
      <c r="F1353" s="27"/>
      <c r="G1353" s="27"/>
      <c r="H1353" s="27"/>
      <c r="I1353" s="27"/>
      <c r="J1353" s="27"/>
      <c r="K1353" s="27"/>
    </row>
    <row r="1354" spans="1:11" x14ac:dyDescent="0.2">
      <c r="A1354" s="26"/>
      <c r="B1354" s="14" t="str">
        <f>IF(A1354="","",CHOOSE(WEEKDAY(A1354),"日","月","火","水","木","金","土"))</f>
        <v/>
      </c>
      <c r="C1354" s="27"/>
      <c r="D1354" s="27"/>
      <c r="E1354" s="14" t="str">
        <f>IF(F1354="","",IFERROR(INDEX(マスター!$F$5:$F$200,MATCH(F1354,マスター!$E$5:$E$200,0)),"※マスター未登録"))</f>
        <v/>
      </c>
      <c r="F1354" s="27"/>
      <c r="G1354" s="27"/>
      <c r="H1354" s="27"/>
      <c r="I1354" s="27"/>
      <c r="J1354" s="27"/>
      <c r="K1354" s="27"/>
    </row>
    <row r="1355" spans="1:11" x14ac:dyDescent="0.2">
      <c r="A1355" s="26"/>
      <c r="B1355" s="14" t="str">
        <f>IF(A1355="","",CHOOSE(WEEKDAY(A1355),"日","月","火","水","木","金","土"))</f>
        <v/>
      </c>
      <c r="C1355" s="27"/>
      <c r="D1355" s="27"/>
      <c r="E1355" s="14" t="str">
        <f>IF(F1355="","",IFERROR(INDEX(マスター!$F$5:$F$200,MATCH(F1355,マスター!$E$5:$E$200,0)),"※マスター未登録"))</f>
        <v/>
      </c>
      <c r="F1355" s="27"/>
      <c r="G1355" s="27"/>
      <c r="H1355" s="27"/>
      <c r="I1355" s="27"/>
      <c r="J1355" s="27"/>
      <c r="K1355" s="27"/>
    </row>
    <row r="1356" spans="1:11" x14ac:dyDescent="0.2">
      <c r="A1356" s="26"/>
      <c r="B1356" s="14" t="str">
        <f>IF(A1356="","",CHOOSE(WEEKDAY(A1356),"日","月","火","水","木","金","土"))</f>
        <v/>
      </c>
      <c r="C1356" s="27"/>
      <c r="D1356" s="27"/>
      <c r="E1356" s="14" t="str">
        <f>IF(F1356="","",IFERROR(INDEX(マスター!$F$5:$F$200,MATCH(F1356,マスター!$E$5:$E$200,0)),"※マスター未登録"))</f>
        <v/>
      </c>
      <c r="F1356" s="27"/>
      <c r="G1356" s="27"/>
      <c r="H1356" s="27"/>
      <c r="I1356" s="27"/>
      <c r="J1356" s="27"/>
      <c r="K1356" s="27"/>
    </row>
    <row r="1357" spans="1:11" x14ac:dyDescent="0.2">
      <c r="A1357" s="26"/>
      <c r="B1357" s="14" t="str">
        <f>IF(A1357="","",CHOOSE(WEEKDAY(A1357),"日","月","火","水","木","金","土"))</f>
        <v/>
      </c>
      <c r="C1357" s="27"/>
      <c r="D1357" s="27"/>
      <c r="E1357" s="14" t="str">
        <f>IF(F1357="","",IFERROR(INDEX(マスター!$F$5:$F$200,MATCH(F1357,マスター!$E$5:$E$200,0)),"※マスター未登録"))</f>
        <v/>
      </c>
      <c r="F1357" s="27"/>
      <c r="G1357" s="27"/>
      <c r="H1357" s="27"/>
      <c r="I1357" s="27"/>
      <c r="J1357" s="27"/>
      <c r="K1357" s="27"/>
    </row>
    <row r="1358" spans="1:11" x14ac:dyDescent="0.2">
      <c r="A1358" s="26"/>
      <c r="B1358" s="14" t="str">
        <f>IF(A1358="","",CHOOSE(WEEKDAY(A1358),"日","月","火","水","木","金","土"))</f>
        <v/>
      </c>
      <c r="C1358" s="27"/>
      <c r="D1358" s="27"/>
      <c r="E1358" s="14" t="str">
        <f>IF(F1358="","",IFERROR(INDEX(マスター!$F$5:$F$200,MATCH(F1358,マスター!$E$5:$E$200,0)),"※マスター未登録"))</f>
        <v/>
      </c>
      <c r="F1358" s="27"/>
      <c r="G1358" s="27"/>
      <c r="H1358" s="27"/>
      <c r="I1358" s="27"/>
      <c r="J1358" s="27"/>
      <c r="K1358" s="27"/>
    </row>
    <row r="1359" spans="1:11" x14ac:dyDescent="0.2">
      <c r="A1359" s="26"/>
      <c r="B1359" s="14" t="str">
        <f>IF(A1359="","",CHOOSE(WEEKDAY(A1359),"日","月","火","水","木","金","土"))</f>
        <v/>
      </c>
      <c r="C1359" s="27"/>
      <c r="D1359" s="27"/>
      <c r="E1359" s="14" t="str">
        <f>IF(F1359="","",IFERROR(INDEX(マスター!$F$5:$F$200,MATCH(F1359,マスター!$E$5:$E$200,0)),"※マスター未登録"))</f>
        <v/>
      </c>
      <c r="F1359" s="27"/>
      <c r="G1359" s="27"/>
      <c r="H1359" s="27"/>
      <c r="I1359" s="27"/>
      <c r="J1359" s="27"/>
      <c r="K1359" s="27"/>
    </row>
    <row r="1360" spans="1:11" x14ac:dyDescent="0.2">
      <c r="A1360" s="26"/>
      <c r="B1360" s="14" t="str">
        <f>IF(A1360="","",CHOOSE(WEEKDAY(A1360),"日","月","火","水","木","金","土"))</f>
        <v/>
      </c>
      <c r="C1360" s="27"/>
      <c r="D1360" s="27"/>
      <c r="E1360" s="14" t="str">
        <f>IF(F1360="","",IFERROR(INDEX(マスター!$F$5:$F$200,MATCH(F1360,マスター!$E$5:$E$200,0)),"※マスター未登録"))</f>
        <v/>
      </c>
      <c r="F1360" s="27"/>
      <c r="G1360" s="27"/>
      <c r="H1360" s="27"/>
      <c r="I1360" s="27"/>
      <c r="J1360" s="27"/>
      <c r="K1360" s="27"/>
    </row>
    <row r="1361" spans="1:11" x14ac:dyDescent="0.2">
      <c r="A1361" s="26"/>
      <c r="B1361" s="14" t="str">
        <f>IF(A1361="","",CHOOSE(WEEKDAY(A1361),"日","月","火","水","木","金","土"))</f>
        <v/>
      </c>
      <c r="C1361" s="27"/>
      <c r="D1361" s="27"/>
      <c r="E1361" s="14" t="str">
        <f>IF(F1361="","",IFERROR(INDEX(マスター!$F$5:$F$200,MATCH(F1361,マスター!$E$5:$E$200,0)),"※マスター未登録"))</f>
        <v/>
      </c>
      <c r="F1361" s="27"/>
      <c r="G1361" s="27"/>
      <c r="H1361" s="27"/>
      <c r="I1361" s="27"/>
      <c r="J1361" s="27"/>
      <c r="K1361" s="27"/>
    </row>
    <row r="1362" spans="1:11" x14ac:dyDescent="0.2">
      <c r="A1362" s="26"/>
      <c r="B1362" s="14" t="str">
        <f>IF(A1362="","",CHOOSE(WEEKDAY(A1362),"日","月","火","水","木","金","土"))</f>
        <v/>
      </c>
      <c r="C1362" s="27"/>
      <c r="D1362" s="27"/>
      <c r="E1362" s="14" t="str">
        <f>IF(F1362="","",IFERROR(INDEX(マスター!$F$5:$F$200,MATCH(F1362,マスター!$E$5:$E$200,0)),"※マスター未登録"))</f>
        <v/>
      </c>
      <c r="F1362" s="27"/>
      <c r="G1362" s="27"/>
      <c r="H1362" s="27"/>
      <c r="I1362" s="27"/>
      <c r="J1362" s="27"/>
      <c r="K1362" s="27"/>
    </row>
    <row r="1363" spans="1:11" x14ac:dyDescent="0.2">
      <c r="A1363" s="26"/>
      <c r="B1363" s="14" t="str">
        <f>IF(A1363="","",CHOOSE(WEEKDAY(A1363),"日","月","火","水","木","金","土"))</f>
        <v/>
      </c>
      <c r="C1363" s="27"/>
      <c r="D1363" s="27"/>
      <c r="E1363" s="14" t="str">
        <f>IF(F1363="","",IFERROR(INDEX(マスター!$F$5:$F$200,MATCH(F1363,マスター!$E$5:$E$200,0)),"※マスター未登録"))</f>
        <v/>
      </c>
      <c r="F1363" s="27"/>
      <c r="G1363" s="27"/>
      <c r="H1363" s="27"/>
      <c r="I1363" s="27"/>
      <c r="J1363" s="27"/>
      <c r="K1363" s="27"/>
    </row>
    <row r="1364" spans="1:11" x14ac:dyDescent="0.2">
      <c r="A1364" s="26"/>
      <c r="B1364" s="14" t="str">
        <f>IF(A1364="","",CHOOSE(WEEKDAY(A1364),"日","月","火","水","木","金","土"))</f>
        <v/>
      </c>
      <c r="C1364" s="27"/>
      <c r="D1364" s="27"/>
      <c r="E1364" s="14" t="str">
        <f>IF(F1364="","",IFERROR(INDEX(マスター!$F$5:$F$200,MATCH(F1364,マスター!$E$5:$E$200,0)),"※マスター未登録"))</f>
        <v/>
      </c>
      <c r="F1364" s="27"/>
      <c r="G1364" s="27"/>
      <c r="H1364" s="27"/>
      <c r="I1364" s="27"/>
      <c r="J1364" s="27"/>
      <c r="K1364" s="27"/>
    </row>
    <row r="1365" spans="1:11" x14ac:dyDescent="0.2">
      <c r="A1365" s="26"/>
      <c r="B1365" s="14" t="str">
        <f>IF(A1365="","",CHOOSE(WEEKDAY(A1365),"日","月","火","水","木","金","土"))</f>
        <v/>
      </c>
      <c r="C1365" s="27"/>
      <c r="D1365" s="27"/>
      <c r="E1365" s="14" t="str">
        <f>IF(F1365="","",IFERROR(INDEX(マスター!$F$5:$F$200,MATCH(F1365,マスター!$E$5:$E$200,0)),"※マスター未登録"))</f>
        <v/>
      </c>
      <c r="F1365" s="27"/>
      <c r="G1365" s="27"/>
      <c r="H1365" s="27"/>
      <c r="I1365" s="27"/>
      <c r="J1365" s="27"/>
      <c r="K1365" s="27"/>
    </row>
    <row r="1366" spans="1:11" x14ac:dyDescent="0.2">
      <c r="A1366" s="26"/>
      <c r="B1366" s="14" t="str">
        <f>IF(A1366="","",CHOOSE(WEEKDAY(A1366),"日","月","火","水","木","金","土"))</f>
        <v/>
      </c>
      <c r="C1366" s="27"/>
      <c r="D1366" s="27"/>
      <c r="E1366" s="14" t="str">
        <f>IF(F1366="","",IFERROR(INDEX(マスター!$F$5:$F$200,MATCH(F1366,マスター!$E$5:$E$200,0)),"※マスター未登録"))</f>
        <v/>
      </c>
      <c r="F1366" s="27"/>
      <c r="G1366" s="27"/>
      <c r="H1366" s="27"/>
      <c r="I1366" s="27"/>
      <c r="J1366" s="27"/>
      <c r="K1366" s="27"/>
    </row>
    <row r="1367" spans="1:11" x14ac:dyDescent="0.2">
      <c r="A1367" s="26"/>
      <c r="B1367" s="14" t="str">
        <f>IF(A1367="","",CHOOSE(WEEKDAY(A1367),"日","月","火","水","木","金","土"))</f>
        <v/>
      </c>
      <c r="C1367" s="27"/>
      <c r="D1367" s="27"/>
      <c r="E1367" s="14" t="str">
        <f>IF(F1367="","",IFERROR(INDEX(マスター!$F$5:$F$200,MATCH(F1367,マスター!$E$5:$E$200,0)),"※マスター未登録"))</f>
        <v/>
      </c>
      <c r="F1367" s="27"/>
      <c r="G1367" s="27"/>
      <c r="H1367" s="27"/>
      <c r="I1367" s="27"/>
      <c r="J1367" s="27"/>
      <c r="K1367" s="27"/>
    </row>
    <row r="1368" spans="1:11" x14ac:dyDescent="0.2">
      <c r="A1368" s="26"/>
      <c r="B1368" s="14" t="str">
        <f>IF(A1368="","",CHOOSE(WEEKDAY(A1368),"日","月","火","水","木","金","土"))</f>
        <v/>
      </c>
      <c r="C1368" s="27"/>
      <c r="D1368" s="27"/>
      <c r="E1368" s="14" t="str">
        <f>IF(F1368="","",IFERROR(INDEX(マスター!$F$5:$F$200,MATCH(F1368,マスター!$E$5:$E$200,0)),"※マスター未登録"))</f>
        <v/>
      </c>
      <c r="F1368" s="27"/>
      <c r="G1368" s="27"/>
      <c r="H1368" s="27"/>
      <c r="I1368" s="27"/>
      <c r="J1368" s="27"/>
      <c r="K1368" s="27"/>
    </row>
    <row r="1369" spans="1:11" x14ac:dyDescent="0.2">
      <c r="A1369" s="26"/>
      <c r="B1369" s="14" t="str">
        <f>IF(A1369="","",CHOOSE(WEEKDAY(A1369),"日","月","火","水","木","金","土"))</f>
        <v/>
      </c>
      <c r="C1369" s="27"/>
      <c r="D1369" s="27"/>
      <c r="E1369" s="14" t="str">
        <f>IF(F1369="","",IFERROR(INDEX(マスター!$F$5:$F$200,MATCH(F1369,マスター!$E$5:$E$200,0)),"※マスター未登録"))</f>
        <v/>
      </c>
      <c r="F1369" s="27"/>
      <c r="G1369" s="27"/>
      <c r="H1369" s="27"/>
      <c r="I1369" s="27"/>
      <c r="J1369" s="27"/>
      <c r="K1369" s="27"/>
    </row>
    <row r="1370" spans="1:11" x14ac:dyDescent="0.2">
      <c r="A1370" s="26"/>
      <c r="B1370" s="14" t="str">
        <f>IF(A1370="","",CHOOSE(WEEKDAY(A1370),"日","月","火","水","木","金","土"))</f>
        <v/>
      </c>
      <c r="C1370" s="27"/>
      <c r="D1370" s="27"/>
      <c r="E1370" s="14" t="str">
        <f>IF(F1370="","",IFERROR(INDEX(マスター!$F$5:$F$200,MATCH(F1370,マスター!$E$5:$E$200,0)),"※マスター未登録"))</f>
        <v/>
      </c>
      <c r="F1370" s="27"/>
      <c r="G1370" s="27"/>
      <c r="H1370" s="27"/>
      <c r="I1370" s="27"/>
      <c r="J1370" s="27"/>
      <c r="K1370" s="27"/>
    </row>
    <row r="1371" spans="1:11" x14ac:dyDescent="0.2">
      <c r="A1371" s="26"/>
      <c r="B1371" s="14" t="str">
        <f>IF(A1371="","",CHOOSE(WEEKDAY(A1371),"日","月","火","水","木","金","土"))</f>
        <v/>
      </c>
      <c r="C1371" s="27"/>
      <c r="D1371" s="27"/>
      <c r="E1371" s="14" t="str">
        <f>IF(F1371="","",IFERROR(INDEX(マスター!$F$5:$F$200,MATCH(F1371,マスター!$E$5:$E$200,0)),"※マスター未登録"))</f>
        <v/>
      </c>
      <c r="F1371" s="27"/>
      <c r="G1371" s="27"/>
      <c r="H1371" s="27"/>
      <c r="I1371" s="27"/>
      <c r="J1371" s="27"/>
      <c r="K1371" s="27"/>
    </row>
    <row r="1372" spans="1:11" x14ac:dyDescent="0.2">
      <c r="A1372" s="26"/>
      <c r="B1372" s="14" t="str">
        <f>IF(A1372="","",CHOOSE(WEEKDAY(A1372),"日","月","火","水","木","金","土"))</f>
        <v/>
      </c>
      <c r="C1372" s="27"/>
      <c r="D1372" s="27"/>
      <c r="E1372" s="14" t="str">
        <f>IF(F1372="","",IFERROR(INDEX(マスター!$F$5:$F$200,MATCH(F1372,マスター!$E$5:$E$200,0)),"※マスター未登録"))</f>
        <v/>
      </c>
      <c r="F1372" s="27"/>
      <c r="G1372" s="27"/>
      <c r="H1372" s="27"/>
      <c r="I1372" s="27"/>
      <c r="J1372" s="27"/>
      <c r="K1372" s="27"/>
    </row>
    <row r="1373" spans="1:11" x14ac:dyDescent="0.2">
      <c r="A1373" s="26"/>
      <c r="B1373" s="14" t="str">
        <f>IF(A1373="","",CHOOSE(WEEKDAY(A1373),"日","月","火","水","木","金","土"))</f>
        <v/>
      </c>
      <c r="C1373" s="27"/>
      <c r="D1373" s="27"/>
      <c r="E1373" s="14" t="str">
        <f>IF(F1373="","",IFERROR(INDEX(マスター!$F$5:$F$200,MATCH(F1373,マスター!$E$5:$E$200,0)),"※マスター未登録"))</f>
        <v/>
      </c>
      <c r="F1373" s="27"/>
      <c r="G1373" s="27"/>
      <c r="H1373" s="27"/>
      <c r="I1373" s="27"/>
      <c r="J1373" s="27"/>
      <c r="K1373" s="27"/>
    </row>
    <row r="1374" spans="1:11" x14ac:dyDescent="0.2">
      <c r="A1374" s="26"/>
      <c r="B1374" s="14" t="str">
        <f>IF(A1374="","",CHOOSE(WEEKDAY(A1374),"日","月","火","水","木","金","土"))</f>
        <v/>
      </c>
      <c r="C1374" s="27"/>
      <c r="D1374" s="27"/>
      <c r="E1374" s="14" t="str">
        <f>IF(F1374="","",IFERROR(INDEX(マスター!$F$5:$F$200,MATCH(F1374,マスター!$E$5:$E$200,0)),"※マスター未登録"))</f>
        <v/>
      </c>
      <c r="F1374" s="27"/>
      <c r="G1374" s="27"/>
      <c r="H1374" s="27"/>
      <c r="I1374" s="27"/>
      <c r="J1374" s="27"/>
      <c r="K1374" s="27"/>
    </row>
    <row r="1375" spans="1:11" x14ac:dyDescent="0.2">
      <c r="A1375" s="26"/>
      <c r="B1375" s="14" t="str">
        <f>IF(A1375="","",CHOOSE(WEEKDAY(A1375),"日","月","火","水","木","金","土"))</f>
        <v/>
      </c>
      <c r="C1375" s="27"/>
      <c r="D1375" s="27"/>
      <c r="E1375" s="14" t="str">
        <f>IF(F1375="","",IFERROR(INDEX(マスター!$F$5:$F$200,MATCH(F1375,マスター!$E$5:$E$200,0)),"※マスター未登録"))</f>
        <v/>
      </c>
      <c r="F1375" s="27"/>
      <c r="G1375" s="27"/>
      <c r="H1375" s="27"/>
      <c r="I1375" s="27"/>
      <c r="J1375" s="27"/>
      <c r="K1375" s="27"/>
    </row>
    <row r="1376" spans="1:11" x14ac:dyDescent="0.2">
      <c r="A1376" s="26"/>
      <c r="B1376" s="14" t="str">
        <f>IF(A1376="","",CHOOSE(WEEKDAY(A1376),"日","月","火","水","木","金","土"))</f>
        <v/>
      </c>
      <c r="C1376" s="27"/>
      <c r="D1376" s="27"/>
      <c r="E1376" s="14" t="str">
        <f>IF(F1376="","",IFERROR(INDEX(マスター!$F$5:$F$200,MATCH(F1376,マスター!$E$5:$E$200,0)),"※マスター未登録"))</f>
        <v/>
      </c>
      <c r="F1376" s="27"/>
      <c r="G1376" s="27"/>
      <c r="H1376" s="27"/>
      <c r="I1376" s="27"/>
      <c r="J1376" s="27"/>
      <c r="K1376" s="27"/>
    </row>
    <row r="1377" spans="1:11" x14ac:dyDescent="0.2">
      <c r="A1377" s="26"/>
      <c r="B1377" s="14" t="str">
        <f>IF(A1377="","",CHOOSE(WEEKDAY(A1377),"日","月","火","水","木","金","土"))</f>
        <v/>
      </c>
      <c r="C1377" s="27"/>
      <c r="D1377" s="27"/>
      <c r="E1377" s="14" t="str">
        <f>IF(F1377="","",IFERROR(INDEX(マスター!$F$5:$F$200,MATCH(F1377,マスター!$E$5:$E$200,0)),"※マスター未登録"))</f>
        <v/>
      </c>
      <c r="F1377" s="27"/>
      <c r="G1377" s="27"/>
      <c r="H1377" s="27"/>
      <c r="I1377" s="27"/>
      <c r="J1377" s="27"/>
      <c r="K1377" s="27"/>
    </row>
    <row r="1378" spans="1:11" x14ac:dyDescent="0.2">
      <c r="A1378" s="26"/>
      <c r="B1378" s="14" t="str">
        <f>IF(A1378="","",CHOOSE(WEEKDAY(A1378),"日","月","火","水","木","金","土"))</f>
        <v/>
      </c>
      <c r="C1378" s="27"/>
      <c r="D1378" s="27"/>
      <c r="E1378" s="14" t="str">
        <f>IF(F1378="","",IFERROR(INDEX(マスター!$F$5:$F$200,MATCH(F1378,マスター!$E$5:$E$200,0)),"※マスター未登録"))</f>
        <v/>
      </c>
      <c r="F1378" s="27"/>
      <c r="G1378" s="27"/>
      <c r="H1378" s="27"/>
      <c r="I1378" s="27"/>
      <c r="J1378" s="27"/>
      <c r="K1378" s="27"/>
    </row>
    <row r="1379" spans="1:11" x14ac:dyDescent="0.2">
      <c r="A1379" s="26"/>
      <c r="B1379" s="14" t="str">
        <f>IF(A1379="","",CHOOSE(WEEKDAY(A1379),"日","月","火","水","木","金","土"))</f>
        <v/>
      </c>
      <c r="C1379" s="27"/>
      <c r="D1379" s="27"/>
      <c r="E1379" s="14" t="str">
        <f>IF(F1379="","",IFERROR(INDEX(マスター!$F$5:$F$200,MATCH(F1379,マスター!$E$5:$E$200,0)),"※マスター未登録"))</f>
        <v/>
      </c>
      <c r="F1379" s="27"/>
      <c r="G1379" s="27"/>
      <c r="H1379" s="27"/>
      <c r="I1379" s="27"/>
      <c r="J1379" s="27"/>
      <c r="K1379" s="27"/>
    </row>
    <row r="1380" spans="1:11" x14ac:dyDescent="0.2">
      <c r="A1380" s="26"/>
      <c r="B1380" s="14" t="str">
        <f>IF(A1380="","",CHOOSE(WEEKDAY(A1380),"日","月","火","水","木","金","土"))</f>
        <v/>
      </c>
      <c r="C1380" s="27"/>
      <c r="D1380" s="27"/>
      <c r="E1380" s="14" t="str">
        <f>IF(F1380="","",IFERROR(INDEX(マスター!$F$5:$F$200,MATCH(F1380,マスター!$E$5:$E$200,0)),"※マスター未登録"))</f>
        <v/>
      </c>
      <c r="F1380" s="27"/>
      <c r="G1380" s="27"/>
      <c r="H1380" s="27"/>
      <c r="I1380" s="27"/>
      <c r="J1380" s="27"/>
      <c r="K1380" s="27"/>
    </row>
    <row r="1381" spans="1:11" x14ac:dyDescent="0.2">
      <c r="A1381" s="26"/>
      <c r="B1381" s="14" t="str">
        <f>IF(A1381="","",CHOOSE(WEEKDAY(A1381),"日","月","火","水","木","金","土"))</f>
        <v/>
      </c>
      <c r="C1381" s="27"/>
      <c r="D1381" s="27"/>
      <c r="E1381" s="14" t="str">
        <f>IF(F1381="","",IFERROR(INDEX(マスター!$F$5:$F$200,MATCH(F1381,マスター!$E$5:$E$200,0)),"※マスター未登録"))</f>
        <v/>
      </c>
      <c r="F1381" s="27"/>
      <c r="G1381" s="27"/>
      <c r="H1381" s="27"/>
      <c r="I1381" s="27"/>
      <c r="J1381" s="27"/>
      <c r="K1381" s="27"/>
    </row>
    <row r="1382" spans="1:11" x14ac:dyDescent="0.2">
      <c r="A1382" s="26"/>
      <c r="B1382" s="14" t="str">
        <f>IF(A1382="","",CHOOSE(WEEKDAY(A1382),"日","月","火","水","木","金","土"))</f>
        <v/>
      </c>
      <c r="C1382" s="27"/>
      <c r="D1382" s="27"/>
      <c r="E1382" s="14" t="str">
        <f>IF(F1382="","",IFERROR(INDEX(マスター!$F$5:$F$200,MATCH(F1382,マスター!$E$5:$E$200,0)),"※マスター未登録"))</f>
        <v/>
      </c>
      <c r="F1382" s="27"/>
      <c r="G1382" s="27"/>
      <c r="H1382" s="27"/>
      <c r="I1382" s="27"/>
      <c r="J1382" s="27"/>
      <c r="K1382" s="27"/>
    </row>
    <row r="1383" spans="1:11" x14ac:dyDescent="0.2">
      <c r="A1383" s="26"/>
      <c r="B1383" s="14" t="str">
        <f>IF(A1383="","",CHOOSE(WEEKDAY(A1383),"日","月","火","水","木","金","土"))</f>
        <v/>
      </c>
      <c r="C1383" s="27"/>
      <c r="D1383" s="27"/>
      <c r="E1383" s="14" t="str">
        <f>IF(F1383="","",IFERROR(INDEX(マスター!$F$5:$F$200,MATCH(F1383,マスター!$E$5:$E$200,0)),"※マスター未登録"))</f>
        <v/>
      </c>
      <c r="F1383" s="27"/>
      <c r="G1383" s="27"/>
      <c r="H1383" s="27"/>
      <c r="I1383" s="27"/>
      <c r="J1383" s="27"/>
      <c r="K1383" s="27"/>
    </row>
    <row r="1384" spans="1:11" x14ac:dyDescent="0.2">
      <c r="A1384" s="26"/>
      <c r="B1384" s="14" t="str">
        <f>IF(A1384="","",CHOOSE(WEEKDAY(A1384),"日","月","火","水","木","金","土"))</f>
        <v/>
      </c>
      <c r="C1384" s="27"/>
      <c r="D1384" s="27"/>
      <c r="E1384" s="14" t="str">
        <f>IF(F1384="","",IFERROR(INDEX(マスター!$F$5:$F$200,MATCH(F1384,マスター!$E$5:$E$200,0)),"※マスター未登録"))</f>
        <v/>
      </c>
      <c r="F1384" s="27"/>
      <c r="G1384" s="27"/>
      <c r="H1384" s="27"/>
      <c r="I1384" s="27"/>
      <c r="J1384" s="27"/>
      <c r="K1384" s="27"/>
    </row>
    <row r="1385" spans="1:11" x14ac:dyDescent="0.2">
      <c r="A1385" s="26"/>
      <c r="B1385" s="14" t="str">
        <f>IF(A1385="","",CHOOSE(WEEKDAY(A1385),"日","月","火","水","木","金","土"))</f>
        <v/>
      </c>
      <c r="C1385" s="27"/>
      <c r="D1385" s="27"/>
      <c r="E1385" s="14" t="str">
        <f>IF(F1385="","",IFERROR(INDEX(マスター!$F$5:$F$200,MATCH(F1385,マスター!$E$5:$E$200,0)),"※マスター未登録"))</f>
        <v/>
      </c>
      <c r="F1385" s="27"/>
      <c r="G1385" s="27"/>
      <c r="H1385" s="27"/>
      <c r="I1385" s="27"/>
      <c r="J1385" s="27"/>
      <c r="K1385" s="27"/>
    </row>
    <row r="1386" spans="1:11" x14ac:dyDescent="0.2">
      <c r="A1386" s="26"/>
      <c r="B1386" s="14" t="str">
        <f>IF(A1386="","",CHOOSE(WEEKDAY(A1386),"日","月","火","水","木","金","土"))</f>
        <v/>
      </c>
      <c r="C1386" s="27"/>
      <c r="D1386" s="27"/>
      <c r="E1386" s="14" t="str">
        <f>IF(F1386="","",IFERROR(INDEX(マスター!$F$5:$F$200,MATCH(F1386,マスター!$E$5:$E$200,0)),"※マスター未登録"))</f>
        <v/>
      </c>
      <c r="F1386" s="27"/>
      <c r="G1386" s="27"/>
      <c r="H1386" s="27"/>
      <c r="I1386" s="27"/>
      <c r="J1386" s="27"/>
      <c r="K1386" s="27"/>
    </row>
    <row r="1387" spans="1:11" x14ac:dyDescent="0.2">
      <c r="A1387" s="26"/>
      <c r="B1387" s="14" t="str">
        <f>IF(A1387="","",CHOOSE(WEEKDAY(A1387),"日","月","火","水","木","金","土"))</f>
        <v/>
      </c>
      <c r="C1387" s="27"/>
      <c r="D1387" s="27"/>
      <c r="E1387" s="14" t="str">
        <f>IF(F1387="","",IFERROR(INDEX(マスター!$F$5:$F$200,MATCH(F1387,マスター!$E$5:$E$200,0)),"※マスター未登録"))</f>
        <v/>
      </c>
      <c r="F1387" s="27"/>
      <c r="G1387" s="27"/>
      <c r="H1387" s="27"/>
      <c r="I1387" s="27"/>
      <c r="J1387" s="27"/>
      <c r="K1387" s="27"/>
    </row>
    <row r="1388" spans="1:11" x14ac:dyDescent="0.2">
      <c r="A1388" s="26"/>
      <c r="B1388" s="14" t="str">
        <f>IF(A1388="","",CHOOSE(WEEKDAY(A1388),"日","月","火","水","木","金","土"))</f>
        <v/>
      </c>
      <c r="C1388" s="27"/>
      <c r="D1388" s="27"/>
      <c r="E1388" s="14" t="str">
        <f>IF(F1388="","",IFERROR(INDEX(マスター!$F$5:$F$200,MATCH(F1388,マスター!$E$5:$E$200,0)),"※マスター未登録"))</f>
        <v/>
      </c>
      <c r="F1388" s="27"/>
      <c r="G1388" s="27"/>
      <c r="H1388" s="27"/>
      <c r="I1388" s="27"/>
      <c r="J1388" s="27"/>
      <c r="K1388" s="27"/>
    </row>
    <row r="1389" spans="1:11" x14ac:dyDescent="0.2">
      <c r="A1389" s="26"/>
      <c r="B1389" s="14" t="str">
        <f>IF(A1389="","",CHOOSE(WEEKDAY(A1389),"日","月","火","水","木","金","土"))</f>
        <v/>
      </c>
      <c r="C1389" s="27"/>
      <c r="D1389" s="27"/>
      <c r="E1389" s="14" t="str">
        <f>IF(F1389="","",IFERROR(INDEX(マスター!$F$5:$F$200,MATCH(F1389,マスター!$E$5:$E$200,0)),"※マスター未登録"))</f>
        <v/>
      </c>
      <c r="F1389" s="27"/>
      <c r="G1389" s="27"/>
      <c r="H1389" s="27"/>
      <c r="I1389" s="27"/>
      <c r="J1389" s="27"/>
      <c r="K1389" s="27"/>
    </row>
    <row r="1390" spans="1:11" x14ac:dyDescent="0.2">
      <c r="A1390" s="26"/>
      <c r="B1390" s="14" t="str">
        <f>IF(A1390="","",CHOOSE(WEEKDAY(A1390),"日","月","火","水","木","金","土"))</f>
        <v/>
      </c>
      <c r="C1390" s="27"/>
      <c r="D1390" s="27"/>
      <c r="E1390" s="14" t="str">
        <f>IF(F1390="","",IFERROR(INDEX(マスター!$F$5:$F$200,MATCH(F1390,マスター!$E$5:$E$200,0)),"※マスター未登録"))</f>
        <v/>
      </c>
      <c r="F1390" s="27"/>
      <c r="G1390" s="27"/>
      <c r="H1390" s="27"/>
      <c r="I1390" s="27"/>
      <c r="J1390" s="27"/>
      <c r="K1390" s="27"/>
    </row>
    <row r="1391" spans="1:11" x14ac:dyDescent="0.2">
      <c r="A1391" s="26"/>
      <c r="B1391" s="14" t="str">
        <f>IF(A1391="","",CHOOSE(WEEKDAY(A1391),"日","月","火","水","木","金","土"))</f>
        <v/>
      </c>
      <c r="C1391" s="27"/>
      <c r="D1391" s="27"/>
      <c r="E1391" s="14" t="str">
        <f>IF(F1391="","",IFERROR(INDEX(マスター!$F$5:$F$200,MATCH(F1391,マスター!$E$5:$E$200,0)),"※マスター未登録"))</f>
        <v/>
      </c>
      <c r="F1391" s="27"/>
      <c r="G1391" s="27"/>
      <c r="H1391" s="27"/>
      <c r="I1391" s="27"/>
      <c r="J1391" s="27"/>
      <c r="K1391" s="27"/>
    </row>
    <row r="1392" spans="1:11" x14ac:dyDescent="0.2">
      <c r="A1392" s="26"/>
      <c r="B1392" s="14" t="str">
        <f>IF(A1392="","",CHOOSE(WEEKDAY(A1392),"日","月","火","水","木","金","土"))</f>
        <v/>
      </c>
      <c r="C1392" s="27"/>
      <c r="D1392" s="27"/>
      <c r="E1392" s="14" t="str">
        <f>IF(F1392="","",IFERROR(INDEX(マスター!$F$5:$F$200,MATCH(F1392,マスター!$E$5:$E$200,0)),"※マスター未登録"))</f>
        <v/>
      </c>
      <c r="F1392" s="27"/>
      <c r="G1392" s="27"/>
      <c r="H1392" s="27"/>
      <c r="I1392" s="27"/>
      <c r="J1392" s="27"/>
      <c r="K1392" s="27"/>
    </row>
    <row r="1393" spans="1:11" x14ac:dyDescent="0.2">
      <c r="A1393" s="26"/>
      <c r="B1393" s="14" t="str">
        <f>IF(A1393="","",CHOOSE(WEEKDAY(A1393),"日","月","火","水","木","金","土"))</f>
        <v/>
      </c>
      <c r="C1393" s="27"/>
      <c r="D1393" s="27"/>
      <c r="E1393" s="14" t="str">
        <f>IF(F1393="","",IFERROR(INDEX(マスター!$F$5:$F$200,MATCH(F1393,マスター!$E$5:$E$200,0)),"※マスター未登録"))</f>
        <v/>
      </c>
      <c r="F1393" s="27"/>
      <c r="G1393" s="27"/>
      <c r="H1393" s="27"/>
      <c r="I1393" s="27"/>
      <c r="J1393" s="27"/>
      <c r="K1393" s="27"/>
    </row>
    <row r="1394" spans="1:11" x14ac:dyDescent="0.2">
      <c r="A1394" s="26"/>
      <c r="B1394" s="14" t="str">
        <f>IF(A1394="","",CHOOSE(WEEKDAY(A1394),"日","月","火","水","木","金","土"))</f>
        <v/>
      </c>
      <c r="C1394" s="27"/>
      <c r="D1394" s="27"/>
      <c r="E1394" s="14" t="str">
        <f>IF(F1394="","",IFERROR(INDEX(マスター!$F$5:$F$200,MATCH(F1394,マスター!$E$5:$E$200,0)),"※マスター未登録"))</f>
        <v/>
      </c>
      <c r="F1394" s="27"/>
      <c r="G1394" s="27"/>
      <c r="H1394" s="27"/>
      <c r="I1394" s="27"/>
      <c r="J1394" s="27"/>
      <c r="K1394" s="27"/>
    </row>
    <row r="1395" spans="1:11" x14ac:dyDescent="0.2">
      <c r="A1395" s="26"/>
      <c r="B1395" s="14" t="str">
        <f>IF(A1395="","",CHOOSE(WEEKDAY(A1395),"日","月","火","水","木","金","土"))</f>
        <v/>
      </c>
      <c r="C1395" s="27"/>
      <c r="D1395" s="27"/>
      <c r="E1395" s="14" t="str">
        <f>IF(F1395="","",IFERROR(INDEX(マスター!$F$5:$F$200,MATCH(F1395,マスター!$E$5:$E$200,0)),"※マスター未登録"))</f>
        <v/>
      </c>
      <c r="F1395" s="27"/>
      <c r="G1395" s="27"/>
      <c r="H1395" s="27"/>
      <c r="I1395" s="27"/>
      <c r="J1395" s="27"/>
      <c r="K1395" s="27"/>
    </row>
    <row r="1396" spans="1:11" x14ac:dyDescent="0.2">
      <c r="A1396" s="26"/>
      <c r="B1396" s="14" t="str">
        <f>IF(A1396="","",CHOOSE(WEEKDAY(A1396),"日","月","火","水","木","金","土"))</f>
        <v/>
      </c>
      <c r="C1396" s="27"/>
      <c r="D1396" s="27"/>
      <c r="E1396" s="14" t="str">
        <f>IF(F1396="","",IFERROR(INDEX(マスター!$F$5:$F$200,MATCH(F1396,マスター!$E$5:$E$200,0)),"※マスター未登録"))</f>
        <v/>
      </c>
      <c r="F1396" s="27"/>
      <c r="G1396" s="27"/>
      <c r="H1396" s="27"/>
      <c r="I1396" s="27"/>
      <c r="J1396" s="27"/>
      <c r="K1396" s="27"/>
    </row>
    <row r="1397" spans="1:11" x14ac:dyDescent="0.2">
      <c r="A1397" s="26"/>
      <c r="B1397" s="14" t="str">
        <f>IF(A1397="","",CHOOSE(WEEKDAY(A1397),"日","月","火","水","木","金","土"))</f>
        <v/>
      </c>
      <c r="C1397" s="27"/>
      <c r="D1397" s="27"/>
      <c r="E1397" s="14" t="str">
        <f>IF(F1397="","",IFERROR(INDEX(マスター!$F$5:$F$200,MATCH(F1397,マスター!$E$5:$E$200,0)),"※マスター未登録"))</f>
        <v/>
      </c>
      <c r="F1397" s="27"/>
      <c r="G1397" s="27"/>
      <c r="H1397" s="27"/>
      <c r="I1397" s="27"/>
      <c r="J1397" s="27"/>
      <c r="K1397" s="27"/>
    </row>
    <row r="1398" spans="1:11" x14ac:dyDescent="0.2">
      <c r="A1398" s="26"/>
      <c r="B1398" s="14" t="str">
        <f>IF(A1398="","",CHOOSE(WEEKDAY(A1398),"日","月","火","水","木","金","土"))</f>
        <v/>
      </c>
      <c r="C1398" s="27"/>
      <c r="D1398" s="27"/>
      <c r="E1398" s="14" t="str">
        <f>IF(F1398="","",IFERROR(INDEX(マスター!$F$5:$F$200,MATCH(F1398,マスター!$E$5:$E$200,0)),"※マスター未登録"))</f>
        <v/>
      </c>
      <c r="F1398" s="27"/>
      <c r="G1398" s="27"/>
      <c r="H1398" s="27"/>
      <c r="I1398" s="27"/>
      <c r="J1398" s="27"/>
      <c r="K1398" s="27"/>
    </row>
    <row r="1399" spans="1:11" x14ac:dyDescent="0.2">
      <c r="A1399" s="26"/>
      <c r="B1399" s="14" t="str">
        <f>IF(A1399="","",CHOOSE(WEEKDAY(A1399),"日","月","火","水","木","金","土"))</f>
        <v/>
      </c>
      <c r="C1399" s="27"/>
      <c r="D1399" s="27"/>
      <c r="E1399" s="14" t="str">
        <f>IF(F1399="","",IFERROR(INDEX(マスター!$F$5:$F$200,MATCH(F1399,マスター!$E$5:$E$200,0)),"※マスター未登録"))</f>
        <v/>
      </c>
      <c r="F1399" s="27"/>
      <c r="G1399" s="27"/>
      <c r="H1399" s="27"/>
      <c r="I1399" s="27"/>
      <c r="J1399" s="27"/>
      <c r="K1399" s="27"/>
    </row>
    <row r="1400" spans="1:11" x14ac:dyDescent="0.2">
      <c r="A1400" s="26"/>
      <c r="B1400" s="14" t="str">
        <f>IF(A1400="","",CHOOSE(WEEKDAY(A1400),"日","月","火","水","木","金","土"))</f>
        <v/>
      </c>
      <c r="C1400" s="27"/>
      <c r="D1400" s="27"/>
      <c r="E1400" s="14" t="str">
        <f>IF(F1400="","",IFERROR(INDEX(マスター!$F$5:$F$200,MATCH(F1400,マスター!$E$5:$E$200,0)),"※マスター未登録"))</f>
        <v/>
      </c>
      <c r="F1400" s="27"/>
      <c r="G1400" s="27"/>
      <c r="H1400" s="27"/>
      <c r="I1400" s="27"/>
      <c r="J1400" s="27"/>
      <c r="K1400" s="27"/>
    </row>
    <row r="1401" spans="1:11" x14ac:dyDescent="0.2">
      <c r="A1401" s="26"/>
      <c r="B1401" s="14" t="str">
        <f>IF(A1401="","",CHOOSE(WEEKDAY(A1401),"日","月","火","水","木","金","土"))</f>
        <v/>
      </c>
      <c r="C1401" s="27"/>
      <c r="D1401" s="27"/>
      <c r="E1401" s="14" t="str">
        <f>IF(F1401="","",IFERROR(INDEX(マスター!$F$5:$F$200,MATCH(F1401,マスター!$E$5:$E$200,0)),"※マスター未登録"))</f>
        <v/>
      </c>
      <c r="F1401" s="27"/>
      <c r="G1401" s="27"/>
      <c r="H1401" s="27"/>
      <c r="I1401" s="27"/>
      <c r="J1401" s="27"/>
      <c r="K1401" s="27"/>
    </row>
    <row r="1402" spans="1:11" x14ac:dyDescent="0.2">
      <c r="A1402" s="26"/>
      <c r="B1402" s="14" t="str">
        <f>IF(A1402="","",CHOOSE(WEEKDAY(A1402),"日","月","火","水","木","金","土"))</f>
        <v/>
      </c>
      <c r="C1402" s="27"/>
      <c r="D1402" s="27"/>
      <c r="E1402" s="14" t="str">
        <f>IF(F1402="","",IFERROR(INDEX(マスター!$F$5:$F$200,MATCH(F1402,マスター!$E$5:$E$200,0)),"※マスター未登録"))</f>
        <v/>
      </c>
      <c r="F1402" s="27"/>
      <c r="G1402" s="27"/>
      <c r="H1402" s="27"/>
      <c r="I1402" s="27"/>
      <c r="J1402" s="27"/>
      <c r="K1402" s="27"/>
    </row>
    <row r="1403" spans="1:11" x14ac:dyDescent="0.2">
      <c r="A1403" s="26"/>
      <c r="B1403" s="14" t="str">
        <f>IF(A1403="","",CHOOSE(WEEKDAY(A1403),"日","月","火","水","木","金","土"))</f>
        <v/>
      </c>
      <c r="C1403" s="27"/>
      <c r="D1403" s="27"/>
      <c r="E1403" s="14" t="str">
        <f>IF(F1403="","",IFERROR(INDEX(マスター!$F$5:$F$200,MATCH(F1403,マスター!$E$5:$E$200,0)),"※マスター未登録"))</f>
        <v/>
      </c>
      <c r="F1403" s="27"/>
      <c r="G1403" s="27"/>
      <c r="H1403" s="27"/>
      <c r="I1403" s="27"/>
      <c r="J1403" s="27"/>
      <c r="K1403" s="27"/>
    </row>
    <row r="1404" spans="1:11" x14ac:dyDescent="0.2">
      <c r="A1404" s="26"/>
      <c r="B1404" s="14" t="str">
        <f>IF(A1404="","",CHOOSE(WEEKDAY(A1404),"日","月","火","水","木","金","土"))</f>
        <v/>
      </c>
      <c r="C1404" s="27"/>
      <c r="D1404" s="27"/>
      <c r="E1404" s="14" t="str">
        <f>IF(F1404="","",IFERROR(INDEX(マスター!$F$5:$F$200,MATCH(F1404,マスター!$E$5:$E$200,0)),"※マスター未登録"))</f>
        <v/>
      </c>
      <c r="F1404" s="27"/>
      <c r="G1404" s="27"/>
      <c r="H1404" s="27"/>
      <c r="I1404" s="27"/>
      <c r="J1404" s="27"/>
      <c r="K1404" s="27"/>
    </row>
    <row r="1405" spans="1:11" x14ac:dyDescent="0.2">
      <c r="A1405" s="26"/>
      <c r="B1405" s="14" t="str">
        <f>IF(A1405="","",CHOOSE(WEEKDAY(A1405),"日","月","火","水","木","金","土"))</f>
        <v/>
      </c>
      <c r="C1405" s="27"/>
      <c r="D1405" s="27"/>
      <c r="E1405" s="14" t="str">
        <f>IF(F1405="","",IFERROR(INDEX(マスター!$F$5:$F$200,MATCH(F1405,マスター!$E$5:$E$200,0)),"※マスター未登録"))</f>
        <v/>
      </c>
      <c r="F1405" s="27"/>
      <c r="G1405" s="27"/>
      <c r="H1405" s="27"/>
      <c r="I1405" s="27"/>
      <c r="J1405" s="27"/>
      <c r="K1405" s="27"/>
    </row>
    <row r="1406" spans="1:11" x14ac:dyDescent="0.2">
      <c r="A1406" s="26"/>
      <c r="B1406" s="14" t="str">
        <f>IF(A1406="","",CHOOSE(WEEKDAY(A1406),"日","月","火","水","木","金","土"))</f>
        <v/>
      </c>
      <c r="C1406" s="27"/>
      <c r="D1406" s="27"/>
      <c r="E1406" s="14" t="str">
        <f>IF(F1406="","",IFERROR(INDEX(マスター!$F$5:$F$200,MATCH(F1406,マスター!$E$5:$E$200,0)),"※マスター未登録"))</f>
        <v/>
      </c>
      <c r="F1406" s="27"/>
      <c r="G1406" s="27"/>
      <c r="H1406" s="27"/>
      <c r="I1406" s="27"/>
      <c r="J1406" s="27"/>
      <c r="K1406" s="27"/>
    </row>
    <row r="1407" spans="1:11" x14ac:dyDescent="0.2">
      <c r="A1407" s="26"/>
      <c r="B1407" s="14" t="str">
        <f>IF(A1407="","",CHOOSE(WEEKDAY(A1407),"日","月","火","水","木","金","土"))</f>
        <v/>
      </c>
      <c r="C1407" s="27"/>
      <c r="D1407" s="27"/>
      <c r="E1407" s="14" t="str">
        <f>IF(F1407="","",IFERROR(INDEX(マスター!$F$5:$F$200,MATCH(F1407,マスター!$E$5:$E$200,0)),"※マスター未登録"))</f>
        <v/>
      </c>
      <c r="F1407" s="27"/>
      <c r="G1407" s="27"/>
      <c r="H1407" s="27"/>
      <c r="I1407" s="27"/>
      <c r="J1407" s="27"/>
      <c r="K1407" s="27"/>
    </row>
    <row r="1408" spans="1:11" x14ac:dyDescent="0.2">
      <c r="A1408" s="26"/>
      <c r="B1408" s="14" t="str">
        <f>IF(A1408="","",CHOOSE(WEEKDAY(A1408),"日","月","火","水","木","金","土"))</f>
        <v/>
      </c>
      <c r="C1408" s="27"/>
      <c r="D1408" s="27"/>
      <c r="E1408" s="14" t="str">
        <f>IF(F1408="","",IFERROR(INDEX(マスター!$F$5:$F$200,MATCH(F1408,マスター!$E$5:$E$200,0)),"※マスター未登録"))</f>
        <v/>
      </c>
      <c r="F1408" s="27"/>
      <c r="G1408" s="27"/>
      <c r="H1408" s="27"/>
      <c r="I1408" s="27"/>
      <c r="J1408" s="27"/>
      <c r="K1408" s="27"/>
    </row>
    <row r="1409" spans="1:11" x14ac:dyDescent="0.2">
      <c r="A1409" s="26"/>
      <c r="B1409" s="14" t="str">
        <f>IF(A1409="","",CHOOSE(WEEKDAY(A1409),"日","月","火","水","木","金","土"))</f>
        <v/>
      </c>
      <c r="C1409" s="27"/>
      <c r="D1409" s="27"/>
      <c r="E1409" s="14" t="str">
        <f>IF(F1409="","",IFERROR(INDEX(マスター!$F$5:$F$200,MATCH(F1409,マスター!$E$5:$E$200,0)),"※マスター未登録"))</f>
        <v/>
      </c>
      <c r="F1409" s="27"/>
      <c r="G1409" s="27"/>
      <c r="H1409" s="27"/>
      <c r="I1409" s="27"/>
      <c r="J1409" s="27"/>
      <c r="K1409" s="27"/>
    </row>
    <row r="1410" spans="1:11" x14ac:dyDescent="0.2">
      <c r="A1410" s="26"/>
      <c r="B1410" s="14" t="str">
        <f>IF(A1410="","",CHOOSE(WEEKDAY(A1410),"日","月","火","水","木","金","土"))</f>
        <v/>
      </c>
      <c r="C1410" s="27"/>
      <c r="D1410" s="27"/>
      <c r="E1410" s="14" t="str">
        <f>IF(F1410="","",IFERROR(INDEX(マスター!$F$5:$F$200,MATCH(F1410,マスター!$E$5:$E$200,0)),"※マスター未登録"))</f>
        <v/>
      </c>
      <c r="F1410" s="27"/>
      <c r="G1410" s="27"/>
      <c r="H1410" s="27"/>
      <c r="I1410" s="27"/>
      <c r="J1410" s="27"/>
      <c r="K1410" s="27"/>
    </row>
    <row r="1411" spans="1:11" x14ac:dyDescent="0.2">
      <c r="A1411" s="26"/>
      <c r="B1411" s="14" t="str">
        <f>IF(A1411="","",CHOOSE(WEEKDAY(A1411),"日","月","火","水","木","金","土"))</f>
        <v/>
      </c>
      <c r="C1411" s="27"/>
      <c r="D1411" s="27"/>
      <c r="E1411" s="14" t="str">
        <f>IF(F1411="","",IFERROR(INDEX(マスター!$F$5:$F$200,MATCH(F1411,マスター!$E$5:$E$200,0)),"※マスター未登録"))</f>
        <v/>
      </c>
      <c r="F1411" s="27"/>
      <c r="G1411" s="27"/>
      <c r="H1411" s="27"/>
      <c r="I1411" s="27"/>
      <c r="J1411" s="27"/>
      <c r="K1411" s="27"/>
    </row>
    <row r="1412" spans="1:11" x14ac:dyDescent="0.2">
      <c r="A1412" s="26"/>
      <c r="B1412" s="14" t="str">
        <f>IF(A1412="","",CHOOSE(WEEKDAY(A1412),"日","月","火","水","木","金","土"))</f>
        <v/>
      </c>
      <c r="C1412" s="27"/>
      <c r="D1412" s="27"/>
      <c r="E1412" s="14" t="str">
        <f>IF(F1412="","",IFERROR(INDEX(マスター!$F$5:$F$200,MATCH(F1412,マスター!$E$5:$E$200,0)),"※マスター未登録"))</f>
        <v/>
      </c>
      <c r="F1412" s="27"/>
      <c r="G1412" s="27"/>
      <c r="H1412" s="27"/>
      <c r="I1412" s="27"/>
      <c r="J1412" s="27"/>
      <c r="K1412" s="27"/>
    </row>
    <row r="1413" spans="1:11" x14ac:dyDescent="0.2">
      <c r="A1413" s="26"/>
      <c r="B1413" s="14" t="str">
        <f>IF(A1413="","",CHOOSE(WEEKDAY(A1413),"日","月","火","水","木","金","土"))</f>
        <v/>
      </c>
      <c r="C1413" s="27"/>
      <c r="D1413" s="27"/>
      <c r="E1413" s="14" t="str">
        <f>IF(F1413="","",IFERROR(INDEX(マスター!$F$5:$F$200,MATCH(F1413,マスター!$E$5:$E$200,0)),"※マスター未登録"))</f>
        <v/>
      </c>
      <c r="F1413" s="27"/>
      <c r="G1413" s="27"/>
      <c r="H1413" s="27"/>
      <c r="I1413" s="27"/>
      <c r="J1413" s="27"/>
      <c r="K1413" s="27"/>
    </row>
    <row r="1414" spans="1:11" x14ac:dyDescent="0.2">
      <c r="A1414" s="26"/>
      <c r="B1414" s="14" t="str">
        <f>IF(A1414="","",CHOOSE(WEEKDAY(A1414),"日","月","火","水","木","金","土"))</f>
        <v/>
      </c>
      <c r="C1414" s="27"/>
      <c r="D1414" s="27"/>
      <c r="E1414" s="14" t="str">
        <f>IF(F1414="","",IFERROR(INDEX(マスター!$F$5:$F$200,MATCH(F1414,マスター!$E$5:$E$200,0)),"※マスター未登録"))</f>
        <v/>
      </c>
      <c r="F1414" s="27"/>
      <c r="G1414" s="27"/>
      <c r="H1414" s="27"/>
      <c r="I1414" s="27"/>
      <c r="J1414" s="27"/>
      <c r="K1414" s="27"/>
    </row>
    <row r="1415" spans="1:11" x14ac:dyDescent="0.2">
      <c r="A1415" s="26"/>
      <c r="B1415" s="14" t="str">
        <f>IF(A1415="","",CHOOSE(WEEKDAY(A1415),"日","月","火","水","木","金","土"))</f>
        <v/>
      </c>
      <c r="C1415" s="27"/>
      <c r="D1415" s="27"/>
      <c r="E1415" s="14" t="str">
        <f>IF(F1415="","",IFERROR(INDEX(マスター!$F$5:$F$200,MATCH(F1415,マスター!$E$5:$E$200,0)),"※マスター未登録"))</f>
        <v/>
      </c>
      <c r="F1415" s="27"/>
      <c r="G1415" s="27"/>
      <c r="H1415" s="27"/>
      <c r="I1415" s="27"/>
      <c r="J1415" s="27"/>
      <c r="K1415" s="27"/>
    </row>
    <row r="1416" spans="1:11" x14ac:dyDescent="0.2">
      <c r="A1416" s="26"/>
      <c r="B1416" s="14" t="str">
        <f>IF(A1416="","",CHOOSE(WEEKDAY(A1416),"日","月","火","水","木","金","土"))</f>
        <v/>
      </c>
      <c r="C1416" s="27"/>
      <c r="D1416" s="27"/>
      <c r="E1416" s="14" t="str">
        <f>IF(F1416="","",IFERROR(INDEX(マスター!$F$5:$F$200,MATCH(F1416,マスター!$E$5:$E$200,0)),"※マスター未登録"))</f>
        <v/>
      </c>
      <c r="F1416" s="27"/>
      <c r="G1416" s="27"/>
      <c r="H1416" s="27"/>
      <c r="I1416" s="27"/>
      <c r="J1416" s="27"/>
      <c r="K1416" s="27"/>
    </row>
    <row r="1417" spans="1:11" x14ac:dyDescent="0.2">
      <c r="A1417" s="26"/>
      <c r="B1417" s="14" t="str">
        <f>IF(A1417="","",CHOOSE(WEEKDAY(A1417),"日","月","火","水","木","金","土"))</f>
        <v/>
      </c>
      <c r="C1417" s="27"/>
      <c r="D1417" s="27"/>
      <c r="E1417" s="14" t="str">
        <f>IF(F1417="","",IFERROR(INDEX(マスター!$F$5:$F$200,MATCH(F1417,マスター!$E$5:$E$200,0)),"※マスター未登録"))</f>
        <v/>
      </c>
      <c r="F1417" s="27"/>
      <c r="G1417" s="27"/>
      <c r="H1417" s="27"/>
      <c r="I1417" s="27"/>
      <c r="J1417" s="27"/>
      <c r="K1417" s="27"/>
    </row>
    <row r="1418" spans="1:11" x14ac:dyDescent="0.2">
      <c r="A1418" s="26"/>
      <c r="B1418" s="14" t="str">
        <f>IF(A1418="","",CHOOSE(WEEKDAY(A1418),"日","月","火","水","木","金","土"))</f>
        <v/>
      </c>
      <c r="C1418" s="27"/>
      <c r="D1418" s="27"/>
      <c r="E1418" s="14" t="str">
        <f>IF(F1418="","",IFERROR(INDEX(マスター!$F$5:$F$200,MATCH(F1418,マスター!$E$5:$E$200,0)),"※マスター未登録"))</f>
        <v/>
      </c>
      <c r="F1418" s="27"/>
      <c r="G1418" s="27"/>
      <c r="H1418" s="27"/>
      <c r="I1418" s="27"/>
      <c r="J1418" s="27"/>
      <c r="K1418" s="27"/>
    </row>
    <row r="1419" spans="1:11" x14ac:dyDescent="0.2">
      <c r="A1419" s="26"/>
      <c r="B1419" s="14" t="str">
        <f>IF(A1419="","",CHOOSE(WEEKDAY(A1419),"日","月","火","水","木","金","土"))</f>
        <v/>
      </c>
      <c r="C1419" s="27"/>
      <c r="D1419" s="27"/>
      <c r="E1419" s="14" t="str">
        <f>IF(F1419="","",IFERROR(INDEX(マスター!$F$5:$F$200,MATCH(F1419,マスター!$E$5:$E$200,0)),"※マスター未登録"))</f>
        <v/>
      </c>
      <c r="F1419" s="27"/>
      <c r="G1419" s="27"/>
      <c r="H1419" s="27"/>
      <c r="I1419" s="27"/>
      <c r="J1419" s="27"/>
      <c r="K1419" s="27"/>
    </row>
    <row r="1420" spans="1:11" x14ac:dyDescent="0.2">
      <c r="A1420" s="26"/>
      <c r="B1420" s="14" t="str">
        <f>IF(A1420="","",CHOOSE(WEEKDAY(A1420),"日","月","火","水","木","金","土"))</f>
        <v/>
      </c>
      <c r="C1420" s="27"/>
      <c r="D1420" s="27"/>
      <c r="E1420" s="14" t="str">
        <f>IF(F1420="","",IFERROR(INDEX(マスター!$F$5:$F$200,MATCH(F1420,マスター!$E$5:$E$200,0)),"※マスター未登録"))</f>
        <v/>
      </c>
      <c r="F1420" s="27"/>
      <c r="G1420" s="27"/>
      <c r="H1420" s="27"/>
      <c r="I1420" s="27"/>
      <c r="J1420" s="27"/>
      <c r="K1420" s="27"/>
    </row>
    <row r="1421" spans="1:11" x14ac:dyDescent="0.2">
      <c r="A1421" s="26"/>
      <c r="B1421" s="14" t="str">
        <f>IF(A1421="","",CHOOSE(WEEKDAY(A1421),"日","月","火","水","木","金","土"))</f>
        <v/>
      </c>
      <c r="C1421" s="27"/>
      <c r="D1421" s="27"/>
      <c r="E1421" s="14" t="str">
        <f>IF(F1421="","",IFERROR(INDEX(マスター!$F$5:$F$200,MATCH(F1421,マスター!$E$5:$E$200,0)),"※マスター未登録"))</f>
        <v/>
      </c>
      <c r="F1421" s="27"/>
      <c r="G1421" s="27"/>
      <c r="H1421" s="27"/>
      <c r="I1421" s="27"/>
      <c r="J1421" s="27"/>
      <c r="K1421" s="27"/>
    </row>
    <row r="1422" spans="1:11" x14ac:dyDescent="0.2">
      <c r="A1422" s="26"/>
      <c r="B1422" s="14" t="str">
        <f>IF(A1422="","",CHOOSE(WEEKDAY(A1422),"日","月","火","水","木","金","土"))</f>
        <v/>
      </c>
      <c r="C1422" s="27"/>
      <c r="D1422" s="27"/>
      <c r="E1422" s="14" t="str">
        <f>IF(F1422="","",IFERROR(INDEX(マスター!$F$5:$F$200,MATCH(F1422,マスター!$E$5:$E$200,0)),"※マスター未登録"))</f>
        <v/>
      </c>
      <c r="F1422" s="27"/>
      <c r="G1422" s="27"/>
      <c r="H1422" s="27"/>
      <c r="I1422" s="27"/>
      <c r="J1422" s="27"/>
      <c r="K1422" s="27"/>
    </row>
    <row r="1423" spans="1:11" x14ac:dyDescent="0.2">
      <c r="A1423" s="26"/>
      <c r="B1423" s="14" t="str">
        <f>IF(A1423="","",CHOOSE(WEEKDAY(A1423),"日","月","火","水","木","金","土"))</f>
        <v/>
      </c>
      <c r="C1423" s="27"/>
      <c r="D1423" s="27"/>
      <c r="E1423" s="14" t="str">
        <f>IF(F1423="","",IFERROR(INDEX(マスター!$F$5:$F$200,MATCH(F1423,マスター!$E$5:$E$200,0)),"※マスター未登録"))</f>
        <v/>
      </c>
      <c r="F1423" s="27"/>
      <c r="G1423" s="27"/>
      <c r="H1423" s="27"/>
      <c r="I1423" s="27"/>
      <c r="J1423" s="27"/>
      <c r="K1423" s="27"/>
    </row>
    <row r="1424" spans="1:11" x14ac:dyDescent="0.2">
      <c r="A1424" s="26"/>
      <c r="B1424" s="14" t="str">
        <f>IF(A1424="","",CHOOSE(WEEKDAY(A1424),"日","月","火","水","木","金","土"))</f>
        <v/>
      </c>
      <c r="C1424" s="27"/>
      <c r="D1424" s="27"/>
      <c r="E1424" s="14" t="str">
        <f>IF(F1424="","",IFERROR(INDEX(マスター!$F$5:$F$200,MATCH(F1424,マスター!$E$5:$E$200,0)),"※マスター未登録"))</f>
        <v/>
      </c>
      <c r="F1424" s="27"/>
      <c r="G1424" s="27"/>
      <c r="H1424" s="27"/>
      <c r="I1424" s="27"/>
      <c r="J1424" s="27"/>
      <c r="K1424" s="27"/>
    </row>
    <row r="1425" spans="1:11" x14ac:dyDescent="0.2">
      <c r="A1425" s="26"/>
      <c r="B1425" s="14" t="str">
        <f>IF(A1425="","",CHOOSE(WEEKDAY(A1425),"日","月","火","水","木","金","土"))</f>
        <v/>
      </c>
      <c r="C1425" s="27"/>
      <c r="D1425" s="27"/>
      <c r="E1425" s="14" t="str">
        <f>IF(F1425="","",IFERROR(INDEX(マスター!$F$5:$F$200,MATCH(F1425,マスター!$E$5:$E$200,0)),"※マスター未登録"))</f>
        <v/>
      </c>
      <c r="F1425" s="27"/>
      <c r="G1425" s="27"/>
      <c r="H1425" s="27"/>
      <c r="I1425" s="27"/>
      <c r="J1425" s="27"/>
      <c r="K1425" s="27"/>
    </row>
    <row r="1426" spans="1:11" x14ac:dyDescent="0.2">
      <c r="A1426" s="26"/>
      <c r="B1426" s="14" t="str">
        <f>IF(A1426="","",CHOOSE(WEEKDAY(A1426),"日","月","火","水","木","金","土"))</f>
        <v/>
      </c>
      <c r="C1426" s="27"/>
      <c r="D1426" s="27"/>
      <c r="E1426" s="14" t="str">
        <f>IF(F1426="","",IFERROR(INDEX(マスター!$F$5:$F$200,MATCH(F1426,マスター!$E$5:$E$200,0)),"※マスター未登録"))</f>
        <v/>
      </c>
      <c r="F1426" s="27"/>
      <c r="G1426" s="27"/>
      <c r="H1426" s="27"/>
      <c r="I1426" s="27"/>
      <c r="J1426" s="27"/>
      <c r="K1426" s="27"/>
    </row>
    <row r="1427" spans="1:11" x14ac:dyDescent="0.2">
      <c r="A1427" s="26"/>
      <c r="B1427" s="14" t="str">
        <f>IF(A1427="","",CHOOSE(WEEKDAY(A1427),"日","月","火","水","木","金","土"))</f>
        <v/>
      </c>
      <c r="C1427" s="27"/>
      <c r="D1427" s="27"/>
      <c r="E1427" s="14" t="str">
        <f>IF(F1427="","",IFERROR(INDEX(マスター!$F$5:$F$200,MATCH(F1427,マスター!$E$5:$E$200,0)),"※マスター未登録"))</f>
        <v/>
      </c>
      <c r="F1427" s="27"/>
      <c r="G1427" s="27"/>
      <c r="H1427" s="27"/>
      <c r="I1427" s="27"/>
      <c r="J1427" s="27"/>
      <c r="K1427" s="27"/>
    </row>
    <row r="1428" spans="1:11" x14ac:dyDescent="0.2">
      <c r="A1428" s="26"/>
      <c r="B1428" s="14" t="str">
        <f>IF(A1428="","",CHOOSE(WEEKDAY(A1428),"日","月","火","水","木","金","土"))</f>
        <v/>
      </c>
      <c r="C1428" s="27"/>
      <c r="D1428" s="27"/>
      <c r="E1428" s="14" t="str">
        <f>IF(F1428="","",IFERROR(INDEX(マスター!$F$5:$F$200,MATCH(F1428,マスター!$E$5:$E$200,0)),"※マスター未登録"))</f>
        <v/>
      </c>
      <c r="F1428" s="27"/>
      <c r="G1428" s="27"/>
      <c r="H1428" s="27"/>
      <c r="I1428" s="27"/>
      <c r="J1428" s="27"/>
      <c r="K1428" s="27"/>
    </row>
    <row r="1429" spans="1:11" x14ac:dyDescent="0.2">
      <c r="A1429" s="26"/>
      <c r="B1429" s="14" t="str">
        <f>IF(A1429="","",CHOOSE(WEEKDAY(A1429),"日","月","火","水","木","金","土"))</f>
        <v/>
      </c>
      <c r="C1429" s="27"/>
      <c r="D1429" s="27"/>
      <c r="E1429" s="14" t="str">
        <f>IF(F1429="","",IFERROR(INDEX(マスター!$F$5:$F$200,MATCH(F1429,マスター!$E$5:$E$200,0)),"※マスター未登録"))</f>
        <v/>
      </c>
      <c r="F1429" s="27"/>
      <c r="G1429" s="27"/>
      <c r="H1429" s="27"/>
      <c r="I1429" s="27"/>
      <c r="J1429" s="27"/>
      <c r="K1429" s="27"/>
    </row>
    <row r="1430" spans="1:11" x14ac:dyDescent="0.2">
      <c r="A1430" s="26"/>
      <c r="B1430" s="14" t="str">
        <f>IF(A1430="","",CHOOSE(WEEKDAY(A1430),"日","月","火","水","木","金","土"))</f>
        <v/>
      </c>
      <c r="C1430" s="27"/>
      <c r="D1430" s="27"/>
      <c r="E1430" s="14" t="str">
        <f>IF(F1430="","",IFERROR(INDEX(マスター!$F$5:$F$200,MATCH(F1430,マスター!$E$5:$E$200,0)),"※マスター未登録"))</f>
        <v/>
      </c>
      <c r="F1430" s="27"/>
      <c r="G1430" s="27"/>
      <c r="H1430" s="27"/>
      <c r="I1430" s="27"/>
      <c r="J1430" s="27"/>
      <c r="K1430" s="27"/>
    </row>
    <row r="1431" spans="1:11" x14ac:dyDescent="0.2">
      <c r="A1431" s="26"/>
      <c r="B1431" s="14" t="str">
        <f>IF(A1431="","",CHOOSE(WEEKDAY(A1431),"日","月","火","水","木","金","土"))</f>
        <v/>
      </c>
      <c r="C1431" s="27"/>
      <c r="D1431" s="27"/>
      <c r="E1431" s="14" t="str">
        <f>IF(F1431="","",IFERROR(INDEX(マスター!$F$5:$F$200,MATCH(F1431,マスター!$E$5:$E$200,0)),"※マスター未登録"))</f>
        <v/>
      </c>
      <c r="F1431" s="27"/>
      <c r="G1431" s="27"/>
      <c r="H1431" s="27"/>
      <c r="I1431" s="27"/>
      <c r="J1431" s="27"/>
      <c r="K1431" s="27"/>
    </row>
    <row r="1432" spans="1:11" x14ac:dyDescent="0.2">
      <c r="A1432" s="26"/>
      <c r="B1432" s="14" t="str">
        <f>IF(A1432="","",CHOOSE(WEEKDAY(A1432),"日","月","火","水","木","金","土"))</f>
        <v/>
      </c>
      <c r="C1432" s="27"/>
      <c r="D1432" s="27"/>
      <c r="E1432" s="14" t="str">
        <f>IF(F1432="","",IFERROR(INDEX(マスター!$F$5:$F$200,MATCH(F1432,マスター!$E$5:$E$200,0)),"※マスター未登録"))</f>
        <v/>
      </c>
      <c r="F1432" s="27"/>
      <c r="G1432" s="27"/>
      <c r="H1432" s="27"/>
      <c r="I1432" s="27"/>
      <c r="J1432" s="27"/>
      <c r="K1432" s="27"/>
    </row>
    <row r="1433" spans="1:11" x14ac:dyDescent="0.2">
      <c r="A1433" s="26"/>
      <c r="B1433" s="14" t="str">
        <f>IF(A1433="","",CHOOSE(WEEKDAY(A1433),"日","月","火","水","木","金","土"))</f>
        <v/>
      </c>
      <c r="C1433" s="27"/>
      <c r="D1433" s="27"/>
      <c r="E1433" s="14" t="str">
        <f>IF(F1433="","",IFERROR(INDEX(マスター!$F$5:$F$200,MATCH(F1433,マスター!$E$5:$E$200,0)),"※マスター未登録"))</f>
        <v/>
      </c>
      <c r="F1433" s="27"/>
      <c r="G1433" s="27"/>
      <c r="H1433" s="27"/>
      <c r="I1433" s="27"/>
      <c r="J1433" s="27"/>
      <c r="K1433" s="27"/>
    </row>
    <row r="1434" spans="1:11" x14ac:dyDescent="0.2">
      <c r="A1434" s="26"/>
      <c r="B1434" s="14" t="str">
        <f>IF(A1434="","",CHOOSE(WEEKDAY(A1434),"日","月","火","水","木","金","土"))</f>
        <v/>
      </c>
      <c r="C1434" s="27"/>
      <c r="D1434" s="27"/>
      <c r="E1434" s="14" t="str">
        <f>IF(F1434="","",IFERROR(INDEX(マスター!$F$5:$F$200,MATCH(F1434,マスター!$E$5:$E$200,0)),"※マスター未登録"))</f>
        <v/>
      </c>
      <c r="F1434" s="27"/>
      <c r="G1434" s="27"/>
      <c r="H1434" s="27"/>
      <c r="I1434" s="27"/>
      <c r="J1434" s="27"/>
      <c r="K1434" s="27"/>
    </row>
    <row r="1435" spans="1:11" x14ac:dyDescent="0.2">
      <c r="A1435" s="26"/>
      <c r="B1435" s="14" t="str">
        <f>IF(A1435="","",CHOOSE(WEEKDAY(A1435),"日","月","火","水","木","金","土"))</f>
        <v/>
      </c>
      <c r="C1435" s="27"/>
      <c r="D1435" s="27"/>
      <c r="E1435" s="14" t="str">
        <f>IF(F1435="","",IFERROR(INDEX(マスター!$F$5:$F$200,MATCH(F1435,マスター!$E$5:$E$200,0)),"※マスター未登録"))</f>
        <v/>
      </c>
      <c r="F1435" s="27"/>
      <c r="G1435" s="27"/>
      <c r="H1435" s="27"/>
      <c r="I1435" s="27"/>
      <c r="J1435" s="27"/>
      <c r="K1435" s="27"/>
    </row>
    <row r="1436" spans="1:11" x14ac:dyDescent="0.2">
      <c r="A1436" s="26"/>
      <c r="B1436" s="14" t="str">
        <f>IF(A1436="","",CHOOSE(WEEKDAY(A1436),"日","月","火","水","木","金","土"))</f>
        <v/>
      </c>
      <c r="C1436" s="27"/>
      <c r="D1436" s="27"/>
      <c r="E1436" s="14" t="str">
        <f>IF(F1436="","",IFERROR(INDEX(マスター!$F$5:$F$200,MATCH(F1436,マスター!$E$5:$E$200,0)),"※マスター未登録"))</f>
        <v/>
      </c>
      <c r="F1436" s="27"/>
      <c r="G1436" s="27"/>
      <c r="H1436" s="27"/>
      <c r="I1436" s="27"/>
      <c r="J1436" s="27"/>
      <c r="K1436" s="27"/>
    </row>
    <row r="1437" spans="1:11" x14ac:dyDescent="0.2">
      <c r="A1437" s="26"/>
      <c r="B1437" s="14" t="str">
        <f>IF(A1437="","",CHOOSE(WEEKDAY(A1437),"日","月","火","水","木","金","土"))</f>
        <v/>
      </c>
      <c r="C1437" s="27"/>
      <c r="D1437" s="27"/>
      <c r="E1437" s="14" t="str">
        <f>IF(F1437="","",IFERROR(INDEX(マスター!$F$5:$F$200,MATCH(F1437,マスター!$E$5:$E$200,0)),"※マスター未登録"))</f>
        <v/>
      </c>
      <c r="F1437" s="27"/>
      <c r="G1437" s="27"/>
      <c r="H1437" s="27"/>
      <c r="I1437" s="27"/>
      <c r="J1437" s="27"/>
      <c r="K1437" s="27"/>
    </row>
    <row r="1438" spans="1:11" x14ac:dyDescent="0.2">
      <c r="A1438" s="26"/>
      <c r="B1438" s="14" t="str">
        <f>IF(A1438="","",CHOOSE(WEEKDAY(A1438),"日","月","火","水","木","金","土"))</f>
        <v/>
      </c>
      <c r="C1438" s="27"/>
      <c r="D1438" s="27"/>
      <c r="E1438" s="14" t="str">
        <f>IF(F1438="","",IFERROR(INDEX(マスター!$F$5:$F$200,MATCH(F1438,マスター!$E$5:$E$200,0)),"※マスター未登録"))</f>
        <v/>
      </c>
      <c r="F1438" s="27"/>
      <c r="G1438" s="27"/>
      <c r="H1438" s="27"/>
      <c r="I1438" s="27"/>
      <c r="J1438" s="27"/>
      <c r="K1438" s="27"/>
    </row>
    <row r="1439" spans="1:11" x14ac:dyDescent="0.2">
      <c r="A1439" s="26"/>
      <c r="B1439" s="14" t="str">
        <f>IF(A1439="","",CHOOSE(WEEKDAY(A1439),"日","月","火","水","木","金","土"))</f>
        <v/>
      </c>
      <c r="C1439" s="27"/>
      <c r="D1439" s="27"/>
      <c r="E1439" s="14" t="str">
        <f>IF(F1439="","",IFERROR(INDEX(マスター!$F$5:$F$200,MATCH(F1439,マスター!$E$5:$E$200,0)),"※マスター未登録"))</f>
        <v/>
      </c>
      <c r="F1439" s="27"/>
      <c r="G1439" s="27"/>
      <c r="H1439" s="27"/>
      <c r="I1439" s="27"/>
      <c r="J1439" s="27"/>
      <c r="K1439" s="27"/>
    </row>
    <row r="1440" spans="1:11" x14ac:dyDescent="0.2">
      <c r="A1440" s="26"/>
      <c r="B1440" s="14" t="str">
        <f>IF(A1440="","",CHOOSE(WEEKDAY(A1440),"日","月","火","水","木","金","土"))</f>
        <v/>
      </c>
      <c r="C1440" s="27"/>
      <c r="D1440" s="27"/>
      <c r="E1440" s="14" t="str">
        <f>IF(F1440="","",IFERROR(INDEX(マスター!$F$5:$F$200,MATCH(F1440,マスター!$E$5:$E$200,0)),"※マスター未登録"))</f>
        <v/>
      </c>
      <c r="F1440" s="27"/>
      <c r="G1440" s="27"/>
      <c r="H1440" s="27"/>
      <c r="I1440" s="27"/>
      <c r="J1440" s="27"/>
      <c r="K1440" s="27"/>
    </row>
    <row r="1441" spans="1:11" x14ac:dyDescent="0.2">
      <c r="A1441" s="26"/>
      <c r="B1441" s="14" t="str">
        <f>IF(A1441="","",CHOOSE(WEEKDAY(A1441),"日","月","火","水","木","金","土"))</f>
        <v/>
      </c>
      <c r="C1441" s="27"/>
      <c r="D1441" s="27"/>
      <c r="E1441" s="14" t="str">
        <f>IF(F1441="","",IFERROR(INDEX(マスター!$F$5:$F$200,MATCH(F1441,マスター!$E$5:$E$200,0)),"※マスター未登録"))</f>
        <v/>
      </c>
      <c r="F1441" s="27"/>
      <c r="G1441" s="27"/>
      <c r="H1441" s="27"/>
      <c r="I1441" s="27"/>
      <c r="J1441" s="27"/>
      <c r="K1441" s="27"/>
    </row>
    <row r="1442" spans="1:11" x14ac:dyDescent="0.2">
      <c r="A1442" s="26"/>
      <c r="B1442" s="14" t="str">
        <f>IF(A1442="","",CHOOSE(WEEKDAY(A1442),"日","月","火","水","木","金","土"))</f>
        <v/>
      </c>
      <c r="C1442" s="27"/>
      <c r="D1442" s="27"/>
      <c r="E1442" s="14" t="str">
        <f>IF(F1442="","",IFERROR(INDEX(マスター!$F$5:$F$200,MATCH(F1442,マスター!$E$5:$E$200,0)),"※マスター未登録"))</f>
        <v/>
      </c>
      <c r="F1442" s="27"/>
      <c r="G1442" s="27"/>
      <c r="H1442" s="27"/>
      <c r="I1442" s="27"/>
      <c r="J1442" s="27"/>
      <c r="K1442" s="27"/>
    </row>
    <row r="1443" spans="1:11" x14ac:dyDescent="0.2">
      <c r="A1443" s="26"/>
      <c r="B1443" s="14" t="str">
        <f>IF(A1443="","",CHOOSE(WEEKDAY(A1443),"日","月","火","水","木","金","土"))</f>
        <v/>
      </c>
      <c r="C1443" s="27"/>
      <c r="D1443" s="27"/>
      <c r="E1443" s="14" t="str">
        <f>IF(F1443="","",IFERROR(INDEX(マスター!$F$5:$F$200,MATCH(F1443,マスター!$E$5:$E$200,0)),"※マスター未登録"))</f>
        <v/>
      </c>
      <c r="F1443" s="27"/>
      <c r="G1443" s="27"/>
      <c r="H1443" s="27"/>
      <c r="I1443" s="27"/>
      <c r="J1443" s="27"/>
      <c r="K1443" s="27"/>
    </row>
    <row r="1444" spans="1:11" x14ac:dyDescent="0.2">
      <c r="A1444" s="26"/>
      <c r="B1444" s="14" t="str">
        <f>IF(A1444="","",CHOOSE(WEEKDAY(A1444),"日","月","火","水","木","金","土"))</f>
        <v/>
      </c>
      <c r="C1444" s="27"/>
      <c r="D1444" s="27"/>
      <c r="E1444" s="14" t="str">
        <f>IF(F1444="","",IFERROR(INDEX(マスター!$F$5:$F$200,MATCH(F1444,マスター!$E$5:$E$200,0)),"※マスター未登録"))</f>
        <v/>
      </c>
      <c r="F1444" s="27"/>
      <c r="G1444" s="27"/>
      <c r="H1444" s="27"/>
      <c r="I1444" s="27"/>
      <c r="J1444" s="27"/>
      <c r="K1444" s="27"/>
    </row>
    <row r="1445" spans="1:11" x14ac:dyDescent="0.2">
      <c r="A1445" s="26"/>
      <c r="B1445" s="14" t="str">
        <f>IF(A1445="","",CHOOSE(WEEKDAY(A1445),"日","月","火","水","木","金","土"))</f>
        <v/>
      </c>
      <c r="C1445" s="27"/>
      <c r="D1445" s="27"/>
      <c r="E1445" s="14" t="str">
        <f>IF(F1445="","",IFERROR(INDEX(マスター!$F$5:$F$200,MATCH(F1445,マスター!$E$5:$E$200,0)),"※マスター未登録"))</f>
        <v/>
      </c>
      <c r="F1445" s="27"/>
      <c r="G1445" s="27"/>
      <c r="H1445" s="27"/>
      <c r="I1445" s="27"/>
      <c r="J1445" s="27"/>
      <c r="K1445" s="27"/>
    </row>
    <row r="1446" spans="1:11" x14ac:dyDescent="0.2">
      <c r="A1446" s="26"/>
      <c r="B1446" s="14" t="str">
        <f>IF(A1446="","",CHOOSE(WEEKDAY(A1446),"日","月","火","水","木","金","土"))</f>
        <v/>
      </c>
      <c r="C1446" s="27"/>
      <c r="D1446" s="27"/>
      <c r="E1446" s="14" t="str">
        <f>IF(F1446="","",IFERROR(INDEX(マスター!$F$5:$F$200,MATCH(F1446,マスター!$E$5:$E$200,0)),"※マスター未登録"))</f>
        <v/>
      </c>
      <c r="F1446" s="27"/>
      <c r="G1446" s="27"/>
      <c r="H1446" s="27"/>
      <c r="I1446" s="27"/>
      <c r="J1446" s="27"/>
      <c r="K1446" s="27"/>
    </row>
    <row r="1447" spans="1:11" x14ac:dyDescent="0.2">
      <c r="A1447" s="26"/>
      <c r="B1447" s="14" t="str">
        <f>IF(A1447="","",CHOOSE(WEEKDAY(A1447),"日","月","火","水","木","金","土"))</f>
        <v/>
      </c>
      <c r="C1447" s="27"/>
      <c r="D1447" s="27"/>
      <c r="E1447" s="14" t="str">
        <f>IF(F1447="","",IFERROR(INDEX(マスター!$F$5:$F$200,MATCH(F1447,マスター!$E$5:$E$200,0)),"※マスター未登録"))</f>
        <v/>
      </c>
      <c r="F1447" s="27"/>
      <c r="G1447" s="27"/>
      <c r="H1447" s="27"/>
      <c r="I1447" s="27"/>
      <c r="J1447" s="27"/>
      <c r="K1447" s="27"/>
    </row>
    <row r="1448" spans="1:11" x14ac:dyDescent="0.2">
      <c r="A1448" s="26"/>
      <c r="B1448" s="14" t="str">
        <f>IF(A1448="","",CHOOSE(WEEKDAY(A1448),"日","月","火","水","木","金","土"))</f>
        <v/>
      </c>
      <c r="C1448" s="27"/>
      <c r="D1448" s="27"/>
      <c r="E1448" s="14" t="str">
        <f>IF(F1448="","",IFERROR(INDEX(マスター!$F$5:$F$200,MATCH(F1448,マスター!$E$5:$E$200,0)),"※マスター未登録"))</f>
        <v/>
      </c>
      <c r="F1448" s="27"/>
      <c r="G1448" s="27"/>
      <c r="H1448" s="27"/>
      <c r="I1448" s="27"/>
      <c r="J1448" s="27"/>
      <c r="K1448" s="27"/>
    </row>
    <row r="1449" spans="1:11" x14ac:dyDescent="0.2">
      <c r="A1449" s="26"/>
      <c r="B1449" s="14" t="str">
        <f>IF(A1449="","",CHOOSE(WEEKDAY(A1449),"日","月","火","水","木","金","土"))</f>
        <v/>
      </c>
      <c r="C1449" s="27"/>
      <c r="D1449" s="27"/>
      <c r="E1449" s="14" t="str">
        <f>IF(F1449="","",IFERROR(INDEX(マスター!$F$5:$F$200,MATCH(F1449,マスター!$E$5:$E$200,0)),"※マスター未登録"))</f>
        <v/>
      </c>
      <c r="F1449" s="27"/>
      <c r="G1449" s="27"/>
      <c r="H1449" s="27"/>
      <c r="I1449" s="27"/>
      <c r="J1449" s="27"/>
      <c r="K1449" s="27"/>
    </row>
    <row r="1450" spans="1:11" x14ac:dyDescent="0.2">
      <c r="A1450" s="26"/>
      <c r="B1450" s="14" t="str">
        <f>IF(A1450="","",CHOOSE(WEEKDAY(A1450),"日","月","火","水","木","金","土"))</f>
        <v/>
      </c>
      <c r="C1450" s="27"/>
      <c r="D1450" s="27"/>
      <c r="E1450" s="14" t="str">
        <f>IF(F1450="","",IFERROR(INDEX(マスター!$F$5:$F$200,MATCH(F1450,マスター!$E$5:$E$200,0)),"※マスター未登録"))</f>
        <v/>
      </c>
      <c r="F1450" s="27"/>
      <c r="G1450" s="27"/>
      <c r="H1450" s="27"/>
      <c r="I1450" s="27"/>
      <c r="J1450" s="27"/>
      <c r="K1450" s="27"/>
    </row>
    <row r="1451" spans="1:11" x14ac:dyDescent="0.2">
      <c r="A1451" s="26"/>
      <c r="B1451" s="14" t="str">
        <f>IF(A1451="","",CHOOSE(WEEKDAY(A1451),"日","月","火","水","木","金","土"))</f>
        <v/>
      </c>
      <c r="C1451" s="27"/>
      <c r="D1451" s="27"/>
      <c r="E1451" s="14" t="str">
        <f>IF(F1451="","",IFERROR(INDEX(マスター!$F$5:$F$200,MATCH(F1451,マスター!$E$5:$E$200,0)),"※マスター未登録"))</f>
        <v/>
      </c>
      <c r="F1451" s="27"/>
      <c r="G1451" s="27"/>
      <c r="H1451" s="27"/>
      <c r="I1451" s="27"/>
      <c r="J1451" s="27"/>
      <c r="K1451" s="27"/>
    </row>
    <row r="1452" spans="1:11" x14ac:dyDescent="0.2">
      <c r="A1452" s="26"/>
      <c r="B1452" s="14" t="str">
        <f>IF(A1452="","",CHOOSE(WEEKDAY(A1452),"日","月","火","水","木","金","土"))</f>
        <v/>
      </c>
      <c r="C1452" s="27"/>
      <c r="D1452" s="27"/>
      <c r="E1452" s="14" t="str">
        <f>IF(F1452="","",IFERROR(INDEX(マスター!$F$5:$F$200,MATCH(F1452,マスター!$E$5:$E$200,0)),"※マスター未登録"))</f>
        <v/>
      </c>
      <c r="F1452" s="27"/>
      <c r="G1452" s="27"/>
      <c r="H1452" s="27"/>
      <c r="I1452" s="27"/>
      <c r="J1452" s="27"/>
      <c r="K1452" s="27"/>
    </row>
    <row r="1453" spans="1:11" x14ac:dyDescent="0.2">
      <c r="A1453" s="26"/>
      <c r="B1453" s="14" t="str">
        <f>IF(A1453="","",CHOOSE(WEEKDAY(A1453),"日","月","火","水","木","金","土"))</f>
        <v/>
      </c>
      <c r="C1453" s="27"/>
      <c r="D1453" s="27"/>
      <c r="E1453" s="14" t="str">
        <f>IF(F1453="","",IFERROR(INDEX(マスター!$F$5:$F$200,MATCH(F1453,マスター!$E$5:$E$200,0)),"※マスター未登録"))</f>
        <v/>
      </c>
      <c r="F1453" s="27"/>
      <c r="G1453" s="27"/>
      <c r="H1453" s="27"/>
      <c r="I1453" s="27"/>
      <c r="J1453" s="27"/>
      <c r="K1453" s="27"/>
    </row>
    <row r="1454" spans="1:11" x14ac:dyDescent="0.2">
      <c r="A1454" s="26"/>
      <c r="B1454" s="14" t="str">
        <f>IF(A1454="","",CHOOSE(WEEKDAY(A1454),"日","月","火","水","木","金","土"))</f>
        <v/>
      </c>
      <c r="C1454" s="27"/>
      <c r="D1454" s="27"/>
      <c r="E1454" s="14" t="str">
        <f>IF(F1454="","",IFERROR(INDEX(マスター!$F$5:$F$200,MATCH(F1454,マスター!$E$5:$E$200,0)),"※マスター未登録"))</f>
        <v/>
      </c>
      <c r="F1454" s="27"/>
      <c r="G1454" s="27"/>
      <c r="H1454" s="27"/>
      <c r="I1454" s="27"/>
      <c r="J1454" s="27"/>
      <c r="K1454" s="27"/>
    </row>
    <row r="1455" spans="1:11" x14ac:dyDescent="0.2">
      <c r="A1455" s="26"/>
      <c r="B1455" s="14" t="str">
        <f>IF(A1455="","",CHOOSE(WEEKDAY(A1455),"日","月","火","水","木","金","土"))</f>
        <v/>
      </c>
      <c r="C1455" s="27"/>
      <c r="D1455" s="27"/>
      <c r="E1455" s="14" t="str">
        <f>IF(F1455="","",IFERROR(INDEX(マスター!$F$5:$F$200,MATCH(F1455,マスター!$E$5:$E$200,0)),"※マスター未登録"))</f>
        <v/>
      </c>
      <c r="F1455" s="27"/>
      <c r="G1455" s="27"/>
      <c r="H1455" s="27"/>
      <c r="I1455" s="27"/>
      <c r="J1455" s="27"/>
      <c r="K1455" s="27"/>
    </row>
    <row r="1456" spans="1:11" x14ac:dyDescent="0.2">
      <c r="A1456" s="26"/>
      <c r="B1456" s="14" t="str">
        <f>IF(A1456="","",CHOOSE(WEEKDAY(A1456),"日","月","火","水","木","金","土"))</f>
        <v/>
      </c>
      <c r="C1456" s="27"/>
      <c r="D1456" s="27"/>
      <c r="E1456" s="14" t="str">
        <f>IF(F1456="","",IFERROR(INDEX(マスター!$F$5:$F$200,MATCH(F1456,マスター!$E$5:$E$200,0)),"※マスター未登録"))</f>
        <v/>
      </c>
      <c r="F1456" s="27"/>
      <c r="G1456" s="27"/>
      <c r="H1456" s="27"/>
      <c r="I1456" s="27"/>
      <c r="J1456" s="27"/>
      <c r="K1456" s="27"/>
    </row>
    <row r="1457" spans="1:11" x14ac:dyDescent="0.2">
      <c r="A1457" s="26"/>
      <c r="B1457" s="14" t="str">
        <f>IF(A1457="","",CHOOSE(WEEKDAY(A1457),"日","月","火","水","木","金","土"))</f>
        <v/>
      </c>
      <c r="C1457" s="27"/>
      <c r="D1457" s="27"/>
      <c r="E1457" s="14" t="str">
        <f>IF(F1457="","",IFERROR(INDEX(マスター!$F$5:$F$200,MATCH(F1457,マスター!$E$5:$E$200,0)),"※マスター未登録"))</f>
        <v/>
      </c>
      <c r="F1457" s="27"/>
      <c r="G1457" s="27"/>
      <c r="H1457" s="27"/>
      <c r="I1457" s="27"/>
      <c r="J1457" s="27"/>
      <c r="K1457" s="27"/>
    </row>
    <row r="1458" spans="1:11" x14ac:dyDescent="0.2">
      <c r="A1458" s="26"/>
      <c r="B1458" s="14" t="str">
        <f>IF(A1458="","",CHOOSE(WEEKDAY(A1458),"日","月","火","水","木","金","土"))</f>
        <v/>
      </c>
      <c r="C1458" s="27"/>
      <c r="D1458" s="27"/>
      <c r="E1458" s="14" t="str">
        <f>IF(F1458="","",IFERROR(INDEX(マスター!$F$5:$F$200,MATCH(F1458,マスター!$E$5:$E$200,0)),"※マスター未登録"))</f>
        <v/>
      </c>
      <c r="F1458" s="27"/>
      <c r="G1458" s="27"/>
      <c r="H1458" s="27"/>
      <c r="I1458" s="27"/>
      <c r="J1458" s="27"/>
      <c r="K1458" s="27"/>
    </row>
    <row r="1459" spans="1:11" x14ac:dyDescent="0.2">
      <c r="A1459" s="26"/>
      <c r="B1459" s="14" t="str">
        <f>IF(A1459="","",CHOOSE(WEEKDAY(A1459),"日","月","火","水","木","金","土"))</f>
        <v/>
      </c>
      <c r="C1459" s="27"/>
      <c r="D1459" s="27"/>
      <c r="E1459" s="14" t="str">
        <f>IF(F1459="","",IFERROR(INDEX(マスター!$F$5:$F$200,MATCH(F1459,マスター!$E$5:$E$200,0)),"※マスター未登録"))</f>
        <v/>
      </c>
      <c r="F1459" s="27"/>
      <c r="G1459" s="27"/>
      <c r="H1459" s="27"/>
      <c r="I1459" s="27"/>
      <c r="J1459" s="27"/>
      <c r="K1459" s="27"/>
    </row>
    <row r="1460" spans="1:11" x14ac:dyDescent="0.2">
      <c r="A1460" s="26"/>
      <c r="B1460" s="14" t="str">
        <f>IF(A1460="","",CHOOSE(WEEKDAY(A1460),"日","月","火","水","木","金","土"))</f>
        <v/>
      </c>
      <c r="C1460" s="27"/>
      <c r="D1460" s="27"/>
      <c r="E1460" s="14" t="str">
        <f>IF(F1460="","",IFERROR(INDEX(マスター!$F$5:$F$200,MATCH(F1460,マスター!$E$5:$E$200,0)),"※マスター未登録"))</f>
        <v/>
      </c>
      <c r="F1460" s="27"/>
      <c r="G1460" s="27"/>
      <c r="H1460" s="27"/>
      <c r="I1460" s="27"/>
      <c r="J1460" s="27"/>
      <c r="K1460" s="27"/>
    </row>
    <row r="1461" spans="1:11" x14ac:dyDescent="0.2">
      <c r="A1461" s="26"/>
      <c r="B1461" s="14" t="str">
        <f>IF(A1461="","",CHOOSE(WEEKDAY(A1461),"日","月","火","水","木","金","土"))</f>
        <v/>
      </c>
      <c r="C1461" s="27"/>
      <c r="D1461" s="27"/>
      <c r="E1461" s="14" t="str">
        <f>IF(F1461="","",IFERROR(INDEX(マスター!$F$5:$F$200,MATCH(F1461,マスター!$E$5:$E$200,0)),"※マスター未登録"))</f>
        <v/>
      </c>
      <c r="F1461" s="27"/>
      <c r="G1461" s="27"/>
      <c r="H1461" s="27"/>
      <c r="I1461" s="27"/>
      <c r="J1461" s="27"/>
      <c r="K1461" s="27"/>
    </row>
    <row r="1462" spans="1:11" x14ac:dyDescent="0.2">
      <c r="A1462" s="26"/>
      <c r="B1462" s="14" t="str">
        <f>IF(A1462="","",CHOOSE(WEEKDAY(A1462),"日","月","火","水","木","金","土"))</f>
        <v/>
      </c>
      <c r="C1462" s="27"/>
      <c r="D1462" s="27"/>
      <c r="E1462" s="14" t="str">
        <f>IF(F1462="","",IFERROR(INDEX(マスター!$F$5:$F$200,MATCH(F1462,マスター!$E$5:$E$200,0)),"※マスター未登録"))</f>
        <v/>
      </c>
      <c r="F1462" s="27"/>
      <c r="G1462" s="27"/>
      <c r="H1462" s="27"/>
      <c r="I1462" s="27"/>
      <c r="J1462" s="27"/>
      <c r="K1462" s="27"/>
    </row>
    <row r="1463" spans="1:11" x14ac:dyDescent="0.2">
      <c r="A1463" s="26"/>
      <c r="B1463" s="14" t="str">
        <f>IF(A1463="","",CHOOSE(WEEKDAY(A1463),"日","月","火","水","木","金","土"))</f>
        <v/>
      </c>
      <c r="C1463" s="27"/>
      <c r="D1463" s="27"/>
      <c r="E1463" s="14" t="str">
        <f>IF(F1463="","",IFERROR(INDEX(マスター!$F$5:$F$200,MATCH(F1463,マスター!$E$5:$E$200,0)),"※マスター未登録"))</f>
        <v/>
      </c>
      <c r="F1463" s="27"/>
      <c r="G1463" s="27"/>
      <c r="H1463" s="27"/>
      <c r="I1463" s="27"/>
      <c r="J1463" s="27"/>
      <c r="K1463" s="27"/>
    </row>
    <row r="1464" spans="1:11" x14ac:dyDescent="0.2">
      <c r="A1464" s="26"/>
      <c r="B1464" s="14" t="str">
        <f>IF(A1464="","",CHOOSE(WEEKDAY(A1464),"日","月","火","水","木","金","土"))</f>
        <v/>
      </c>
      <c r="C1464" s="27"/>
      <c r="D1464" s="27"/>
      <c r="E1464" s="14" t="str">
        <f>IF(F1464="","",IFERROR(INDEX(マスター!$F$5:$F$200,MATCH(F1464,マスター!$E$5:$E$200,0)),"※マスター未登録"))</f>
        <v/>
      </c>
      <c r="F1464" s="27"/>
      <c r="G1464" s="27"/>
      <c r="H1464" s="27"/>
      <c r="I1464" s="27"/>
      <c r="J1464" s="27"/>
      <c r="K1464" s="27"/>
    </row>
    <row r="1465" spans="1:11" x14ac:dyDescent="0.2">
      <c r="A1465" s="26"/>
      <c r="B1465" s="14" t="str">
        <f>IF(A1465="","",CHOOSE(WEEKDAY(A1465),"日","月","火","水","木","金","土"))</f>
        <v/>
      </c>
      <c r="C1465" s="27"/>
      <c r="D1465" s="27"/>
      <c r="E1465" s="14" t="str">
        <f>IF(F1465="","",IFERROR(INDEX(マスター!$F$5:$F$200,MATCH(F1465,マスター!$E$5:$E$200,0)),"※マスター未登録"))</f>
        <v/>
      </c>
      <c r="F1465" s="27"/>
      <c r="G1465" s="27"/>
      <c r="H1465" s="27"/>
      <c r="I1465" s="27"/>
      <c r="J1465" s="27"/>
      <c r="K1465" s="27"/>
    </row>
    <row r="1466" spans="1:11" x14ac:dyDescent="0.2">
      <c r="A1466" s="26"/>
      <c r="B1466" s="14" t="str">
        <f>IF(A1466="","",CHOOSE(WEEKDAY(A1466),"日","月","火","水","木","金","土"))</f>
        <v/>
      </c>
      <c r="C1466" s="27"/>
      <c r="D1466" s="27"/>
      <c r="E1466" s="14" t="str">
        <f>IF(F1466="","",IFERROR(INDEX(マスター!$F$5:$F$200,MATCH(F1466,マスター!$E$5:$E$200,0)),"※マスター未登録"))</f>
        <v/>
      </c>
      <c r="F1466" s="27"/>
      <c r="G1466" s="27"/>
      <c r="H1466" s="27"/>
      <c r="I1466" s="27"/>
      <c r="J1466" s="27"/>
      <c r="K1466" s="27"/>
    </row>
    <row r="1467" spans="1:11" x14ac:dyDescent="0.2">
      <c r="A1467" s="26"/>
      <c r="B1467" s="14" t="str">
        <f>IF(A1467="","",CHOOSE(WEEKDAY(A1467),"日","月","火","水","木","金","土"))</f>
        <v/>
      </c>
      <c r="C1467" s="27"/>
      <c r="D1467" s="27"/>
      <c r="E1467" s="14" t="str">
        <f>IF(F1467="","",IFERROR(INDEX(マスター!$F$5:$F$200,MATCH(F1467,マスター!$E$5:$E$200,0)),"※マスター未登録"))</f>
        <v/>
      </c>
      <c r="F1467" s="27"/>
      <c r="G1467" s="27"/>
      <c r="H1467" s="27"/>
      <c r="I1467" s="27"/>
      <c r="J1467" s="27"/>
      <c r="K1467" s="27"/>
    </row>
    <row r="1468" spans="1:11" x14ac:dyDescent="0.2">
      <c r="A1468" s="26"/>
      <c r="B1468" s="14" t="str">
        <f>IF(A1468="","",CHOOSE(WEEKDAY(A1468),"日","月","火","水","木","金","土"))</f>
        <v/>
      </c>
      <c r="C1468" s="27"/>
      <c r="D1468" s="27"/>
      <c r="E1468" s="14" t="str">
        <f>IF(F1468="","",IFERROR(INDEX(マスター!$F$5:$F$200,MATCH(F1468,マスター!$E$5:$E$200,0)),"※マスター未登録"))</f>
        <v/>
      </c>
      <c r="F1468" s="27"/>
      <c r="G1468" s="27"/>
      <c r="H1468" s="27"/>
      <c r="I1468" s="27"/>
      <c r="J1468" s="27"/>
      <c r="K1468" s="27"/>
    </row>
    <row r="1469" spans="1:11" x14ac:dyDescent="0.2">
      <c r="A1469" s="26"/>
      <c r="B1469" s="14" t="str">
        <f>IF(A1469="","",CHOOSE(WEEKDAY(A1469),"日","月","火","水","木","金","土"))</f>
        <v/>
      </c>
      <c r="C1469" s="27"/>
      <c r="D1469" s="27"/>
      <c r="E1469" s="14" t="str">
        <f>IF(F1469="","",IFERROR(INDEX(マスター!$F$5:$F$200,MATCH(F1469,マスター!$E$5:$E$200,0)),"※マスター未登録"))</f>
        <v/>
      </c>
      <c r="F1469" s="27"/>
      <c r="G1469" s="27"/>
      <c r="H1469" s="27"/>
      <c r="I1469" s="27"/>
      <c r="J1469" s="27"/>
      <c r="K1469" s="27"/>
    </row>
    <row r="1470" spans="1:11" x14ac:dyDescent="0.2">
      <c r="A1470" s="26"/>
      <c r="B1470" s="14" t="str">
        <f>IF(A1470="","",CHOOSE(WEEKDAY(A1470),"日","月","火","水","木","金","土"))</f>
        <v/>
      </c>
      <c r="C1470" s="27"/>
      <c r="D1470" s="27"/>
      <c r="E1470" s="14" t="str">
        <f>IF(F1470="","",IFERROR(INDEX(マスター!$F$5:$F$200,MATCH(F1470,マスター!$E$5:$E$200,0)),"※マスター未登録"))</f>
        <v/>
      </c>
      <c r="F1470" s="27"/>
      <c r="G1470" s="27"/>
      <c r="H1470" s="27"/>
      <c r="I1470" s="27"/>
      <c r="J1470" s="27"/>
      <c r="K1470" s="27"/>
    </row>
    <row r="1471" spans="1:11" x14ac:dyDescent="0.2">
      <c r="A1471" s="26"/>
      <c r="B1471" s="14" t="str">
        <f>IF(A1471="","",CHOOSE(WEEKDAY(A1471),"日","月","火","水","木","金","土"))</f>
        <v/>
      </c>
      <c r="C1471" s="27"/>
      <c r="D1471" s="27"/>
      <c r="E1471" s="14" t="str">
        <f>IF(F1471="","",IFERROR(INDEX(マスター!$F$5:$F$200,MATCH(F1471,マスター!$E$5:$E$200,0)),"※マスター未登録"))</f>
        <v/>
      </c>
      <c r="F1471" s="27"/>
      <c r="G1471" s="27"/>
      <c r="H1471" s="27"/>
      <c r="I1471" s="27"/>
      <c r="J1471" s="27"/>
      <c r="K1471" s="27"/>
    </row>
    <row r="1472" spans="1:11" x14ac:dyDescent="0.2">
      <c r="A1472" s="26"/>
      <c r="B1472" s="14" t="str">
        <f>IF(A1472="","",CHOOSE(WEEKDAY(A1472),"日","月","火","水","木","金","土"))</f>
        <v/>
      </c>
      <c r="C1472" s="27"/>
      <c r="D1472" s="27"/>
      <c r="E1472" s="14" t="str">
        <f>IF(F1472="","",IFERROR(INDEX(マスター!$F$5:$F$200,MATCH(F1472,マスター!$E$5:$E$200,0)),"※マスター未登録"))</f>
        <v/>
      </c>
      <c r="F1472" s="27"/>
      <c r="G1472" s="27"/>
      <c r="H1472" s="27"/>
      <c r="I1472" s="27"/>
      <c r="J1472" s="27"/>
      <c r="K1472" s="27"/>
    </row>
    <row r="1473" spans="1:11" x14ac:dyDescent="0.2">
      <c r="A1473" s="26"/>
      <c r="B1473" s="14" t="str">
        <f>IF(A1473="","",CHOOSE(WEEKDAY(A1473),"日","月","火","水","木","金","土"))</f>
        <v/>
      </c>
      <c r="C1473" s="27"/>
      <c r="D1473" s="27"/>
      <c r="E1473" s="14" t="str">
        <f>IF(F1473="","",IFERROR(INDEX(マスター!$F$5:$F$200,MATCH(F1473,マスター!$E$5:$E$200,0)),"※マスター未登録"))</f>
        <v/>
      </c>
      <c r="F1473" s="27"/>
      <c r="G1473" s="27"/>
      <c r="H1473" s="27"/>
      <c r="I1473" s="27"/>
      <c r="J1473" s="27"/>
      <c r="K1473" s="27"/>
    </row>
    <row r="1474" spans="1:11" x14ac:dyDescent="0.2">
      <c r="A1474" s="26"/>
      <c r="B1474" s="14" t="str">
        <f>IF(A1474="","",CHOOSE(WEEKDAY(A1474),"日","月","火","水","木","金","土"))</f>
        <v/>
      </c>
      <c r="C1474" s="27"/>
      <c r="D1474" s="27"/>
      <c r="E1474" s="14" t="str">
        <f>IF(F1474="","",IFERROR(INDEX(マスター!$F$5:$F$200,MATCH(F1474,マスター!$E$5:$E$200,0)),"※マスター未登録"))</f>
        <v/>
      </c>
      <c r="F1474" s="27"/>
      <c r="G1474" s="27"/>
      <c r="H1474" s="27"/>
      <c r="I1474" s="27"/>
      <c r="J1474" s="27"/>
      <c r="K1474" s="27"/>
    </row>
    <row r="1475" spans="1:11" x14ac:dyDescent="0.2">
      <c r="A1475" s="26"/>
      <c r="B1475" s="14" t="str">
        <f>IF(A1475="","",CHOOSE(WEEKDAY(A1475),"日","月","火","水","木","金","土"))</f>
        <v/>
      </c>
      <c r="C1475" s="27"/>
      <c r="D1475" s="27"/>
      <c r="E1475" s="14" t="str">
        <f>IF(F1475="","",IFERROR(INDEX(マスター!$F$5:$F$200,MATCH(F1475,マスター!$E$5:$E$200,0)),"※マスター未登録"))</f>
        <v/>
      </c>
      <c r="F1475" s="27"/>
      <c r="G1475" s="27"/>
      <c r="H1475" s="27"/>
      <c r="I1475" s="27"/>
      <c r="J1475" s="27"/>
      <c r="K1475" s="27"/>
    </row>
    <row r="1476" spans="1:11" x14ac:dyDescent="0.2">
      <c r="A1476" s="26"/>
      <c r="B1476" s="14" t="str">
        <f>IF(A1476="","",CHOOSE(WEEKDAY(A1476),"日","月","火","水","木","金","土"))</f>
        <v/>
      </c>
      <c r="C1476" s="27"/>
      <c r="D1476" s="27"/>
      <c r="E1476" s="14" t="str">
        <f>IF(F1476="","",IFERROR(INDEX(マスター!$F$5:$F$200,MATCH(F1476,マスター!$E$5:$E$200,0)),"※マスター未登録"))</f>
        <v/>
      </c>
      <c r="F1476" s="27"/>
      <c r="G1476" s="27"/>
      <c r="H1476" s="27"/>
      <c r="I1476" s="27"/>
      <c r="J1476" s="27"/>
      <c r="K1476" s="27"/>
    </row>
    <row r="1477" spans="1:11" x14ac:dyDescent="0.2">
      <c r="A1477" s="26"/>
      <c r="B1477" s="14" t="str">
        <f>IF(A1477="","",CHOOSE(WEEKDAY(A1477),"日","月","火","水","木","金","土"))</f>
        <v/>
      </c>
      <c r="C1477" s="27"/>
      <c r="D1477" s="27"/>
      <c r="E1477" s="14" t="str">
        <f>IF(F1477="","",IFERROR(INDEX(マスター!$F$5:$F$200,MATCH(F1477,マスター!$E$5:$E$200,0)),"※マスター未登録"))</f>
        <v/>
      </c>
      <c r="F1477" s="27"/>
      <c r="G1477" s="27"/>
      <c r="H1477" s="27"/>
      <c r="I1477" s="27"/>
      <c r="J1477" s="27"/>
      <c r="K1477" s="27"/>
    </row>
    <row r="1478" spans="1:11" x14ac:dyDescent="0.2">
      <c r="A1478" s="26"/>
      <c r="B1478" s="14" t="str">
        <f>IF(A1478="","",CHOOSE(WEEKDAY(A1478),"日","月","火","水","木","金","土"))</f>
        <v/>
      </c>
      <c r="C1478" s="27"/>
      <c r="D1478" s="27"/>
      <c r="E1478" s="14" t="str">
        <f>IF(F1478="","",IFERROR(INDEX(マスター!$F$5:$F$200,MATCH(F1478,マスター!$E$5:$E$200,0)),"※マスター未登録"))</f>
        <v/>
      </c>
      <c r="F1478" s="27"/>
      <c r="G1478" s="27"/>
      <c r="H1478" s="27"/>
      <c r="I1478" s="27"/>
      <c r="J1478" s="27"/>
      <c r="K1478" s="27"/>
    </row>
    <row r="1479" spans="1:11" x14ac:dyDescent="0.2">
      <c r="A1479" s="26"/>
      <c r="B1479" s="14" t="str">
        <f>IF(A1479="","",CHOOSE(WEEKDAY(A1479),"日","月","火","水","木","金","土"))</f>
        <v/>
      </c>
      <c r="C1479" s="27"/>
      <c r="D1479" s="27"/>
      <c r="E1479" s="14" t="str">
        <f>IF(F1479="","",IFERROR(INDEX(マスター!$F$5:$F$200,MATCH(F1479,マスター!$E$5:$E$200,0)),"※マスター未登録"))</f>
        <v/>
      </c>
      <c r="F1479" s="27"/>
      <c r="G1479" s="27"/>
      <c r="H1479" s="27"/>
      <c r="I1479" s="27"/>
      <c r="J1479" s="27"/>
      <c r="K1479" s="27"/>
    </row>
    <row r="1480" spans="1:11" x14ac:dyDescent="0.2">
      <c r="A1480" s="26"/>
      <c r="B1480" s="14" t="str">
        <f>IF(A1480="","",CHOOSE(WEEKDAY(A1480),"日","月","火","水","木","金","土"))</f>
        <v/>
      </c>
      <c r="C1480" s="27"/>
      <c r="D1480" s="27"/>
      <c r="E1480" s="14" t="str">
        <f>IF(F1480="","",IFERROR(INDEX(マスター!$F$5:$F$200,MATCH(F1480,マスター!$E$5:$E$200,0)),"※マスター未登録"))</f>
        <v/>
      </c>
      <c r="F1480" s="27"/>
      <c r="G1480" s="27"/>
      <c r="H1480" s="27"/>
      <c r="I1480" s="27"/>
      <c r="J1480" s="27"/>
      <c r="K1480" s="27"/>
    </row>
    <row r="1481" spans="1:11" x14ac:dyDescent="0.2">
      <c r="A1481" s="26"/>
      <c r="B1481" s="14" t="str">
        <f>IF(A1481="","",CHOOSE(WEEKDAY(A1481),"日","月","火","水","木","金","土"))</f>
        <v/>
      </c>
      <c r="C1481" s="27"/>
      <c r="D1481" s="27"/>
      <c r="E1481" s="14" t="str">
        <f>IF(F1481="","",IFERROR(INDEX(マスター!$F$5:$F$200,MATCH(F1481,マスター!$E$5:$E$200,0)),"※マスター未登録"))</f>
        <v/>
      </c>
      <c r="F1481" s="27"/>
      <c r="G1481" s="27"/>
      <c r="H1481" s="27"/>
      <c r="I1481" s="27"/>
      <c r="J1481" s="27"/>
      <c r="K1481" s="27"/>
    </row>
    <row r="1482" spans="1:11" x14ac:dyDescent="0.2">
      <c r="A1482" s="26"/>
      <c r="B1482" s="14" t="str">
        <f>IF(A1482="","",CHOOSE(WEEKDAY(A1482),"日","月","火","水","木","金","土"))</f>
        <v/>
      </c>
      <c r="C1482" s="27"/>
      <c r="D1482" s="27"/>
      <c r="E1482" s="14" t="str">
        <f>IF(F1482="","",IFERROR(INDEX(マスター!$F$5:$F$200,MATCH(F1482,マスター!$E$5:$E$200,0)),"※マスター未登録"))</f>
        <v/>
      </c>
      <c r="F1482" s="27"/>
      <c r="G1482" s="27"/>
      <c r="H1482" s="27"/>
      <c r="I1482" s="27"/>
      <c r="J1482" s="27"/>
      <c r="K1482" s="27"/>
    </row>
    <row r="1483" spans="1:11" x14ac:dyDescent="0.2">
      <c r="A1483" s="26"/>
      <c r="B1483" s="14" t="str">
        <f>IF(A1483="","",CHOOSE(WEEKDAY(A1483),"日","月","火","水","木","金","土"))</f>
        <v/>
      </c>
      <c r="C1483" s="27"/>
      <c r="D1483" s="27"/>
      <c r="E1483" s="14" t="str">
        <f>IF(F1483="","",IFERROR(INDEX(マスター!$F$5:$F$200,MATCH(F1483,マスター!$E$5:$E$200,0)),"※マスター未登録"))</f>
        <v/>
      </c>
      <c r="F1483" s="27"/>
      <c r="G1483" s="27"/>
      <c r="H1483" s="27"/>
      <c r="I1483" s="27"/>
      <c r="J1483" s="27"/>
      <c r="K1483" s="27"/>
    </row>
    <row r="1484" spans="1:11" x14ac:dyDescent="0.2">
      <c r="A1484" s="26"/>
      <c r="B1484" s="14" t="str">
        <f>IF(A1484="","",CHOOSE(WEEKDAY(A1484),"日","月","火","水","木","金","土"))</f>
        <v/>
      </c>
      <c r="C1484" s="27"/>
      <c r="D1484" s="27"/>
      <c r="E1484" s="14" t="str">
        <f>IF(F1484="","",IFERROR(INDEX(マスター!$F$5:$F$200,MATCH(F1484,マスター!$E$5:$E$200,0)),"※マスター未登録"))</f>
        <v/>
      </c>
      <c r="F1484" s="27"/>
      <c r="G1484" s="27"/>
      <c r="H1484" s="27"/>
      <c r="I1484" s="27"/>
      <c r="J1484" s="27"/>
      <c r="K1484" s="27"/>
    </row>
    <row r="1485" spans="1:11" x14ac:dyDescent="0.2">
      <c r="A1485" s="26"/>
      <c r="B1485" s="14" t="str">
        <f>IF(A1485="","",CHOOSE(WEEKDAY(A1485),"日","月","火","水","木","金","土"))</f>
        <v/>
      </c>
      <c r="C1485" s="27"/>
      <c r="D1485" s="27"/>
      <c r="E1485" s="14" t="str">
        <f>IF(F1485="","",IFERROR(INDEX(マスター!$F$5:$F$200,MATCH(F1485,マスター!$E$5:$E$200,0)),"※マスター未登録"))</f>
        <v/>
      </c>
      <c r="F1485" s="27"/>
      <c r="G1485" s="27"/>
      <c r="H1485" s="27"/>
      <c r="I1485" s="27"/>
      <c r="J1485" s="27"/>
      <c r="K1485" s="27"/>
    </row>
    <row r="1486" spans="1:11" x14ac:dyDescent="0.2">
      <c r="A1486" s="26"/>
      <c r="B1486" s="14" t="str">
        <f>IF(A1486="","",CHOOSE(WEEKDAY(A1486),"日","月","火","水","木","金","土"))</f>
        <v/>
      </c>
      <c r="C1486" s="27"/>
      <c r="D1486" s="27"/>
      <c r="E1486" s="14" t="str">
        <f>IF(F1486="","",IFERROR(INDEX(マスター!$F$5:$F$200,MATCH(F1486,マスター!$E$5:$E$200,0)),"※マスター未登録"))</f>
        <v/>
      </c>
      <c r="F1486" s="27"/>
      <c r="G1486" s="27"/>
      <c r="H1486" s="27"/>
      <c r="I1486" s="27"/>
      <c r="J1486" s="27"/>
      <c r="K1486" s="27"/>
    </row>
    <row r="1487" spans="1:11" x14ac:dyDescent="0.2">
      <c r="A1487" s="26"/>
      <c r="B1487" s="14" t="str">
        <f>IF(A1487="","",CHOOSE(WEEKDAY(A1487),"日","月","火","水","木","金","土"))</f>
        <v/>
      </c>
      <c r="C1487" s="27"/>
      <c r="D1487" s="27"/>
      <c r="E1487" s="14" t="str">
        <f>IF(F1487="","",IFERROR(INDEX(マスター!$F$5:$F$200,MATCH(F1487,マスター!$E$5:$E$200,0)),"※マスター未登録"))</f>
        <v/>
      </c>
      <c r="F1487" s="27"/>
      <c r="G1487" s="27"/>
      <c r="H1487" s="27"/>
      <c r="I1487" s="27"/>
      <c r="J1487" s="27"/>
      <c r="K1487" s="27"/>
    </row>
    <row r="1488" spans="1:11" x14ac:dyDescent="0.2">
      <c r="A1488" s="26"/>
      <c r="B1488" s="14" t="str">
        <f>IF(A1488="","",CHOOSE(WEEKDAY(A1488),"日","月","火","水","木","金","土"))</f>
        <v/>
      </c>
      <c r="C1488" s="27"/>
      <c r="D1488" s="27"/>
      <c r="E1488" s="14" t="str">
        <f>IF(F1488="","",IFERROR(INDEX(マスター!$F$5:$F$200,MATCH(F1488,マスター!$E$5:$E$200,0)),"※マスター未登録"))</f>
        <v/>
      </c>
      <c r="F1488" s="27"/>
      <c r="G1488" s="27"/>
      <c r="H1488" s="27"/>
      <c r="I1488" s="27"/>
      <c r="J1488" s="27"/>
      <c r="K1488" s="27"/>
    </row>
    <row r="1489" spans="1:11" x14ac:dyDescent="0.2">
      <c r="A1489" s="26"/>
      <c r="B1489" s="14" t="str">
        <f>IF(A1489="","",CHOOSE(WEEKDAY(A1489),"日","月","火","水","木","金","土"))</f>
        <v/>
      </c>
      <c r="C1489" s="27"/>
      <c r="D1489" s="27"/>
      <c r="E1489" s="14" t="str">
        <f>IF(F1489="","",IFERROR(INDEX(マスター!$F$5:$F$200,MATCH(F1489,マスター!$E$5:$E$200,0)),"※マスター未登録"))</f>
        <v/>
      </c>
      <c r="F1489" s="27"/>
      <c r="G1489" s="27"/>
      <c r="H1489" s="27"/>
      <c r="I1489" s="27"/>
      <c r="J1489" s="27"/>
      <c r="K1489" s="27"/>
    </row>
    <row r="1490" spans="1:11" x14ac:dyDescent="0.2">
      <c r="A1490" s="26"/>
      <c r="B1490" s="14" t="str">
        <f>IF(A1490="","",CHOOSE(WEEKDAY(A1490),"日","月","火","水","木","金","土"))</f>
        <v/>
      </c>
      <c r="C1490" s="27"/>
      <c r="D1490" s="27"/>
      <c r="E1490" s="14" t="str">
        <f>IF(F1490="","",IFERROR(INDEX(マスター!$F$5:$F$200,MATCH(F1490,マスター!$E$5:$E$200,0)),"※マスター未登録"))</f>
        <v/>
      </c>
      <c r="F1490" s="27"/>
      <c r="G1490" s="27"/>
      <c r="H1490" s="27"/>
      <c r="I1490" s="27"/>
      <c r="J1490" s="27"/>
      <c r="K1490" s="27"/>
    </row>
    <row r="1491" spans="1:11" x14ac:dyDescent="0.2">
      <c r="A1491" s="26"/>
      <c r="B1491" s="14" t="str">
        <f>IF(A1491="","",CHOOSE(WEEKDAY(A1491),"日","月","火","水","木","金","土"))</f>
        <v/>
      </c>
      <c r="C1491" s="27"/>
      <c r="D1491" s="27"/>
      <c r="E1491" s="14" t="str">
        <f>IF(F1491="","",IFERROR(INDEX(マスター!$F$5:$F$200,MATCH(F1491,マスター!$E$5:$E$200,0)),"※マスター未登録"))</f>
        <v/>
      </c>
      <c r="F1491" s="27"/>
      <c r="G1491" s="27"/>
      <c r="H1491" s="27"/>
      <c r="I1491" s="27"/>
      <c r="J1491" s="27"/>
      <c r="K1491" s="27"/>
    </row>
    <row r="1492" spans="1:11" x14ac:dyDescent="0.2">
      <c r="A1492" s="26"/>
      <c r="B1492" s="14" t="str">
        <f>IF(A1492="","",CHOOSE(WEEKDAY(A1492),"日","月","火","水","木","金","土"))</f>
        <v/>
      </c>
      <c r="C1492" s="27"/>
      <c r="D1492" s="27"/>
      <c r="E1492" s="14" t="str">
        <f>IF(F1492="","",IFERROR(INDEX(マスター!$F$5:$F$200,MATCH(F1492,マスター!$E$5:$E$200,0)),"※マスター未登録"))</f>
        <v/>
      </c>
      <c r="F1492" s="27"/>
      <c r="G1492" s="27"/>
      <c r="H1492" s="27"/>
      <c r="I1492" s="27"/>
      <c r="J1492" s="27"/>
      <c r="K1492" s="27"/>
    </row>
    <row r="1493" spans="1:11" x14ac:dyDescent="0.2">
      <c r="A1493" s="26"/>
      <c r="B1493" s="14" t="str">
        <f>IF(A1493="","",CHOOSE(WEEKDAY(A1493),"日","月","火","水","木","金","土"))</f>
        <v/>
      </c>
      <c r="C1493" s="27"/>
      <c r="D1493" s="27"/>
      <c r="E1493" s="14" t="str">
        <f>IF(F1493="","",IFERROR(INDEX(マスター!$F$5:$F$200,MATCH(F1493,マスター!$E$5:$E$200,0)),"※マスター未登録"))</f>
        <v/>
      </c>
      <c r="F1493" s="27"/>
      <c r="G1493" s="27"/>
      <c r="H1493" s="27"/>
      <c r="I1493" s="27"/>
      <c r="J1493" s="27"/>
      <c r="K1493" s="27"/>
    </row>
    <row r="1494" spans="1:11" x14ac:dyDescent="0.2">
      <c r="A1494" s="26"/>
      <c r="B1494" s="14" t="str">
        <f>IF(A1494="","",CHOOSE(WEEKDAY(A1494),"日","月","火","水","木","金","土"))</f>
        <v/>
      </c>
      <c r="C1494" s="27"/>
      <c r="D1494" s="27"/>
      <c r="E1494" s="14" t="str">
        <f>IF(F1494="","",IFERROR(INDEX(マスター!$F$5:$F$200,MATCH(F1494,マスター!$E$5:$E$200,0)),"※マスター未登録"))</f>
        <v/>
      </c>
      <c r="F1494" s="27"/>
      <c r="G1494" s="27"/>
      <c r="H1494" s="27"/>
      <c r="I1494" s="27"/>
      <c r="J1494" s="27"/>
      <c r="K1494" s="27"/>
    </row>
    <row r="1495" spans="1:11" x14ac:dyDescent="0.2">
      <c r="A1495" s="26"/>
      <c r="B1495" s="14" t="str">
        <f>IF(A1495="","",CHOOSE(WEEKDAY(A1495),"日","月","火","水","木","金","土"))</f>
        <v/>
      </c>
      <c r="C1495" s="27"/>
      <c r="D1495" s="27"/>
      <c r="E1495" s="14" t="str">
        <f>IF(F1495="","",IFERROR(INDEX(マスター!$F$5:$F$200,MATCH(F1495,マスター!$E$5:$E$200,0)),"※マスター未登録"))</f>
        <v/>
      </c>
      <c r="F1495" s="27"/>
      <c r="G1495" s="27"/>
      <c r="H1495" s="27"/>
      <c r="I1495" s="27"/>
      <c r="J1495" s="27"/>
      <c r="K1495" s="27"/>
    </row>
    <row r="1496" spans="1:11" x14ac:dyDescent="0.2">
      <c r="A1496" s="26"/>
      <c r="B1496" s="14" t="str">
        <f>IF(A1496="","",CHOOSE(WEEKDAY(A1496),"日","月","火","水","木","金","土"))</f>
        <v/>
      </c>
      <c r="C1496" s="27"/>
      <c r="D1496" s="27"/>
      <c r="E1496" s="14" t="str">
        <f>IF(F1496="","",IFERROR(INDEX(マスター!$F$5:$F$200,MATCH(F1496,マスター!$E$5:$E$200,0)),"※マスター未登録"))</f>
        <v/>
      </c>
      <c r="F1496" s="27"/>
      <c r="G1496" s="27"/>
      <c r="H1496" s="27"/>
      <c r="I1496" s="27"/>
      <c r="J1496" s="27"/>
      <c r="K1496" s="27"/>
    </row>
    <row r="1497" spans="1:11" x14ac:dyDescent="0.2">
      <c r="A1497" s="26"/>
      <c r="B1497" s="14" t="str">
        <f>IF(A1497="","",CHOOSE(WEEKDAY(A1497),"日","月","火","水","木","金","土"))</f>
        <v/>
      </c>
      <c r="C1497" s="27"/>
      <c r="D1497" s="27"/>
      <c r="E1497" s="14" t="str">
        <f>IF(F1497="","",IFERROR(INDEX(マスター!$F$5:$F$200,MATCH(F1497,マスター!$E$5:$E$200,0)),"※マスター未登録"))</f>
        <v/>
      </c>
      <c r="F1497" s="27"/>
      <c r="G1497" s="27"/>
      <c r="H1497" s="27"/>
      <c r="I1497" s="27"/>
      <c r="J1497" s="27"/>
      <c r="K1497" s="27"/>
    </row>
    <row r="1498" spans="1:11" x14ac:dyDescent="0.2">
      <c r="A1498" s="26"/>
      <c r="B1498" s="14" t="str">
        <f>IF(A1498="","",CHOOSE(WEEKDAY(A1498),"日","月","火","水","木","金","土"))</f>
        <v/>
      </c>
      <c r="C1498" s="27"/>
      <c r="D1498" s="27"/>
      <c r="E1498" s="14" t="str">
        <f>IF(F1498="","",IFERROR(INDEX(マスター!$F$5:$F$200,MATCH(F1498,マスター!$E$5:$E$200,0)),"※マスター未登録"))</f>
        <v/>
      </c>
      <c r="F1498" s="27"/>
      <c r="G1498" s="27"/>
      <c r="H1498" s="27"/>
      <c r="I1498" s="27"/>
      <c r="J1498" s="27"/>
      <c r="K1498" s="27"/>
    </row>
    <row r="1499" spans="1:11" x14ac:dyDescent="0.2">
      <c r="A1499" s="26"/>
      <c r="B1499" s="14" t="str">
        <f>IF(A1499="","",CHOOSE(WEEKDAY(A1499),"日","月","火","水","木","金","土"))</f>
        <v/>
      </c>
      <c r="C1499" s="27"/>
      <c r="D1499" s="27"/>
      <c r="E1499" s="14" t="str">
        <f>IF(F1499="","",IFERROR(INDEX(マスター!$F$5:$F$200,MATCH(F1499,マスター!$E$5:$E$200,0)),"※マスター未登録"))</f>
        <v/>
      </c>
      <c r="F1499" s="27"/>
      <c r="G1499" s="27"/>
      <c r="H1499" s="27"/>
      <c r="I1499" s="27"/>
      <c r="J1499" s="27"/>
      <c r="K1499" s="27"/>
    </row>
    <row r="1500" spans="1:11" x14ac:dyDescent="0.2">
      <c r="A1500" s="26"/>
      <c r="B1500" s="14" t="str">
        <f>IF(A1500="","",CHOOSE(WEEKDAY(A1500),"日","月","火","水","木","金","土"))</f>
        <v/>
      </c>
      <c r="C1500" s="27"/>
      <c r="D1500" s="27"/>
      <c r="E1500" s="14" t="str">
        <f>IF(F1500="","",IFERROR(INDEX(マスター!$F$5:$F$200,MATCH(F1500,マスター!$E$5:$E$200,0)),"※マスター未登録"))</f>
        <v/>
      </c>
      <c r="F1500" s="27"/>
      <c r="G1500" s="27"/>
      <c r="H1500" s="27"/>
      <c r="I1500" s="27"/>
      <c r="J1500" s="27"/>
      <c r="K1500" s="27"/>
    </row>
    <row r="1501" spans="1:11" x14ac:dyDescent="0.2">
      <c r="A1501" s="26"/>
      <c r="B1501" s="14" t="str">
        <f>IF(A1501="","",CHOOSE(WEEKDAY(A1501),"日","月","火","水","木","金","土"))</f>
        <v/>
      </c>
      <c r="C1501" s="27"/>
      <c r="D1501" s="27"/>
      <c r="E1501" s="14" t="str">
        <f>IF(F1501="","",IFERROR(INDEX(マスター!$F$5:$F$200,MATCH(F1501,マスター!$E$5:$E$200,0)),"※マスター未登録"))</f>
        <v/>
      </c>
      <c r="F1501" s="27"/>
      <c r="G1501" s="27"/>
      <c r="H1501" s="27"/>
      <c r="I1501" s="27"/>
      <c r="J1501" s="27"/>
      <c r="K1501" s="27"/>
    </row>
    <row r="1502" spans="1:11" x14ac:dyDescent="0.2">
      <c r="A1502" s="26"/>
      <c r="B1502" s="14" t="str">
        <f>IF(A1502="","",CHOOSE(WEEKDAY(A1502),"日","月","火","水","木","金","土"))</f>
        <v/>
      </c>
      <c r="C1502" s="27"/>
      <c r="D1502" s="27"/>
      <c r="E1502" s="14" t="str">
        <f>IF(F1502="","",IFERROR(INDEX(マスター!$F$5:$F$200,MATCH(F1502,マスター!$E$5:$E$200,0)),"※マスター未登録"))</f>
        <v/>
      </c>
      <c r="F1502" s="27"/>
      <c r="G1502" s="27"/>
      <c r="H1502" s="27"/>
      <c r="I1502" s="27"/>
      <c r="J1502" s="27"/>
      <c r="K1502" s="27"/>
    </row>
    <row r="1503" spans="1:11" x14ac:dyDescent="0.2">
      <c r="A1503" s="26"/>
      <c r="B1503" s="14" t="str">
        <f>IF(A1503="","",CHOOSE(WEEKDAY(A1503),"日","月","火","水","木","金","土"))</f>
        <v/>
      </c>
      <c r="C1503" s="27"/>
      <c r="D1503" s="27"/>
      <c r="E1503" s="14" t="str">
        <f>IF(F1503="","",IFERROR(INDEX(マスター!$F$5:$F$200,MATCH(F1503,マスター!$E$5:$E$200,0)),"※マスター未登録"))</f>
        <v/>
      </c>
      <c r="F1503" s="27"/>
      <c r="G1503" s="27"/>
      <c r="H1503" s="27"/>
      <c r="I1503" s="27"/>
      <c r="J1503" s="27"/>
      <c r="K1503" s="27"/>
    </row>
    <row r="1504" spans="1:11" x14ac:dyDescent="0.2">
      <c r="A1504" s="26"/>
      <c r="B1504" s="14" t="str">
        <f>IF(A1504="","",CHOOSE(WEEKDAY(A1504),"日","月","火","水","木","金","土"))</f>
        <v/>
      </c>
      <c r="C1504" s="27"/>
      <c r="D1504" s="27"/>
      <c r="E1504" s="14" t="str">
        <f>IF(F1504="","",IFERROR(INDEX(マスター!$F$5:$F$200,MATCH(F1504,マスター!$E$5:$E$200,0)),"※マスター未登録"))</f>
        <v/>
      </c>
      <c r="F1504" s="27"/>
      <c r="G1504" s="27"/>
      <c r="H1504" s="27"/>
      <c r="I1504" s="27"/>
      <c r="J1504" s="27"/>
      <c r="K1504" s="27"/>
    </row>
    <row r="1505" spans="1:11" x14ac:dyDescent="0.2">
      <c r="A1505" s="26"/>
      <c r="B1505" s="14" t="str">
        <f>IF(A1505="","",CHOOSE(WEEKDAY(A1505),"日","月","火","水","木","金","土"))</f>
        <v/>
      </c>
      <c r="C1505" s="27"/>
      <c r="D1505" s="27"/>
      <c r="E1505" s="14" t="str">
        <f>IF(F1505="","",IFERROR(INDEX(マスター!$F$5:$F$200,MATCH(F1505,マスター!$E$5:$E$200,0)),"※マスター未登録"))</f>
        <v/>
      </c>
      <c r="F1505" s="27"/>
      <c r="G1505" s="27"/>
      <c r="H1505" s="27"/>
      <c r="I1505" s="27"/>
      <c r="J1505" s="27"/>
      <c r="K1505" s="27"/>
    </row>
    <row r="1506" spans="1:11" x14ac:dyDescent="0.2">
      <c r="A1506" s="26"/>
      <c r="B1506" s="14" t="str">
        <f>IF(A1506="","",CHOOSE(WEEKDAY(A1506),"日","月","火","水","木","金","土"))</f>
        <v/>
      </c>
      <c r="C1506" s="27"/>
      <c r="D1506" s="27"/>
      <c r="E1506" s="14" t="str">
        <f>IF(F1506="","",IFERROR(INDEX(マスター!$F$5:$F$200,MATCH(F1506,マスター!$E$5:$E$200,0)),"※マスター未登録"))</f>
        <v/>
      </c>
      <c r="F1506" s="27"/>
      <c r="G1506" s="27"/>
      <c r="H1506" s="27"/>
      <c r="I1506" s="27"/>
      <c r="J1506" s="27"/>
      <c r="K1506" s="27"/>
    </row>
    <row r="1507" spans="1:11" x14ac:dyDescent="0.2">
      <c r="A1507" s="26"/>
      <c r="B1507" s="14" t="str">
        <f>IF(A1507="","",CHOOSE(WEEKDAY(A1507),"日","月","火","水","木","金","土"))</f>
        <v/>
      </c>
      <c r="C1507" s="27"/>
      <c r="D1507" s="27"/>
      <c r="E1507" s="14" t="str">
        <f>IF(F1507="","",IFERROR(INDEX(マスター!$F$5:$F$200,MATCH(F1507,マスター!$E$5:$E$200,0)),"※マスター未登録"))</f>
        <v/>
      </c>
      <c r="F1507" s="27"/>
      <c r="G1507" s="27"/>
      <c r="H1507" s="27"/>
      <c r="I1507" s="27"/>
      <c r="J1507" s="27"/>
      <c r="K1507" s="27"/>
    </row>
    <row r="1508" spans="1:11" x14ac:dyDescent="0.2">
      <c r="A1508" s="26"/>
      <c r="B1508" s="14" t="str">
        <f>IF(A1508="","",CHOOSE(WEEKDAY(A1508),"日","月","火","水","木","金","土"))</f>
        <v/>
      </c>
      <c r="C1508" s="27"/>
      <c r="D1508" s="27"/>
      <c r="E1508" s="14" t="str">
        <f>IF(F1508="","",IFERROR(INDEX(マスター!$F$5:$F$200,MATCH(F1508,マスター!$E$5:$E$200,0)),"※マスター未登録"))</f>
        <v/>
      </c>
      <c r="F1508" s="27"/>
      <c r="G1508" s="27"/>
      <c r="H1508" s="27"/>
      <c r="I1508" s="27"/>
      <c r="J1508" s="27"/>
      <c r="K1508" s="27"/>
    </row>
    <row r="1509" spans="1:11" x14ac:dyDescent="0.2">
      <c r="A1509" s="26"/>
      <c r="B1509" s="14" t="str">
        <f>IF(A1509="","",CHOOSE(WEEKDAY(A1509),"日","月","火","水","木","金","土"))</f>
        <v/>
      </c>
      <c r="C1509" s="27"/>
      <c r="D1509" s="27"/>
      <c r="E1509" s="14" t="str">
        <f>IF(F1509="","",IFERROR(INDEX(マスター!$F$5:$F$200,MATCH(F1509,マスター!$E$5:$E$200,0)),"※マスター未登録"))</f>
        <v/>
      </c>
      <c r="F1509" s="27"/>
      <c r="G1509" s="27"/>
      <c r="H1509" s="27"/>
      <c r="I1509" s="27"/>
      <c r="J1509" s="27"/>
      <c r="K1509" s="27"/>
    </row>
    <row r="1510" spans="1:11" x14ac:dyDescent="0.2">
      <c r="A1510" s="26"/>
      <c r="B1510" s="14" t="str">
        <f>IF(A1510="","",CHOOSE(WEEKDAY(A1510),"日","月","火","水","木","金","土"))</f>
        <v/>
      </c>
      <c r="C1510" s="27"/>
      <c r="D1510" s="27"/>
      <c r="E1510" s="14" t="str">
        <f>IF(F1510="","",IFERROR(INDEX(マスター!$F$5:$F$200,MATCH(F1510,マスター!$E$5:$E$200,0)),"※マスター未登録"))</f>
        <v/>
      </c>
      <c r="F1510" s="27"/>
      <c r="G1510" s="27"/>
      <c r="H1510" s="27"/>
      <c r="I1510" s="27"/>
      <c r="J1510" s="27"/>
      <c r="K1510" s="27"/>
    </row>
    <row r="1511" spans="1:11" x14ac:dyDescent="0.2">
      <c r="A1511" s="26"/>
      <c r="B1511" s="14" t="str">
        <f>IF(A1511="","",CHOOSE(WEEKDAY(A1511),"日","月","火","水","木","金","土"))</f>
        <v/>
      </c>
      <c r="C1511" s="27"/>
      <c r="D1511" s="27"/>
      <c r="E1511" s="14" t="str">
        <f>IF(F1511="","",IFERROR(INDEX(マスター!$F$5:$F$200,MATCH(F1511,マスター!$E$5:$E$200,0)),"※マスター未登録"))</f>
        <v/>
      </c>
      <c r="F1511" s="27"/>
      <c r="G1511" s="27"/>
      <c r="H1511" s="27"/>
      <c r="I1511" s="27"/>
      <c r="J1511" s="27"/>
      <c r="K1511" s="27"/>
    </row>
    <row r="1512" spans="1:11" x14ac:dyDescent="0.2">
      <c r="A1512" s="26"/>
      <c r="B1512" s="14" t="str">
        <f>IF(A1512="","",CHOOSE(WEEKDAY(A1512),"日","月","火","水","木","金","土"))</f>
        <v/>
      </c>
      <c r="C1512" s="27"/>
      <c r="D1512" s="27"/>
      <c r="E1512" s="14" t="str">
        <f>IF(F1512="","",IFERROR(INDEX(マスター!$F$5:$F$200,MATCH(F1512,マスター!$E$5:$E$200,0)),"※マスター未登録"))</f>
        <v/>
      </c>
      <c r="F1512" s="27"/>
      <c r="G1512" s="27"/>
      <c r="H1512" s="27"/>
      <c r="I1512" s="27"/>
      <c r="J1512" s="27"/>
      <c r="K1512" s="27"/>
    </row>
    <row r="1513" spans="1:11" x14ac:dyDescent="0.2">
      <c r="A1513" s="26"/>
      <c r="B1513" s="14" t="str">
        <f>IF(A1513="","",CHOOSE(WEEKDAY(A1513),"日","月","火","水","木","金","土"))</f>
        <v/>
      </c>
      <c r="C1513" s="27"/>
      <c r="D1513" s="27"/>
      <c r="E1513" s="14" t="str">
        <f>IF(F1513="","",IFERROR(INDEX(マスター!$F$5:$F$200,MATCH(F1513,マスター!$E$5:$E$200,0)),"※マスター未登録"))</f>
        <v/>
      </c>
      <c r="F1513" s="27"/>
      <c r="G1513" s="27"/>
      <c r="H1513" s="27"/>
      <c r="I1513" s="27"/>
      <c r="J1513" s="27"/>
      <c r="K1513" s="27"/>
    </row>
    <row r="1514" spans="1:11" x14ac:dyDescent="0.2">
      <c r="A1514" s="26"/>
      <c r="B1514" s="14" t="str">
        <f>IF(A1514="","",CHOOSE(WEEKDAY(A1514),"日","月","火","水","木","金","土"))</f>
        <v/>
      </c>
      <c r="C1514" s="27"/>
      <c r="D1514" s="27"/>
      <c r="E1514" s="14" t="str">
        <f>IF(F1514="","",IFERROR(INDEX(マスター!$F$5:$F$200,MATCH(F1514,マスター!$E$5:$E$200,0)),"※マスター未登録"))</f>
        <v/>
      </c>
      <c r="F1514" s="27"/>
      <c r="G1514" s="27"/>
      <c r="H1514" s="27"/>
      <c r="I1514" s="27"/>
      <c r="J1514" s="27"/>
      <c r="K1514" s="27"/>
    </row>
    <row r="1515" spans="1:11" x14ac:dyDescent="0.2">
      <c r="A1515" s="26"/>
      <c r="B1515" s="14" t="str">
        <f>IF(A1515="","",CHOOSE(WEEKDAY(A1515),"日","月","火","水","木","金","土"))</f>
        <v/>
      </c>
      <c r="C1515" s="27"/>
      <c r="D1515" s="27"/>
      <c r="E1515" s="14" t="str">
        <f>IF(F1515="","",IFERROR(INDEX(マスター!$F$5:$F$200,MATCH(F1515,マスター!$E$5:$E$200,0)),"※マスター未登録"))</f>
        <v/>
      </c>
      <c r="F1515" s="27"/>
      <c r="G1515" s="27"/>
      <c r="H1515" s="27"/>
      <c r="I1515" s="27"/>
      <c r="J1515" s="27"/>
      <c r="K1515" s="27"/>
    </row>
    <row r="1516" spans="1:11" x14ac:dyDescent="0.2">
      <c r="A1516" s="26"/>
      <c r="B1516" s="14" t="str">
        <f>IF(A1516="","",CHOOSE(WEEKDAY(A1516),"日","月","火","水","木","金","土"))</f>
        <v/>
      </c>
      <c r="C1516" s="27"/>
      <c r="D1516" s="27"/>
      <c r="E1516" s="14" t="str">
        <f>IF(F1516="","",IFERROR(INDEX(マスター!$F$5:$F$200,MATCH(F1516,マスター!$E$5:$E$200,0)),"※マスター未登録"))</f>
        <v/>
      </c>
      <c r="F1516" s="27"/>
      <c r="G1516" s="27"/>
      <c r="H1516" s="27"/>
      <c r="I1516" s="27"/>
      <c r="J1516" s="27"/>
      <c r="K1516" s="27"/>
    </row>
    <row r="1517" spans="1:11" x14ac:dyDescent="0.2">
      <c r="A1517" s="26"/>
      <c r="B1517" s="14" t="str">
        <f>IF(A1517="","",CHOOSE(WEEKDAY(A1517),"日","月","火","水","木","金","土"))</f>
        <v/>
      </c>
      <c r="C1517" s="27"/>
      <c r="D1517" s="27"/>
      <c r="E1517" s="14" t="str">
        <f>IF(F1517="","",IFERROR(INDEX(マスター!$F$5:$F$200,MATCH(F1517,マスター!$E$5:$E$200,0)),"※マスター未登録"))</f>
        <v/>
      </c>
      <c r="F1517" s="27"/>
      <c r="G1517" s="27"/>
      <c r="H1517" s="27"/>
      <c r="I1517" s="27"/>
      <c r="J1517" s="27"/>
      <c r="K1517" s="27"/>
    </row>
    <row r="1518" spans="1:11" x14ac:dyDescent="0.2">
      <c r="A1518" s="26"/>
      <c r="B1518" s="14" t="str">
        <f>IF(A1518="","",CHOOSE(WEEKDAY(A1518),"日","月","火","水","木","金","土"))</f>
        <v/>
      </c>
      <c r="C1518" s="27"/>
      <c r="D1518" s="27"/>
      <c r="E1518" s="14" t="str">
        <f>IF(F1518="","",IFERROR(INDEX(マスター!$F$5:$F$200,MATCH(F1518,マスター!$E$5:$E$200,0)),"※マスター未登録"))</f>
        <v/>
      </c>
      <c r="F1518" s="27"/>
      <c r="G1518" s="27"/>
      <c r="H1518" s="27"/>
      <c r="I1518" s="27"/>
      <c r="J1518" s="27"/>
      <c r="K1518" s="27"/>
    </row>
    <row r="1519" spans="1:11" x14ac:dyDescent="0.2">
      <c r="A1519" s="26"/>
      <c r="B1519" s="14" t="str">
        <f>IF(A1519="","",CHOOSE(WEEKDAY(A1519),"日","月","火","水","木","金","土"))</f>
        <v/>
      </c>
      <c r="C1519" s="27"/>
      <c r="D1519" s="27"/>
      <c r="E1519" s="14" t="str">
        <f>IF(F1519="","",IFERROR(INDEX(マスター!$F$5:$F$200,MATCH(F1519,マスター!$E$5:$E$200,0)),"※マスター未登録"))</f>
        <v/>
      </c>
      <c r="F1519" s="27"/>
      <c r="G1519" s="27"/>
      <c r="H1519" s="27"/>
      <c r="I1519" s="27"/>
      <c r="J1519" s="27"/>
      <c r="K1519" s="27"/>
    </row>
    <row r="1520" spans="1:11" x14ac:dyDescent="0.2">
      <c r="A1520" s="26"/>
      <c r="B1520" s="14" t="str">
        <f>IF(A1520="","",CHOOSE(WEEKDAY(A1520),"日","月","火","水","木","金","土"))</f>
        <v/>
      </c>
      <c r="C1520" s="27"/>
      <c r="D1520" s="27"/>
      <c r="E1520" s="14" t="str">
        <f>IF(F1520="","",IFERROR(INDEX(マスター!$F$5:$F$200,MATCH(F1520,マスター!$E$5:$E$200,0)),"※マスター未登録"))</f>
        <v/>
      </c>
      <c r="F1520" s="27"/>
      <c r="G1520" s="27"/>
      <c r="H1520" s="27"/>
      <c r="I1520" s="27"/>
      <c r="J1520" s="27"/>
      <c r="K1520" s="27"/>
    </row>
    <row r="1521" spans="1:11" x14ac:dyDescent="0.2">
      <c r="A1521" s="26"/>
      <c r="B1521" s="14" t="str">
        <f>IF(A1521="","",CHOOSE(WEEKDAY(A1521),"日","月","火","水","木","金","土"))</f>
        <v/>
      </c>
      <c r="C1521" s="27"/>
      <c r="D1521" s="27"/>
      <c r="E1521" s="14" t="str">
        <f>IF(F1521="","",IFERROR(INDEX(マスター!$F$5:$F$200,MATCH(F1521,マスター!$E$5:$E$200,0)),"※マスター未登録"))</f>
        <v/>
      </c>
      <c r="F1521" s="27"/>
      <c r="G1521" s="27"/>
      <c r="H1521" s="27"/>
      <c r="I1521" s="27"/>
      <c r="J1521" s="27"/>
      <c r="K1521" s="27"/>
    </row>
    <row r="1522" spans="1:11" x14ac:dyDescent="0.2">
      <c r="A1522" s="26"/>
      <c r="B1522" s="14" t="str">
        <f>IF(A1522="","",CHOOSE(WEEKDAY(A1522),"日","月","火","水","木","金","土"))</f>
        <v/>
      </c>
      <c r="C1522" s="27"/>
      <c r="D1522" s="27"/>
      <c r="E1522" s="14" t="str">
        <f>IF(F1522="","",IFERROR(INDEX(マスター!$F$5:$F$200,MATCH(F1522,マスター!$E$5:$E$200,0)),"※マスター未登録"))</f>
        <v/>
      </c>
      <c r="F1522" s="27"/>
      <c r="G1522" s="27"/>
      <c r="H1522" s="27"/>
      <c r="I1522" s="27"/>
      <c r="J1522" s="27"/>
      <c r="K1522" s="27"/>
    </row>
    <row r="1523" spans="1:11" x14ac:dyDescent="0.2">
      <c r="A1523" s="26"/>
      <c r="B1523" s="14" t="str">
        <f>IF(A1523="","",CHOOSE(WEEKDAY(A1523),"日","月","火","水","木","金","土"))</f>
        <v/>
      </c>
      <c r="C1523" s="27"/>
      <c r="D1523" s="27"/>
      <c r="E1523" s="14" t="str">
        <f>IF(F1523="","",IFERROR(INDEX(マスター!$F$5:$F$200,MATCH(F1523,マスター!$E$5:$E$200,0)),"※マスター未登録"))</f>
        <v/>
      </c>
      <c r="F1523" s="27"/>
      <c r="G1523" s="27"/>
      <c r="H1523" s="27"/>
      <c r="I1523" s="27"/>
      <c r="J1523" s="27"/>
      <c r="K1523" s="27"/>
    </row>
    <row r="1524" spans="1:11" x14ac:dyDescent="0.2">
      <c r="A1524" s="26"/>
      <c r="B1524" s="14" t="str">
        <f>IF(A1524="","",CHOOSE(WEEKDAY(A1524),"日","月","火","水","木","金","土"))</f>
        <v/>
      </c>
      <c r="C1524" s="27"/>
      <c r="D1524" s="27"/>
      <c r="E1524" s="14" t="str">
        <f>IF(F1524="","",IFERROR(INDEX(マスター!$F$5:$F$200,MATCH(F1524,マスター!$E$5:$E$200,0)),"※マスター未登録"))</f>
        <v/>
      </c>
      <c r="F1524" s="27"/>
      <c r="G1524" s="27"/>
      <c r="H1524" s="27"/>
      <c r="I1524" s="27"/>
      <c r="J1524" s="27"/>
      <c r="K1524" s="27"/>
    </row>
    <row r="1525" spans="1:11" x14ac:dyDescent="0.2">
      <c r="A1525" s="26"/>
      <c r="B1525" s="14" t="str">
        <f>IF(A1525="","",CHOOSE(WEEKDAY(A1525),"日","月","火","水","木","金","土"))</f>
        <v/>
      </c>
      <c r="C1525" s="27"/>
      <c r="D1525" s="27"/>
      <c r="E1525" s="14" t="str">
        <f>IF(F1525="","",IFERROR(INDEX(マスター!$F$5:$F$200,MATCH(F1525,マスター!$E$5:$E$200,0)),"※マスター未登録"))</f>
        <v/>
      </c>
      <c r="F1525" s="27"/>
      <c r="G1525" s="27"/>
      <c r="H1525" s="27"/>
      <c r="I1525" s="27"/>
      <c r="J1525" s="27"/>
      <c r="K1525" s="27"/>
    </row>
    <row r="1526" spans="1:11" x14ac:dyDescent="0.2">
      <c r="A1526" s="26"/>
      <c r="B1526" s="14" t="str">
        <f>IF(A1526="","",CHOOSE(WEEKDAY(A1526),"日","月","火","水","木","金","土"))</f>
        <v/>
      </c>
      <c r="C1526" s="27"/>
      <c r="D1526" s="27"/>
      <c r="E1526" s="14" t="str">
        <f>IF(F1526="","",IFERROR(INDEX(マスター!$F$5:$F$200,MATCH(F1526,マスター!$E$5:$E$200,0)),"※マスター未登録"))</f>
        <v/>
      </c>
      <c r="F1526" s="27"/>
      <c r="G1526" s="27"/>
      <c r="H1526" s="27"/>
      <c r="I1526" s="27"/>
      <c r="J1526" s="27"/>
      <c r="K1526" s="27"/>
    </row>
    <row r="1527" spans="1:11" x14ac:dyDescent="0.2">
      <c r="A1527" s="26"/>
      <c r="B1527" s="14" t="str">
        <f>IF(A1527="","",CHOOSE(WEEKDAY(A1527),"日","月","火","水","木","金","土"))</f>
        <v/>
      </c>
      <c r="C1527" s="27"/>
      <c r="D1527" s="27"/>
      <c r="E1527" s="14" t="str">
        <f>IF(F1527="","",IFERROR(INDEX(マスター!$F$5:$F$200,MATCH(F1527,マスター!$E$5:$E$200,0)),"※マスター未登録"))</f>
        <v/>
      </c>
      <c r="F1527" s="27"/>
      <c r="G1527" s="27"/>
      <c r="H1527" s="27"/>
      <c r="I1527" s="27"/>
      <c r="J1527" s="27"/>
      <c r="K1527" s="27"/>
    </row>
    <row r="1528" spans="1:11" x14ac:dyDescent="0.2">
      <c r="A1528" s="26"/>
      <c r="B1528" s="14" t="str">
        <f>IF(A1528="","",CHOOSE(WEEKDAY(A1528),"日","月","火","水","木","金","土"))</f>
        <v/>
      </c>
      <c r="C1528" s="27"/>
      <c r="D1528" s="27"/>
      <c r="E1528" s="14" t="str">
        <f>IF(F1528="","",IFERROR(INDEX(マスター!$F$5:$F$200,MATCH(F1528,マスター!$E$5:$E$200,0)),"※マスター未登録"))</f>
        <v/>
      </c>
      <c r="F1528" s="27"/>
      <c r="G1528" s="27"/>
      <c r="H1528" s="27"/>
      <c r="I1528" s="27"/>
      <c r="J1528" s="27"/>
      <c r="K1528" s="27"/>
    </row>
    <row r="1529" spans="1:11" x14ac:dyDescent="0.2">
      <c r="A1529" s="26"/>
      <c r="B1529" s="14" t="str">
        <f>IF(A1529="","",CHOOSE(WEEKDAY(A1529),"日","月","火","水","木","金","土"))</f>
        <v/>
      </c>
      <c r="C1529" s="27"/>
      <c r="D1529" s="27"/>
      <c r="E1529" s="14" t="str">
        <f>IF(F1529="","",IFERROR(INDEX(マスター!$F$5:$F$200,MATCH(F1529,マスター!$E$5:$E$200,0)),"※マスター未登録"))</f>
        <v/>
      </c>
      <c r="F1529" s="27"/>
      <c r="G1529" s="27"/>
      <c r="H1529" s="27"/>
      <c r="I1529" s="27"/>
      <c r="J1529" s="27"/>
      <c r="K1529" s="27"/>
    </row>
    <row r="1530" spans="1:11" x14ac:dyDescent="0.2">
      <c r="A1530" s="26"/>
      <c r="B1530" s="14" t="str">
        <f>IF(A1530="","",CHOOSE(WEEKDAY(A1530),"日","月","火","水","木","金","土"))</f>
        <v/>
      </c>
      <c r="C1530" s="27"/>
      <c r="D1530" s="27"/>
      <c r="E1530" s="14" t="str">
        <f>IF(F1530="","",IFERROR(INDEX(マスター!$F$5:$F$200,MATCH(F1530,マスター!$E$5:$E$200,0)),"※マスター未登録"))</f>
        <v/>
      </c>
      <c r="F1530" s="27"/>
      <c r="G1530" s="27"/>
      <c r="H1530" s="27"/>
      <c r="I1530" s="27"/>
      <c r="J1530" s="27"/>
      <c r="K1530" s="27"/>
    </row>
    <row r="1531" spans="1:11" x14ac:dyDescent="0.2">
      <c r="A1531" s="26"/>
      <c r="B1531" s="14" t="str">
        <f>IF(A1531="","",CHOOSE(WEEKDAY(A1531),"日","月","火","水","木","金","土"))</f>
        <v/>
      </c>
      <c r="C1531" s="27"/>
      <c r="D1531" s="27"/>
      <c r="E1531" s="14" t="str">
        <f>IF(F1531="","",IFERROR(INDEX(マスター!$F$5:$F$200,MATCH(F1531,マスター!$E$5:$E$200,0)),"※マスター未登録"))</f>
        <v/>
      </c>
      <c r="F1531" s="27"/>
      <c r="G1531" s="27"/>
      <c r="H1531" s="27"/>
      <c r="I1531" s="27"/>
      <c r="J1531" s="27"/>
      <c r="K1531" s="27"/>
    </row>
    <row r="1532" spans="1:11" x14ac:dyDescent="0.2">
      <c r="A1532" s="26"/>
      <c r="B1532" s="14" t="str">
        <f>IF(A1532="","",CHOOSE(WEEKDAY(A1532),"日","月","火","水","木","金","土"))</f>
        <v/>
      </c>
      <c r="C1532" s="27"/>
      <c r="D1532" s="27"/>
      <c r="E1532" s="14" t="str">
        <f>IF(F1532="","",IFERROR(INDEX(マスター!$F$5:$F$200,MATCH(F1532,マスター!$E$5:$E$200,0)),"※マスター未登録"))</f>
        <v/>
      </c>
      <c r="F1532" s="27"/>
      <c r="G1532" s="27"/>
      <c r="H1532" s="27"/>
      <c r="I1532" s="27"/>
      <c r="J1532" s="27"/>
      <c r="K1532" s="27"/>
    </row>
    <row r="1533" spans="1:11" x14ac:dyDescent="0.2">
      <c r="A1533" s="26"/>
      <c r="B1533" s="14" t="str">
        <f>IF(A1533="","",CHOOSE(WEEKDAY(A1533),"日","月","火","水","木","金","土"))</f>
        <v/>
      </c>
      <c r="C1533" s="27"/>
      <c r="D1533" s="27"/>
      <c r="E1533" s="14" t="str">
        <f>IF(F1533="","",IFERROR(INDEX(マスター!$F$5:$F$200,MATCH(F1533,マスター!$E$5:$E$200,0)),"※マスター未登録"))</f>
        <v/>
      </c>
      <c r="F1533" s="27"/>
      <c r="G1533" s="27"/>
      <c r="H1533" s="27"/>
      <c r="I1533" s="27"/>
      <c r="J1533" s="27"/>
      <c r="K1533" s="27"/>
    </row>
    <row r="1534" spans="1:11" x14ac:dyDescent="0.2">
      <c r="A1534" s="26"/>
      <c r="B1534" s="14" t="str">
        <f>IF(A1534="","",CHOOSE(WEEKDAY(A1534),"日","月","火","水","木","金","土"))</f>
        <v/>
      </c>
      <c r="C1534" s="27"/>
      <c r="D1534" s="27"/>
      <c r="E1534" s="14" t="str">
        <f>IF(F1534="","",IFERROR(INDEX(マスター!$F$5:$F$200,MATCH(F1534,マスター!$E$5:$E$200,0)),"※マスター未登録"))</f>
        <v/>
      </c>
      <c r="F1534" s="27"/>
      <c r="G1534" s="27"/>
      <c r="H1534" s="27"/>
      <c r="I1534" s="27"/>
      <c r="J1534" s="27"/>
      <c r="K1534" s="27"/>
    </row>
    <row r="1535" spans="1:11" x14ac:dyDescent="0.2">
      <c r="A1535" s="26"/>
      <c r="B1535" s="14" t="str">
        <f>IF(A1535="","",CHOOSE(WEEKDAY(A1535),"日","月","火","水","木","金","土"))</f>
        <v/>
      </c>
      <c r="C1535" s="27"/>
      <c r="D1535" s="27"/>
      <c r="E1535" s="14" t="str">
        <f>IF(F1535="","",IFERROR(INDEX(マスター!$F$5:$F$200,MATCH(F1535,マスター!$E$5:$E$200,0)),"※マスター未登録"))</f>
        <v/>
      </c>
      <c r="F1535" s="27"/>
      <c r="G1535" s="27"/>
      <c r="H1535" s="27"/>
      <c r="I1535" s="27"/>
      <c r="J1535" s="27"/>
      <c r="K1535" s="27"/>
    </row>
    <row r="1536" spans="1:11" x14ac:dyDescent="0.2">
      <c r="A1536" s="26"/>
      <c r="B1536" s="14" t="str">
        <f>IF(A1536="","",CHOOSE(WEEKDAY(A1536),"日","月","火","水","木","金","土"))</f>
        <v/>
      </c>
      <c r="C1536" s="27"/>
      <c r="D1536" s="27"/>
      <c r="E1536" s="14" t="str">
        <f>IF(F1536="","",IFERROR(INDEX(マスター!$F$5:$F$200,MATCH(F1536,マスター!$E$5:$E$200,0)),"※マスター未登録"))</f>
        <v/>
      </c>
      <c r="F1536" s="27"/>
      <c r="G1536" s="27"/>
      <c r="H1536" s="27"/>
      <c r="I1536" s="27"/>
      <c r="J1536" s="27"/>
      <c r="K1536" s="27"/>
    </row>
    <row r="1537" spans="1:11" x14ac:dyDescent="0.2">
      <c r="A1537" s="26"/>
      <c r="B1537" s="14" t="str">
        <f>IF(A1537="","",CHOOSE(WEEKDAY(A1537),"日","月","火","水","木","金","土"))</f>
        <v/>
      </c>
      <c r="C1537" s="27"/>
      <c r="D1537" s="27"/>
      <c r="E1537" s="14" t="str">
        <f>IF(F1537="","",IFERROR(INDEX(マスター!$F$5:$F$200,MATCH(F1537,マスター!$E$5:$E$200,0)),"※マスター未登録"))</f>
        <v/>
      </c>
      <c r="F1537" s="27"/>
      <c r="G1537" s="27"/>
      <c r="H1537" s="27"/>
      <c r="I1537" s="27"/>
      <c r="J1537" s="27"/>
      <c r="K1537" s="27"/>
    </row>
    <row r="1538" spans="1:11" x14ac:dyDescent="0.2">
      <c r="A1538" s="26"/>
      <c r="B1538" s="14" t="str">
        <f>IF(A1538="","",CHOOSE(WEEKDAY(A1538),"日","月","火","水","木","金","土"))</f>
        <v/>
      </c>
      <c r="C1538" s="27"/>
      <c r="D1538" s="27"/>
      <c r="E1538" s="14" t="str">
        <f>IF(F1538="","",IFERROR(INDEX(マスター!$F$5:$F$200,MATCH(F1538,マスター!$E$5:$E$200,0)),"※マスター未登録"))</f>
        <v/>
      </c>
      <c r="F1538" s="27"/>
      <c r="G1538" s="27"/>
      <c r="H1538" s="27"/>
      <c r="I1538" s="27"/>
      <c r="J1538" s="27"/>
      <c r="K1538" s="27"/>
    </row>
    <row r="1539" spans="1:11" x14ac:dyDescent="0.2">
      <c r="A1539" s="26"/>
      <c r="B1539" s="14" t="str">
        <f>IF(A1539="","",CHOOSE(WEEKDAY(A1539),"日","月","火","水","木","金","土"))</f>
        <v/>
      </c>
      <c r="C1539" s="27"/>
      <c r="D1539" s="27"/>
      <c r="E1539" s="14" t="str">
        <f>IF(F1539="","",IFERROR(INDEX(マスター!$F$5:$F$200,MATCH(F1539,マスター!$E$5:$E$200,0)),"※マスター未登録"))</f>
        <v/>
      </c>
      <c r="F1539" s="27"/>
      <c r="G1539" s="27"/>
      <c r="H1539" s="27"/>
      <c r="I1539" s="27"/>
      <c r="J1539" s="27"/>
      <c r="K1539" s="27"/>
    </row>
    <row r="1540" spans="1:11" x14ac:dyDescent="0.2">
      <c r="A1540" s="26"/>
      <c r="B1540" s="14" t="str">
        <f>IF(A1540="","",CHOOSE(WEEKDAY(A1540),"日","月","火","水","木","金","土"))</f>
        <v/>
      </c>
      <c r="C1540" s="27"/>
      <c r="D1540" s="27"/>
      <c r="E1540" s="14" t="str">
        <f>IF(F1540="","",IFERROR(INDEX(マスター!$F$5:$F$200,MATCH(F1540,マスター!$E$5:$E$200,0)),"※マスター未登録"))</f>
        <v/>
      </c>
      <c r="F1540" s="27"/>
      <c r="G1540" s="27"/>
      <c r="H1540" s="27"/>
      <c r="I1540" s="27"/>
      <c r="J1540" s="27"/>
      <c r="K1540" s="27"/>
    </row>
    <row r="1541" spans="1:11" x14ac:dyDescent="0.2">
      <c r="A1541" s="26"/>
      <c r="B1541" s="14" t="str">
        <f>IF(A1541="","",CHOOSE(WEEKDAY(A1541),"日","月","火","水","木","金","土"))</f>
        <v/>
      </c>
      <c r="C1541" s="27"/>
      <c r="D1541" s="27"/>
      <c r="E1541" s="14" t="str">
        <f>IF(F1541="","",IFERROR(INDEX(マスター!$F$5:$F$200,MATCH(F1541,マスター!$E$5:$E$200,0)),"※マスター未登録"))</f>
        <v/>
      </c>
      <c r="F1541" s="27"/>
      <c r="G1541" s="27"/>
      <c r="H1541" s="27"/>
      <c r="I1541" s="27"/>
      <c r="J1541" s="27"/>
      <c r="K1541" s="27"/>
    </row>
    <row r="1542" spans="1:11" x14ac:dyDescent="0.2">
      <c r="A1542" s="26"/>
      <c r="B1542" s="14" t="str">
        <f>IF(A1542="","",CHOOSE(WEEKDAY(A1542),"日","月","火","水","木","金","土"))</f>
        <v/>
      </c>
      <c r="C1542" s="27"/>
      <c r="D1542" s="27"/>
      <c r="E1542" s="14" t="str">
        <f>IF(F1542="","",IFERROR(INDEX(マスター!$F$5:$F$200,MATCH(F1542,マスター!$E$5:$E$200,0)),"※マスター未登録"))</f>
        <v/>
      </c>
      <c r="F1542" s="27"/>
      <c r="G1542" s="27"/>
      <c r="H1542" s="27"/>
      <c r="I1542" s="27"/>
      <c r="J1542" s="27"/>
      <c r="K1542" s="27"/>
    </row>
    <row r="1543" spans="1:11" x14ac:dyDescent="0.2">
      <c r="A1543" s="26"/>
      <c r="B1543" s="14" t="str">
        <f>IF(A1543="","",CHOOSE(WEEKDAY(A1543),"日","月","火","水","木","金","土"))</f>
        <v/>
      </c>
      <c r="C1543" s="27"/>
      <c r="D1543" s="27"/>
      <c r="E1543" s="14" t="str">
        <f>IF(F1543="","",IFERROR(INDEX(マスター!$F$5:$F$200,MATCH(F1543,マスター!$E$5:$E$200,0)),"※マスター未登録"))</f>
        <v/>
      </c>
      <c r="F1543" s="27"/>
      <c r="G1543" s="27"/>
      <c r="H1543" s="27"/>
      <c r="I1543" s="27"/>
      <c r="J1543" s="27"/>
      <c r="K1543" s="27"/>
    </row>
    <row r="1544" spans="1:11" x14ac:dyDescent="0.2">
      <c r="A1544" s="26"/>
      <c r="B1544" s="14" t="str">
        <f>IF(A1544="","",CHOOSE(WEEKDAY(A1544),"日","月","火","水","木","金","土"))</f>
        <v/>
      </c>
      <c r="C1544" s="27"/>
      <c r="D1544" s="27"/>
      <c r="E1544" s="14" t="str">
        <f>IF(F1544="","",IFERROR(INDEX(マスター!$F$5:$F$200,MATCH(F1544,マスター!$E$5:$E$200,0)),"※マスター未登録"))</f>
        <v/>
      </c>
      <c r="F1544" s="27"/>
      <c r="G1544" s="27"/>
      <c r="H1544" s="27"/>
      <c r="I1544" s="27"/>
      <c r="J1544" s="27"/>
      <c r="K1544" s="27"/>
    </row>
    <row r="1545" spans="1:11" x14ac:dyDescent="0.2">
      <c r="A1545" s="26"/>
      <c r="B1545" s="14" t="str">
        <f>IF(A1545="","",CHOOSE(WEEKDAY(A1545),"日","月","火","水","木","金","土"))</f>
        <v/>
      </c>
      <c r="C1545" s="27"/>
      <c r="D1545" s="27"/>
      <c r="E1545" s="14" t="str">
        <f>IF(F1545="","",IFERROR(INDEX(マスター!$F$5:$F$200,MATCH(F1545,マスター!$E$5:$E$200,0)),"※マスター未登録"))</f>
        <v/>
      </c>
      <c r="F1545" s="27"/>
      <c r="G1545" s="27"/>
      <c r="H1545" s="27"/>
      <c r="I1545" s="27"/>
      <c r="J1545" s="27"/>
      <c r="K1545" s="27"/>
    </row>
    <row r="1546" spans="1:11" x14ac:dyDescent="0.2">
      <c r="A1546" s="26"/>
      <c r="B1546" s="14" t="str">
        <f>IF(A1546="","",CHOOSE(WEEKDAY(A1546),"日","月","火","水","木","金","土"))</f>
        <v/>
      </c>
      <c r="C1546" s="27"/>
      <c r="D1546" s="27"/>
      <c r="E1546" s="14" t="str">
        <f>IF(F1546="","",IFERROR(INDEX(マスター!$F$5:$F$200,MATCH(F1546,マスター!$E$5:$E$200,0)),"※マスター未登録"))</f>
        <v/>
      </c>
      <c r="F1546" s="27"/>
      <c r="G1546" s="27"/>
      <c r="H1546" s="27"/>
      <c r="I1546" s="27"/>
      <c r="J1546" s="27"/>
      <c r="K1546" s="27"/>
    </row>
    <row r="1547" spans="1:11" x14ac:dyDescent="0.2">
      <c r="A1547" s="26"/>
      <c r="B1547" s="14" t="str">
        <f>IF(A1547="","",CHOOSE(WEEKDAY(A1547),"日","月","火","水","木","金","土"))</f>
        <v/>
      </c>
      <c r="C1547" s="27"/>
      <c r="D1547" s="27"/>
      <c r="E1547" s="14" t="str">
        <f>IF(F1547="","",IFERROR(INDEX(マスター!$F$5:$F$200,MATCH(F1547,マスター!$E$5:$E$200,0)),"※マスター未登録"))</f>
        <v/>
      </c>
      <c r="F1547" s="27"/>
      <c r="G1547" s="27"/>
      <c r="H1547" s="27"/>
      <c r="I1547" s="27"/>
      <c r="J1547" s="27"/>
      <c r="K1547" s="27"/>
    </row>
    <row r="1548" spans="1:11" x14ac:dyDescent="0.2">
      <c r="A1548" s="26"/>
      <c r="B1548" s="14" t="str">
        <f>IF(A1548="","",CHOOSE(WEEKDAY(A1548),"日","月","火","水","木","金","土"))</f>
        <v/>
      </c>
      <c r="C1548" s="27"/>
      <c r="D1548" s="27"/>
      <c r="E1548" s="14" t="str">
        <f>IF(F1548="","",IFERROR(INDEX(マスター!$F$5:$F$200,MATCH(F1548,マスター!$E$5:$E$200,0)),"※マスター未登録"))</f>
        <v/>
      </c>
      <c r="F1548" s="27"/>
      <c r="G1548" s="27"/>
      <c r="H1548" s="27"/>
      <c r="I1548" s="27"/>
      <c r="J1548" s="27"/>
      <c r="K1548" s="27"/>
    </row>
    <row r="1549" spans="1:11" x14ac:dyDescent="0.2">
      <c r="A1549" s="26"/>
      <c r="B1549" s="14" t="str">
        <f>IF(A1549="","",CHOOSE(WEEKDAY(A1549),"日","月","火","水","木","金","土"))</f>
        <v/>
      </c>
      <c r="C1549" s="27"/>
      <c r="D1549" s="27"/>
      <c r="E1549" s="14" t="str">
        <f>IF(F1549="","",IFERROR(INDEX(マスター!$F$5:$F$200,MATCH(F1549,マスター!$E$5:$E$200,0)),"※マスター未登録"))</f>
        <v/>
      </c>
      <c r="F1549" s="27"/>
      <c r="G1549" s="27"/>
      <c r="H1549" s="27"/>
      <c r="I1549" s="27"/>
      <c r="J1549" s="27"/>
      <c r="K1549" s="27"/>
    </row>
    <row r="1550" spans="1:11" x14ac:dyDescent="0.2">
      <c r="A1550" s="26"/>
      <c r="B1550" s="14" t="str">
        <f>IF(A1550="","",CHOOSE(WEEKDAY(A1550),"日","月","火","水","木","金","土"))</f>
        <v/>
      </c>
      <c r="C1550" s="27"/>
      <c r="D1550" s="27"/>
      <c r="E1550" s="14" t="str">
        <f>IF(F1550="","",IFERROR(INDEX(マスター!$F$5:$F$200,MATCH(F1550,マスター!$E$5:$E$200,0)),"※マスター未登録"))</f>
        <v/>
      </c>
      <c r="F1550" s="27"/>
      <c r="G1550" s="27"/>
      <c r="H1550" s="27"/>
      <c r="I1550" s="27"/>
      <c r="J1550" s="27"/>
      <c r="K1550" s="27"/>
    </row>
    <row r="1551" spans="1:11" x14ac:dyDescent="0.2">
      <c r="A1551" s="26"/>
      <c r="B1551" s="14" t="str">
        <f>IF(A1551="","",CHOOSE(WEEKDAY(A1551),"日","月","火","水","木","金","土"))</f>
        <v/>
      </c>
      <c r="C1551" s="27"/>
      <c r="D1551" s="27"/>
      <c r="E1551" s="14" t="str">
        <f>IF(F1551="","",IFERROR(INDEX(マスター!$F$5:$F$200,MATCH(F1551,マスター!$E$5:$E$200,0)),"※マスター未登録"))</f>
        <v/>
      </c>
      <c r="F1551" s="27"/>
      <c r="G1551" s="27"/>
      <c r="H1551" s="27"/>
      <c r="I1551" s="27"/>
      <c r="J1551" s="27"/>
      <c r="K1551" s="27"/>
    </row>
    <row r="1552" spans="1:11" x14ac:dyDescent="0.2">
      <c r="A1552" s="26"/>
      <c r="B1552" s="14" t="str">
        <f>IF(A1552="","",CHOOSE(WEEKDAY(A1552),"日","月","火","水","木","金","土"))</f>
        <v/>
      </c>
      <c r="C1552" s="27"/>
      <c r="D1552" s="27"/>
      <c r="E1552" s="14" t="str">
        <f>IF(F1552="","",IFERROR(INDEX(マスター!$F$5:$F$200,MATCH(F1552,マスター!$E$5:$E$200,0)),"※マスター未登録"))</f>
        <v/>
      </c>
      <c r="F1552" s="27"/>
      <c r="G1552" s="27"/>
      <c r="H1552" s="27"/>
      <c r="I1552" s="27"/>
      <c r="J1552" s="27"/>
      <c r="K1552" s="27"/>
    </row>
    <row r="1553" spans="1:11" x14ac:dyDescent="0.2">
      <c r="A1553" s="26"/>
      <c r="B1553" s="14" t="str">
        <f>IF(A1553="","",CHOOSE(WEEKDAY(A1553),"日","月","火","水","木","金","土"))</f>
        <v/>
      </c>
      <c r="C1553" s="27"/>
      <c r="D1553" s="27"/>
      <c r="E1553" s="14" t="str">
        <f>IF(F1553="","",IFERROR(INDEX(マスター!$F$5:$F$200,MATCH(F1553,マスター!$E$5:$E$200,0)),"※マスター未登録"))</f>
        <v/>
      </c>
      <c r="F1553" s="27"/>
      <c r="G1553" s="27"/>
      <c r="H1553" s="27"/>
      <c r="I1553" s="27"/>
      <c r="J1553" s="27"/>
      <c r="K1553" s="27"/>
    </row>
    <row r="1554" spans="1:11" x14ac:dyDescent="0.2">
      <c r="A1554" s="26"/>
      <c r="B1554" s="14" t="str">
        <f>IF(A1554="","",CHOOSE(WEEKDAY(A1554),"日","月","火","水","木","金","土"))</f>
        <v/>
      </c>
      <c r="C1554" s="27"/>
      <c r="D1554" s="27"/>
      <c r="E1554" s="14" t="str">
        <f>IF(F1554="","",IFERROR(INDEX(マスター!$F$5:$F$200,MATCH(F1554,マスター!$E$5:$E$200,0)),"※マスター未登録"))</f>
        <v/>
      </c>
      <c r="F1554" s="27"/>
      <c r="G1554" s="27"/>
      <c r="H1554" s="27"/>
      <c r="I1554" s="27"/>
      <c r="J1554" s="27"/>
      <c r="K1554" s="27"/>
    </row>
    <row r="1555" spans="1:11" x14ac:dyDescent="0.2">
      <c r="A1555" s="26"/>
      <c r="B1555" s="14" t="str">
        <f>IF(A1555="","",CHOOSE(WEEKDAY(A1555),"日","月","火","水","木","金","土"))</f>
        <v/>
      </c>
      <c r="C1555" s="27"/>
      <c r="D1555" s="27"/>
      <c r="E1555" s="14" t="str">
        <f>IF(F1555="","",IFERROR(INDEX(マスター!$F$5:$F$200,MATCH(F1555,マスター!$E$5:$E$200,0)),"※マスター未登録"))</f>
        <v/>
      </c>
      <c r="F1555" s="27"/>
      <c r="G1555" s="27"/>
      <c r="H1555" s="27"/>
      <c r="I1555" s="27"/>
      <c r="J1555" s="27"/>
      <c r="K1555" s="27"/>
    </row>
    <row r="1556" spans="1:11" x14ac:dyDescent="0.2">
      <c r="A1556" s="26"/>
      <c r="B1556" s="14" t="str">
        <f>IF(A1556="","",CHOOSE(WEEKDAY(A1556),"日","月","火","水","木","金","土"))</f>
        <v/>
      </c>
      <c r="C1556" s="27"/>
      <c r="D1556" s="27"/>
      <c r="E1556" s="14" t="str">
        <f>IF(F1556="","",IFERROR(INDEX(マスター!$F$5:$F$200,MATCH(F1556,マスター!$E$5:$E$200,0)),"※マスター未登録"))</f>
        <v/>
      </c>
      <c r="F1556" s="27"/>
      <c r="G1556" s="27"/>
      <c r="H1556" s="27"/>
      <c r="I1556" s="27"/>
      <c r="J1556" s="27"/>
      <c r="K1556" s="27"/>
    </row>
    <row r="1557" spans="1:11" x14ac:dyDescent="0.2">
      <c r="A1557" s="26"/>
      <c r="B1557" s="14" t="str">
        <f>IF(A1557="","",CHOOSE(WEEKDAY(A1557),"日","月","火","水","木","金","土"))</f>
        <v/>
      </c>
      <c r="C1557" s="27"/>
      <c r="D1557" s="27"/>
      <c r="E1557" s="14" t="str">
        <f>IF(F1557="","",IFERROR(INDEX(マスター!$F$5:$F$200,MATCH(F1557,マスター!$E$5:$E$200,0)),"※マスター未登録"))</f>
        <v/>
      </c>
      <c r="F1557" s="27"/>
      <c r="G1557" s="27"/>
      <c r="H1557" s="27"/>
      <c r="I1557" s="27"/>
      <c r="J1557" s="27"/>
      <c r="K1557" s="27"/>
    </row>
    <row r="1558" spans="1:11" x14ac:dyDescent="0.2">
      <c r="A1558" s="26"/>
      <c r="B1558" s="14" t="str">
        <f>IF(A1558="","",CHOOSE(WEEKDAY(A1558),"日","月","火","水","木","金","土"))</f>
        <v/>
      </c>
      <c r="C1558" s="27"/>
      <c r="D1558" s="27"/>
      <c r="E1558" s="14" t="str">
        <f>IF(F1558="","",IFERROR(INDEX(マスター!$F$5:$F$200,MATCH(F1558,マスター!$E$5:$E$200,0)),"※マスター未登録"))</f>
        <v/>
      </c>
      <c r="F1558" s="27"/>
      <c r="G1558" s="27"/>
      <c r="H1558" s="27"/>
      <c r="I1558" s="27"/>
      <c r="J1558" s="27"/>
      <c r="K1558" s="27"/>
    </row>
    <row r="1559" spans="1:11" x14ac:dyDescent="0.2">
      <c r="A1559" s="26"/>
      <c r="B1559" s="14" t="str">
        <f>IF(A1559="","",CHOOSE(WEEKDAY(A1559),"日","月","火","水","木","金","土"))</f>
        <v/>
      </c>
      <c r="C1559" s="27"/>
      <c r="D1559" s="27"/>
      <c r="E1559" s="14" t="str">
        <f>IF(F1559="","",IFERROR(INDEX(マスター!$F$5:$F$200,MATCH(F1559,マスター!$E$5:$E$200,0)),"※マスター未登録"))</f>
        <v/>
      </c>
      <c r="F1559" s="27"/>
      <c r="G1559" s="27"/>
      <c r="H1559" s="27"/>
      <c r="I1559" s="27"/>
      <c r="J1559" s="27"/>
      <c r="K1559" s="27"/>
    </row>
    <row r="1560" spans="1:11" x14ac:dyDescent="0.2">
      <c r="A1560" s="26"/>
      <c r="B1560" s="14" t="str">
        <f>IF(A1560="","",CHOOSE(WEEKDAY(A1560),"日","月","火","水","木","金","土"))</f>
        <v/>
      </c>
      <c r="C1560" s="27"/>
      <c r="D1560" s="27"/>
      <c r="E1560" s="14" t="str">
        <f>IF(F1560="","",IFERROR(INDEX(マスター!$F$5:$F$200,MATCH(F1560,マスター!$E$5:$E$200,0)),"※マスター未登録"))</f>
        <v/>
      </c>
      <c r="F1560" s="27"/>
      <c r="G1560" s="27"/>
      <c r="H1560" s="27"/>
      <c r="I1560" s="27"/>
      <c r="J1560" s="27"/>
      <c r="K1560" s="27"/>
    </row>
    <row r="1561" spans="1:11" x14ac:dyDescent="0.2">
      <c r="A1561" s="26"/>
      <c r="B1561" s="14" t="str">
        <f>IF(A1561="","",CHOOSE(WEEKDAY(A1561),"日","月","火","水","木","金","土"))</f>
        <v/>
      </c>
      <c r="C1561" s="27"/>
      <c r="D1561" s="27"/>
      <c r="E1561" s="14" t="str">
        <f>IF(F1561="","",IFERROR(INDEX(マスター!$F$5:$F$200,MATCH(F1561,マスター!$E$5:$E$200,0)),"※マスター未登録"))</f>
        <v/>
      </c>
      <c r="F1561" s="27"/>
      <c r="G1561" s="27"/>
      <c r="H1561" s="27"/>
      <c r="I1561" s="27"/>
      <c r="J1561" s="27"/>
      <c r="K1561" s="27"/>
    </row>
    <row r="1562" spans="1:11" x14ac:dyDescent="0.2">
      <c r="A1562" s="26"/>
      <c r="B1562" s="14" t="str">
        <f>IF(A1562="","",CHOOSE(WEEKDAY(A1562),"日","月","火","水","木","金","土"))</f>
        <v/>
      </c>
      <c r="C1562" s="27"/>
      <c r="D1562" s="27"/>
      <c r="E1562" s="14" t="str">
        <f>IF(F1562="","",IFERROR(INDEX(マスター!$F$5:$F$200,MATCH(F1562,マスター!$E$5:$E$200,0)),"※マスター未登録"))</f>
        <v/>
      </c>
      <c r="F1562" s="27"/>
      <c r="G1562" s="27"/>
      <c r="H1562" s="27"/>
      <c r="I1562" s="27"/>
      <c r="J1562" s="27"/>
      <c r="K1562" s="27"/>
    </row>
    <row r="1563" spans="1:11" x14ac:dyDescent="0.2">
      <c r="A1563" s="26"/>
      <c r="B1563" s="14" t="str">
        <f>IF(A1563="","",CHOOSE(WEEKDAY(A1563),"日","月","火","水","木","金","土"))</f>
        <v/>
      </c>
      <c r="C1563" s="27"/>
      <c r="D1563" s="27"/>
      <c r="E1563" s="14" t="str">
        <f>IF(F1563="","",IFERROR(INDEX(マスター!$F$5:$F$200,MATCH(F1563,マスター!$E$5:$E$200,0)),"※マスター未登録"))</f>
        <v/>
      </c>
      <c r="F1563" s="27"/>
      <c r="G1563" s="27"/>
      <c r="H1563" s="27"/>
      <c r="I1563" s="27"/>
      <c r="J1563" s="27"/>
      <c r="K1563" s="27"/>
    </row>
    <row r="1564" spans="1:11" x14ac:dyDescent="0.2">
      <c r="A1564" s="26"/>
      <c r="B1564" s="14" t="str">
        <f>IF(A1564="","",CHOOSE(WEEKDAY(A1564),"日","月","火","水","木","金","土"))</f>
        <v/>
      </c>
      <c r="C1564" s="27"/>
      <c r="D1564" s="27"/>
      <c r="E1564" s="14" t="str">
        <f>IF(F1564="","",IFERROR(INDEX(マスター!$F$5:$F$200,MATCH(F1564,マスター!$E$5:$E$200,0)),"※マスター未登録"))</f>
        <v/>
      </c>
      <c r="F1564" s="27"/>
      <c r="G1564" s="27"/>
      <c r="H1564" s="27"/>
      <c r="I1564" s="27"/>
      <c r="J1564" s="27"/>
      <c r="K1564" s="27"/>
    </row>
    <row r="1565" spans="1:11" x14ac:dyDescent="0.2">
      <c r="A1565" s="26"/>
      <c r="B1565" s="14" t="str">
        <f>IF(A1565="","",CHOOSE(WEEKDAY(A1565),"日","月","火","水","木","金","土"))</f>
        <v/>
      </c>
      <c r="C1565" s="27"/>
      <c r="D1565" s="27"/>
      <c r="E1565" s="14" t="str">
        <f>IF(F1565="","",IFERROR(INDEX(マスター!$F$5:$F$200,MATCH(F1565,マスター!$E$5:$E$200,0)),"※マスター未登録"))</f>
        <v/>
      </c>
      <c r="F1565" s="27"/>
      <c r="G1565" s="27"/>
      <c r="H1565" s="27"/>
      <c r="I1565" s="27"/>
      <c r="J1565" s="27"/>
      <c r="K1565" s="27"/>
    </row>
    <row r="1566" spans="1:11" x14ac:dyDescent="0.2">
      <c r="A1566" s="26"/>
      <c r="B1566" s="14" t="str">
        <f>IF(A1566="","",CHOOSE(WEEKDAY(A1566),"日","月","火","水","木","金","土"))</f>
        <v/>
      </c>
      <c r="C1566" s="27"/>
      <c r="D1566" s="27"/>
      <c r="E1566" s="14" t="str">
        <f>IF(F1566="","",IFERROR(INDEX(マスター!$F$5:$F$200,MATCH(F1566,マスター!$E$5:$E$200,0)),"※マスター未登録"))</f>
        <v/>
      </c>
      <c r="F1566" s="27"/>
      <c r="G1566" s="27"/>
      <c r="H1566" s="27"/>
      <c r="I1566" s="27"/>
      <c r="J1566" s="27"/>
      <c r="K1566" s="27"/>
    </row>
    <row r="1567" spans="1:11" x14ac:dyDescent="0.2">
      <c r="A1567" s="26"/>
      <c r="B1567" s="14" t="str">
        <f>IF(A1567="","",CHOOSE(WEEKDAY(A1567),"日","月","火","水","木","金","土"))</f>
        <v/>
      </c>
      <c r="C1567" s="27"/>
      <c r="D1567" s="27"/>
      <c r="E1567" s="14" t="str">
        <f>IF(F1567="","",IFERROR(INDEX(マスター!$F$5:$F$200,MATCH(F1567,マスター!$E$5:$E$200,0)),"※マスター未登録"))</f>
        <v/>
      </c>
      <c r="F1567" s="27"/>
      <c r="G1567" s="27"/>
      <c r="H1567" s="27"/>
      <c r="I1567" s="27"/>
      <c r="J1567" s="27"/>
      <c r="K1567" s="27"/>
    </row>
    <row r="1568" spans="1:11" x14ac:dyDescent="0.2">
      <c r="A1568" s="26"/>
      <c r="B1568" s="14" t="str">
        <f>IF(A1568="","",CHOOSE(WEEKDAY(A1568),"日","月","火","水","木","金","土"))</f>
        <v/>
      </c>
      <c r="C1568" s="27"/>
      <c r="D1568" s="27"/>
      <c r="E1568" s="14" t="str">
        <f>IF(F1568="","",IFERROR(INDEX(マスター!$F$5:$F$200,MATCH(F1568,マスター!$E$5:$E$200,0)),"※マスター未登録"))</f>
        <v/>
      </c>
      <c r="F1568" s="27"/>
      <c r="G1568" s="27"/>
      <c r="H1568" s="27"/>
      <c r="I1568" s="27"/>
      <c r="J1568" s="27"/>
      <c r="K1568" s="27"/>
    </row>
    <row r="1569" spans="1:11" x14ac:dyDescent="0.2">
      <c r="A1569" s="26"/>
      <c r="B1569" s="14" t="str">
        <f>IF(A1569="","",CHOOSE(WEEKDAY(A1569),"日","月","火","水","木","金","土"))</f>
        <v/>
      </c>
      <c r="C1569" s="27"/>
      <c r="D1569" s="27"/>
      <c r="E1569" s="14" t="str">
        <f>IF(F1569="","",IFERROR(INDEX(マスター!$F$5:$F$200,MATCH(F1569,マスター!$E$5:$E$200,0)),"※マスター未登録"))</f>
        <v/>
      </c>
      <c r="F1569" s="27"/>
      <c r="G1569" s="27"/>
      <c r="H1569" s="27"/>
      <c r="I1569" s="27"/>
      <c r="J1569" s="27"/>
      <c r="K1569" s="27"/>
    </row>
    <row r="1570" spans="1:11" x14ac:dyDescent="0.2">
      <c r="A1570" s="26"/>
      <c r="B1570" s="14" t="str">
        <f>IF(A1570="","",CHOOSE(WEEKDAY(A1570),"日","月","火","水","木","金","土"))</f>
        <v/>
      </c>
      <c r="C1570" s="27"/>
      <c r="D1570" s="27"/>
      <c r="E1570" s="14" t="str">
        <f>IF(F1570="","",IFERROR(INDEX(マスター!$F$5:$F$200,MATCH(F1570,マスター!$E$5:$E$200,0)),"※マスター未登録"))</f>
        <v/>
      </c>
      <c r="F1570" s="27"/>
      <c r="G1570" s="27"/>
      <c r="H1570" s="27"/>
      <c r="I1570" s="27"/>
      <c r="J1570" s="27"/>
      <c r="K1570" s="27"/>
    </row>
    <row r="1571" spans="1:11" x14ac:dyDescent="0.2">
      <c r="A1571" s="26"/>
      <c r="B1571" s="14" t="str">
        <f>IF(A1571="","",CHOOSE(WEEKDAY(A1571),"日","月","火","水","木","金","土"))</f>
        <v/>
      </c>
      <c r="C1571" s="27"/>
      <c r="D1571" s="27"/>
      <c r="E1571" s="14" t="str">
        <f>IF(F1571="","",IFERROR(INDEX(マスター!$F$5:$F$200,MATCH(F1571,マスター!$E$5:$E$200,0)),"※マスター未登録"))</f>
        <v/>
      </c>
      <c r="F1571" s="27"/>
      <c r="G1571" s="27"/>
      <c r="H1571" s="27"/>
      <c r="I1571" s="27"/>
      <c r="J1571" s="27"/>
      <c r="K1571" s="27"/>
    </row>
    <row r="1572" spans="1:11" x14ac:dyDescent="0.2">
      <c r="A1572" s="26"/>
      <c r="B1572" s="14" t="str">
        <f>IF(A1572="","",CHOOSE(WEEKDAY(A1572),"日","月","火","水","木","金","土"))</f>
        <v/>
      </c>
      <c r="C1572" s="27"/>
      <c r="D1572" s="27"/>
      <c r="E1572" s="14" t="str">
        <f>IF(F1572="","",IFERROR(INDEX(マスター!$F$5:$F$200,MATCH(F1572,マスター!$E$5:$E$200,0)),"※マスター未登録"))</f>
        <v/>
      </c>
      <c r="F1572" s="27"/>
      <c r="G1572" s="27"/>
      <c r="H1572" s="27"/>
      <c r="I1572" s="27"/>
      <c r="J1572" s="27"/>
      <c r="K1572" s="27"/>
    </row>
    <row r="1573" spans="1:11" x14ac:dyDescent="0.2">
      <c r="A1573" s="26"/>
      <c r="B1573" s="14" t="str">
        <f>IF(A1573="","",CHOOSE(WEEKDAY(A1573),"日","月","火","水","木","金","土"))</f>
        <v/>
      </c>
      <c r="C1573" s="27"/>
      <c r="D1573" s="27"/>
      <c r="E1573" s="14" t="str">
        <f>IF(F1573="","",IFERROR(INDEX(マスター!$F$5:$F$200,MATCH(F1573,マスター!$E$5:$E$200,0)),"※マスター未登録"))</f>
        <v/>
      </c>
      <c r="F1573" s="27"/>
      <c r="G1573" s="27"/>
      <c r="H1573" s="27"/>
      <c r="I1573" s="27"/>
      <c r="J1573" s="27"/>
      <c r="K1573" s="27"/>
    </row>
    <row r="1574" spans="1:11" x14ac:dyDescent="0.2">
      <c r="A1574" s="26"/>
      <c r="B1574" s="14" t="str">
        <f>IF(A1574="","",CHOOSE(WEEKDAY(A1574),"日","月","火","水","木","金","土"))</f>
        <v/>
      </c>
      <c r="C1574" s="27"/>
      <c r="D1574" s="27"/>
      <c r="E1574" s="14" t="str">
        <f>IF(F1574="","",IFERROR(INDEX(マスター!$F$5:$F$200,MATCH(F1574,マスター!$E$5:$E$200,0)),"※マスター未登録"))</f>
        <v/>
      </c>
      <c r="F1574" s="27"/>
      <c r="G1574" s="27"/>
      <c r="H1574" s="27"/>
      <c r="I1574" s="27"/>
      <c r="J1574" s="27"/>
      <c r="K1574" s="27"/>
    </row>
    <row r="1575" spans="1:11" x14ac:dyDescent="0.2">
      <c r="A1575" s="26"/>
      <c r="B1575" s="14" t="str">
        <f>IF(A1575="","",CHOOSE(WEEKDAY(A1575),"日","月","火","水","木","金","土"))</f>
        <v/>
      </c>
      <c r="C1575" s="27"/>
      <c r="D1575" s="27"/>
      <c r="E1575" s="14" t="str">
        <f>IF(F1575="","",IFERROR(INDEX(マスター!$F$5:$F$200,MATCH(F1575,マスター!$E$5:$E$200,0)),"※マスター未登録"))</f>
        <v/>
      </c>
      <c r="F1575" s="27"/>
      <c r="G1575" s="27"/>
      <c r="H1575" s="27"/>
      <c r="I1575" s="27"/>
      <c r="J1575" s="27"/>
      <c r="K1575" s="27"/>
    </row>
    <row r="1576" spans="1:11" x14ac:dyDescent="0.2">
      <c r="A1576" s="26"/>
      <c r="B1576" s="14" t="str">
        <f>IF(A1576="","",CHOOSE(WEEKDAY(A1576),"日","月","火","水","木","金","土"))</f>
        <v/>
      </c>
      <c r="C1576" s="27"/>
      <c r="D1576" s="27"/>
      <c r="E1576" s="14" t="str">
        <f>IF(F1576="","",IFERROR(INDEX(マスター!$F$5:$F$200,MATCH(F1576,マスター!$E$5:$E$200,0)),"※マスター未登録"))</f>
        <v/>
      </c>
      <c r="F1576" s="27"/>
      <c r="G1576" s="27"/>
      <c r="H1576" s="27"/>
      <c r="I1576" s="27"/>
      <c r="J1576" s="27"/>
      <c r="K1576" s="27"/>
    </row>
    <row r="1577" spans="1:11" x14ac:dyDescent="0.2">
      <c r="A1577" s="26"/>
      <c r="B1577" s="14" t="str">
        <f>IF(A1577="","",CHOOSE(WEEKDAY(A1577),"日","月","火","水","木","金","土"))</f>
        <v/>
      </c>
      <c r="C1577" s="27"/>
      <c r="D1577" s="27"/>
      <c r="E1577" s="14" t="str">
        <f>IF(F1577="","",IFERROR(INDEX(マスター!$F$5:$F$200,MATCH(F1577,マスター!$E$5:$E$200,0)),"※マスター未登録"))</f>
        <v/>
      </c>
      <c r="F1577" s="27"/>
      <c r="G1577" s="27"/>
      <c r="H1577" s="27"/>
      <c r="I1577" s="27"/>
      <c r="J1577" s="27"/>
      <c r="K1577" s="27"/>
    </row>
    <row r="1578" spans="1:11" x14ac:dyDescent="0.2">
      <c r="A1578" s="26"/>
      <c r="B1578" s="14" t="str">
        <f>IF(A1578="","",CHOOSE(WEEKDAY(A1578),"日","月","火","水","木","金","土"))</f>
        <v/>
      </c>
      <c r="C1578" s="27"/>
      <c r="D1578" s="27"/>
      <c r="E1578" s="14" t="str">
        <f>IF(F1578="","",IFERROR(INDEX(マスター!$F$5:$F$200,MATCH(F1578,マスター!$E$5:$E$200,0)),"※マスター未登録"))</f>
        <v/>
      </c>
      <c r="F1578" s="27"/>
      <c r="G1578" s="27"/>
      <c r="H1578" s="27"/>
      <c r="I1578" s="27"/>
      <c r="J1578" s="27"/>
      <c r="K1578" s="27"/>
    </row>
    <row r="1579" spans="1:11" x14ac:dyDescent="0.2">
      <c r="A1579" s="26"/>
      <c r="B1579" s="14" t="str">
        <f>IF(A1579="","",CHOOSE(WEEKDAY(A1579),"日","月","火","水","木","金","土"))</f>
        <v/>
      </c>
      <c r="C1579" s="27"/>
      <c r="D1579" s="27"/>
      <c r="E1579" s="14" t="str">
        <f>IF(F1579="","",IFERROR(INDEX(マスター!$F$5:$F$200,MATCH(F1579,マスター!$E$5:$E$200,0)),"※マスター未登録"))</f>
        <v/>
      </c>
      <c r="F1579" s="27"/>
      <c r="G1579" s="27"/>
      <c r="H1579" s="27"/>
      <c r="I1579" s="27"/>
      <c r="J1579" s="27"/>
      <c r="K1579" s="27"/>
    </row>
    <row r="1580" spans="1:11" x14ac:dyDescent="0.2">
      <c r="A1580" s="26"/>
      <c r="B1580" s="14" t="str">
        <f>IF(A1580="","",CHOOSE(WEEKDAY(A1580),"日","月","火","水","木","金","土"))</f>
        <v/>
      </c>
      <c r="C1580" s="27"/>
      <c r="D1580" s="27"/>
      <c r="E1580" s="14" t="str">
        <f>IF(F1580="","",IFERROR(INDEX(マスター!$F$5:$F$200,MATCH(F1580,マスター!$E$5:$E$200,0)),"※マスター未登録"))</f>
        <v/>
      </c>
      <c r="F1580" s="27"/>
      <c r="G1580" s="27"/>
      <c r="H1580" s="27"/>
      <c r="I1580" s="27"/>
      <c r="J1580" s="27"/>
      <c r="K1580" s="27"/>
    </row>
    <row r="1581" spans="1:11" x14ac:dyDescent="0.2">
      <c r="A1581" s="26"/>
      <c r="B1581" s="14" t="str">
        <f>IF(A1581="","",CHOOSE(WEEKDAY(A1581),"日","月","火","水","木","金","土"))</f>
        <v/>
      </c>
      <c r="C1581" s="27"/>
      <c r="D1581" s="27"/>
      <c r="E1581" s="14" t="str">
        <f>IF(F1581="","",IFERROR(INDEX(マスター!$F$5:$F$200,MATCH(F1581,マスター!$E$5:$E$200,0)),"※マスター未登録"))</f>
        <v/>
      </c>
      <c r="F1581" s="27"/>
      <c r="G1581" s="27"/>
      <c r="H1581" s="27"/>
      <c r="I1581" s="27"/>
      <c r="J1581" s="27"/>
      <c r="K1581" s="27"/>
    </row>
    <row r="1582" spans="1:11" x14ac:dyDescent="0.2">
      <c r="A1582" s="26"/>
      <c r="B1582" s="14" t="str">
        <f>IF(A1582="","",CHOOSE(WEEKDAY(A1582),"日","月","火","水","木","金","土"))</f>
        <v/>
      </c>
      <c r="C1582" s="27"/>
      <c r="D1582" s="27"/>
      <c r="E1582" s="14" t="str">
        <f>IF(F1582="","",IFERROR(INDEX(マスター!$F$5:$F$200,MATCH(F1582,マスター!$E$5:$E$200,0)),"※マスター未登録"))</f>
        <v/>
      </c>
      <c r="F1582" s="27"/>
      <c r="G1582" s="27"/>
      <c r="H1582" s="27"/>
      <c r="I1582" s="27"/>
      <c r="J1582" s="27"/>
      <c r="K1582" s="27"/>
    </row>
    <row r="1583" spans="1:11" x14ac:dyDescent="0.2">
      <c r="A1583" s="26"/>
      <c r="B1583" s="14" t="str">
        <f>IF(A1583="","",CHOOSE(WEEKDAY(A1583),"日","月","火","水","木","金","土"))</f>
        <v/>
      </c>
      <c r="C1583" s="27"/>
      <c r="D1583" s="27"/>
      <c r="E1583" s="14" t="str">
        <f>IF(F1583="","",IFERROR(INDEX(マスター!$F$5:$F$200,MATCH(F1583,マスター!$E$5:$E$200,0)),"※マスター未登録"))</f>
        <v/>
      </c>
      <c r="F1583" s="27"/>
      <c r="G1583" s="27"/>
      <c r="H1583" s="27"/>
      <c r="I1583" s="27"/>
      <c r="J1583" s="27"/>
      <c r="K1583" s="27"/>
    </row>
    <row r="1584" spans="1:11" x14ac:dyDescent="0.2">
      <c r="A1584" s="26"/>
      <c r="B1584" s="14" t="str">
        <f>IF(A1584="","",CHOOSE(WEEKDAY(A1584),"日","月","火","水","木","金","土"))</f>
        <v/>
      </c>
      <c r="C1584" s="27"/>
      <c r="D1584" s="27"/>
      <c r="E1584" s="14" t="str">
        <f>IF(F1584="","",IFERROR(INDEX(マスター!$F$5:$F$200,MATCH(F1584,マスター!$E$5:$E$200,0)),"※マスター未登録"))</f>
        <v/>
      </c>
      <c r="F1584" s="27"/>
      <c r="G1584" s="27"/>
      <c r="H1584" s="27"/>
      <c r="I1584" s="27"/>
      <c r="J1584" s="27"/>
      <c r="K1584" s="27"/>
    </row>
    <row r="1585" spans="1:11" x14ac:dyDescent="0.2">
      <c r="A1585" s="26"/>
      <c r="B1585" s="14" t="str">
        <f>IF(A1585="","",CHOOSE(WEEKDAY(A1585),"日","月","火","水","木","金","土"))</f>
        <v/>
      </c>
      <c r="C1585" s="27"/>
      <c r="D1585" s="27"/>
      <c r="E1585" s="14" t="str">
        <f>IF(F1585="","",IFERROR(INDEX(マスター!$F$5:$F$200,MATCH(F1585,マスター!$E$5:$E$200,0)),"※マスター未登録"))</f>
        <v/>
      </c>
      <c r="F1585" s="27"/>
      <c r="G1585" s="27"/>
      <c r="H1585" s="27"/>
      <c r="I1585" s="27"/>
      <c r="J1585" s="27"/>
      <c r="K1585" s="27"/>
    </row>
    <row r="1586" spans="1:11" x14ac:dyDescent="0.2">
      <c r="A1586" s="26"/>
      <c r="B1586" s="14" t="str">
        <f>IF(A1586="","",CHOOSE(WEEKDAY(A1586),"日","月","火","水","木","金","土"))</f>
        <v/>
      </c>
      <c r="C1586" s="27"/>
      <c r="D1586" s="27"/>
      <c r="E1586" s="14" t="str">
        <f>IF(F1586="","",IFERROR(INDEX(マスター!$F$5:$F$200,MATCH(F1586,マスター!$E$5:$E$200,0)),"※マスター未登録"))</f>
        <v/>
      </c>
      <c r="F1586" s="27"/>
      <c r="G1586" s="27"/>
      <c r="H1586" s="27"/>
      <c r="I1586" s="27"/>
      <c r="J1586" s="27"/>
      <c r="K1586" s="27"/>
    </row>
    <row r="1587" spans="1:11" x14ac:dyDescent="0.2">
      <c r="A1587" s="26"/>
      <c r="B1587" s="14" t="str">
        <f>IF(A1587="","",CHOOSE(WEEKDAY(A1587),"日","月","火","水","木","金","土"))</f>
        <v/>
      </c>
      <c r="C1587" s="27"/>
      <c r="D1587" s="27"/>
      <c r="E1587" s="14" t="str">
        <f>IF(F1587="","",IFERROR(INDEX(マスター!$F$5:$F$200,MATCH(F1587,マスター!$E$5:$E$200,0)),"※マスター未登録"))</f>
        <v/>
      </c>
      <c r="F1587" s="27"/>
      <c r="G1587" s="27"/>
      <c r="H1587" s="27"/>
      <c r="I1587" s="27"/>
      <c r="J1587" s="27"/>
      <c r="K1587" s="27"/>
    </row>
    <row r="1588" spans="1:11" x14ac:dyDescent="0.2">
      <c r="A1588" s="26"/>
      <c r="B1588" s="14" t="str">
        <f>IF(A1588="","",CHOOSE(WEEKDAY(A1588),"日","月","火","水","木","金","土"))</f>
        <v/>
      </c>
      <c r="C1588" s="27"/>
      <c r="D1588" s="27"/>
      <c r="E1588" s="14" t="str">
        <f>IF(F1588="","",IFERROR(INDEX(マスター!$F$5:$F$200,MATCH(F1588,マスター!$E$5:$E$200,0)),"※マスター未登録"))</f>
        <v/>
      </c>
      <c r="F1588" s="27"/>
      <c r="G1588" s="27"/>
      <c r="H1588" s="27"/>
      <c r="I1588" s="27"/>
      <c r="J1588" s="27"/>
      <c r="K1588" s="27"/>
    </row>
    <row r="1589" spans="1:11" x14ac:dyDescent="0.2">
      <c r="A1589" s="26"/>
      <c r="B1589" s="14" t="str">
        <f>IF(A1589="","",CHOOSE(WEEKDAY(A1589),"日","月","火","水","木","金","土"))</f>
        <v/>
      </c>
      <c r="C1589" s="27"/>
      <c r="D1589" s="27"/>
      <c r="E1589" s="14" t="str">
        <f>IF(F1589="","",IFERROR(INDEX(マスター!$F$5:$F$200,MATCH(F1589,マスター!$E$5:$E$200,0)),"※マスター未登録"))</f>
        <v/>
      </c>
      <c r="F1589" s="27"/>
      <c r="G1589" s="27"/>
      <c r="H1589" s="27"/>
      <c r="I1589" s="27"/>
      <c r="J1589" s="27"/>
      <c r="K1589" s="27"/>
    </row>
    <row r="1590" spans="1:11" x14ac:dyDescent="0.2">
      <c r="A1590" s="26"/>
      <c r="B1590" s="14" t="str">
        <f>IF(A1590="","",CHOOSE(WEEKDAY(A1590),"日","月","火","水","木","金","土"))</f>
        <v/>
      </c>
      <c r="C1590" s="27"/>
      <c r="D1590" s="27"/>
      <c r="E1590" s="14" t="str">
        <f>IF(F1590="","",IFERROR(INDEX(マスター!$F$5:$F$200,MATCH(F1590,マスター!$E$5:$E$200,0)),"※マスター未登録"))</f>
        <v/>
      </c>
      <c r="F1590" s="27"/>
      <c r="G1590" s="27"/>
      <c r="H1590" s="27"/>
      <c r="I1590" s="27"/>
      <c r="J1590" s="27"/>
      <c r="K1590" s="27"/>
    </row>
    <row r="1591" spans="1:11" x14ac:dyDescent="0.2">
      <c r="A1591" s="26"/>
      <c r="B1591" s="14" t="str">
        <f>IF(A1591="","",CHOOSE(WEEKDAY(A1591),"日","月","火","水","木","金","土"))</f>
        <v/>
      </c>
      <c r="C1591" s="27"/>
      <c r="D1591" s="27"/>
      <c r="E1591" s="14" t="str">
        <f>IF(F1591="","",IFERROR(INDEX(マスター!$F$5:$F$200,MATCH(F1591,マスター!$E$5:$E$200,0)),"※マスター未登録"))</f>
        <v/>
      </c>
      <c r="F1591" s="27"/>
      <c r="G1591" s="27"/>
      <c r="H1591" s="27"/>
      <c r="I1591" s="27"/>
      <c r="J1591" s="27"/>
      <c r="K1591" s="27"/>
    </row>
    <row r="1592" spans="1:11" x14ac:dyDescent="0.2">
      <c r="A1592" s="26"/>
      <c r="B1592" s="14" t="str">
        <f>IF(A1592="","",CHOOSE(WEEKDAY(A1592),"日","月","火","水","木","金","土"))</f>
        <v/>
      </c>
      <c r="C1592" s="27"/>
      <c r="D1592" s="27"/>
      <c r="E1592" s="14" t="str">
        <f>IF(F1592="","",IFERROR(INDEX(マスター!$F$5:$F$200,MATCH(F1592,マスター!$E$5:$E$200,0)),"※マスター未登録"))</f>
        <v/>
      </c>
      <c r="F1592" s="27"/>
      <c r="G1592" s="27"/>
      <c r="H1592" s="27"/>
      <c r="I1592" s="27"/>
      <c r="J1592" s="27"/>
      <c r="K1592" s="27"/>
    </row>
    <row r="1593" spans="1:11" x14ac:dyDescent="0.2">
      <c r="A1593" s="26"/>
      <c r="B1593" s="14" t="str">
        <f>IF(A1593="","",CHOOSE(WEEKDAY(A1593),"日","月","火","水","木","金","土"))</f>
        <v/>
      </c>
      <c r="C1593" s="27"/>
      <c r="D1593" s="27"/>
      <c r="E1593" s="14" t="str">
        <f>IF(F1593="","",IFERROR(INDEX(マスター!$F$5:$F$200,MATCH(F1593,マスター!$E$5:$E$200,0)),"※マスター未登録"))</f>
        <v/>
      </c>
      <c r="F1593" s="27"/>
      <c r="G1593" s="27"/>
      <c r="H1593" s="27"/>
      <c r="I1593" s="27"/>
      <c r="J1593" s="27"/>
      <c r="K1593" s="27"/>
    </row>
    <row r="1594" spans="1:11" x14ac:dyDescent="0.2">
      <c r="A1594" s="26"/>
      <c r="B1594" s="14" t="str">
        <f>IF(A1594="","",CHOOSE(WEEKDAY(A1594),"日","月","火","水","木","金","土"))</f>
        <v/>
      </c>
      <c r="C1594" s="27"/>
      <c r="D1594" s="27"/>
      <c r="E1594" s="14" t="str">
        <f>IF(F1594="","",IFERROR(INDEX(マスター!$F$5:$F$200,MATCH(F1594,マスター!$E$5:$E$200,0)),"※マスター未登録"))</f>
        <v/>
      </c>
      <c r="F1594" s="27"/>
      <c r="G1594" s="27"/>
      <c r="H1594" s="27"/>
      <c r="I1594" s="27"/>
      <c r="J1594" s="27"/>
      <c r="K1594" s="27"/>
    </row>
    <row r="1595" spans="1:11" x14ac:dyDescent="0.2">
      <c r="A1595" s="26"/>
      <c r="B1595" s="14" t="str">
        <f>IF(A1595="","",CHOOSE(WEEKDAY(A1595),"日","月","火","水","木","金","土"))</f>
        <v/>
      </c>
      <c r="C1595" s="27"/>
      <c r="D1595" s="27"/>
      <c r="E1595" s="14" t="str">
        <f>IF(F1595="","",IFERROR(INDEX(マスター!$F$5:$F$200,MATCH(F1595,マスター!$E$5:$E$200,0)),"※マスター未登録"))</f>
        <v/>
      </c>
      <c r="F1595" s="27"/>
      <c r="G1595" s="27"/>
      <c r="H1595" s="27"/>
      <c r="I1595" s="27"/>
      <c r="J1595" s="27"/>
      <c r="K1595" s="27"/>
    </row>
    <row r="1596" spans="1:11" x14ac:dyDescent="0.2">
      <c r="A1596" s="26"/>
      <c r="B1596" s="14" t="str">
        <f>IF(A1596="","",CHOOSE(WEEKDAY(A1596),"日","月","火","水","木","金","土"))</f>
        <v/>
      </c>
      <c r="C1596" s="27"/>
      <c r="D1596" s="27"/>
      <c r="E1596" s="14" t="str">
        <f>IF(F1596="","",IFERROR(INDEX(マスター!$F$5:$F$200,MATCH(F1596,マスター!$E$5:$E$200,0)),"※マスター未登録"))</f>
        <v/>
      </c>
      <c r="F1596" s="27"/>
      <c r="G1596" s="27"/>
      <c r="H1596" s="27"/>
      <c r="I1596" s="27"/>
      <c r="J1596" s="27"/>
      <c r="K1596" s="27"/>
    </row>
    <row r="1597" spans="1:11" x14ac:dyDescent="0.2">
      <c r="A1597" s="26"/>
      <c r="B1597" s="14" t="str">
        <f>IF(A1597="","",CHOOSE(WEEKDAY(A1597),"日","月","火","水","木","金","土"))</f>
        <v/>
      </c>
      <c r="C1597" s="27"/>
      <c r="D1597" s="27"/>
      <c r="E1597" s="14" t="str">
        <f>IF(F1597="","",IFERROR(INDEX(マスター!$F$5:$F$200,MATCH(F1597,マスター!$E$5:$E$200,0)),"※マスター未登録"))</f>
        <v/>
      </c>
      <c r="F1597" s="27"/>
      <c r="G1597" s="27"/>
      <c r="H1597" s="27"/>
      <c r="I1597" s="27"/>
      <c r="J1597" s="27"/>
      <c r="K1597" s="27"/>
    </row>
    <row r="1598" spans="1:11" x14ac:dyDescent="0.2">
      <c r="A1598" s="26"/>
      <c r="B1598" s="14" t="str">
        <f>IF(A1598="","",CHOOSE(WEEKDAY(A1598),"日","月","火","水","木","金","土"))</f>
        <v/>
      </c>
      <c r="C1598" s="27"/>
      <c r="D1598" s="27"/>
      <c r="E1598" s="14" t="str">
        <f>IF(F1598="","",IFERROR(INDEX(マスター!$F$5:$F$200,MATCH(F1598,マスター!$E$5:$E$200,0)),"※マスター未登録"))</f>
        <v/>
      </c>
      <c r="F1598" s="27"/>
      <c r="G1598" s="27"/>
      <c r="H1598" s="27"/>
      <c r="I1598" s="27"/>
      <c r="J1598" s="27"/>
      <c r="K1598" s="27"/>
    </row>
    <row r="1599" spans="1:11" x14ac:dyDescent="0.2">
      <c r="A1599" s="26"/>
      <c r="B1599" s="14" t="str">
        <f>IF(A1599="","",CHOOSE(WEEKDAY(A1599),"日","月","火","水","木","金","土"))</f>
        <v/>
      </c>
      <c r="C1599" s="27"/>
      <c r="D1599" s="27"/>
      <c r="E1599" s="14" t="str">
        <f>IF(F1599="","",IFERROR(INDEX(マスター!$F$5:$F$200,MATCH(F1599,マスター!$E$5:$E$200,0)),"※マスター未登録"))</f>
        <v/>
      </c>
      <c r="F1599" s="27"/>
      <c r="G1599" s="27"/>
      <c r="H1599" s="27"/>
      <c r="I1599" s="27"/>
      <c r="J1599" s="27"/>
      <c r="K1599" s="27"/>
    </row>
    <row r="1600" spans="1:11" x14ac:dyDescent="0.2">
      <c r="A1600" s="26"/>
      <c r="B1600" s="14" t="str">
        <f>IF(A1600="","",CHOOSE(WEEKDAY(A1600),"日","月","火","水","木","金","土"))</f>
        <v/>
      </c>
      <c r="C1600" s="27"/>
      <c r="D1600" s="27"/>
      <c r="E1600" s="14" t="str">
        <f>IF(F1600="","",IFERROR(INDEX(マスター!$F$5:$F$200,MATCH(F1600,マスター!$E$5:$E$200,0)),"※マスター未登録"))</f>
        <v/>
      </c>
      <c r="F1600" s="27"/>
      <c r="G1600" s="27"/>
      <c r="H1600" s="27"/>
      <c r="I1600" s="27"/>
      <c r="J1600" s="27"/>
      <c r="K1600" s="27"/>
    </row>
    <row r="1601" spans="1:11" x14ac:dyDescent="0.2">
      <c r="A1601" s="26"/>
      <c r="B1601" s="14" t="str">
        <f>IF(A1601="","",CHOOSE(WEEKDAY(A1601),"日","月","火","水","木","金","土"))</f>
        <v/>
      </c>
      <c r="C1601" s="27"/>
      <c r="D1601" s="27"/>
      <c r="E1601" s="14" t="str">
        <f>IF(F1601="","",IFERROR(INDEX(マスター!$F$5:$F$200,MATCH(F1601,マスター!$E$5:$E$200,0)),"※マスター未登録"))</f>
        <v/>
      </c>
      <c r="F1601" s="27"/>
      <c r="G1601" s="27"/>
      <c r="H1601" s="27"/>
      <c r="I1601" s="27"/>
      <c r="J1601" s="27"/>
      <c r="K1601" s="27"/>
    </row>
    <row r="1602" spans="1:11" x14ac:dyDescent="0.2">
      <c r="A1602" s="26"/>
      <c r="B1602" s="14" t="str">
        <f>IF(A1602="","",CHOOSE(WEEKDAY(A1602),"日","月","火","水","木","金","土"))</f>
        <v/>
      </c>
      <c r="C1602" s="27"/>
      <c r="D1602" s="27"/>
      <c r="E1602" s="14" t="str">
        <f>IF(F1602="","",IFERROR(INDEX(マスター!$F$5:$F$200,MATCH(F1602,マスター!$E$5:$E$200,0)),"※マスター未登録"))</f>
        <v/>
      </c>
      <c r="F1602" s="27"/>
      <c r="G1602" s="27"/>
      <c r="H1602" s="27"/>
      <c r="I1602" s="27"/>
      <c r="J1602" s="27"/>
      <c r="K1602" s="27"/>
    </row>
    <row r="1603" spans="1:11" x14ac:dyDescent="0.2">
      <c r="A1603" s="26"/>
      <c r="B1603" s="14" t="str">
        <f>IF(A1603="","",CHOOSE(WEEKDAY(A1603),"日","月","火","水","木","金","土"))</f>
        <v/>
      </c>
      <c r="C1603" s="27"/>
      <c r="D1603" s="27"/>
      <c r="E1603" s="14" t="str">
        <f>IF(F1603="","",IFERROR(INDEX(マスター!$F$5:$F$200,MATCH(F1603,マスター!$E$5:$E$200,0)),"※マスター未登録"))</f>
        <v/>
      </c>
      <c r="F1603" s="27"/>
      <c r="G1603" s="27"/>
      <c r="H1603" s="27"/>
      <c r="I1603" s="27"/>
      <c r="J1603" s="27"/>
      <c r="K1603" s="27"/>
    </row>
    <row r="1604" spans="1:11" x14ac:dyDescent="0.2">
      <c r="A1604" s="26"/>
      <c r="B1604" s="14" t="str">
        <f>IF(A1604="","",CHOOSE(WEEKDAY(A1604),"日","月","火","水","木","金","土"))</f>
        <v/>
      </c>
      <c r="C1604" s="27"/>
      <c r="D1604" s="27"/>
      <c r="E1604" s="14" t="str">
        <f>IF(F1604="","",IFERROR(INDEX(マスター!$F$5:$F$200,MATCH(F1604,マスター!$E$5:$E$200,0)),"※マスター未登録"))</f>
        <v/>
      </c>
      <c r="F1604" s="27"/>
      <c r="G1604" s="27"/>
      <c r="H1604" s="27"/>
      <c r="I1604" s="27"/>
      <c r="J1604" s="27"/>
      <c r="K1604" s="27"/>
    </row>
    <row r="1605" spans="1:11" x14ac:dyDescent="0.2">
      <c r="A1605" s="26"/>
      <c r="B1605" s="14" t="str">
        <f>IF(A1605="","",CHOOSE(WEEKDAY(A1605),"日","月","火","水","木","金","土"))</f>
        <v/>
      </c>
      <c r="C1605" s="27"/>
      <c r="D1605" s="27"/>
      <c r="E1605" s="14" t="str">
        <f>IF(F1605="","",IFERROR(INDEX(マスター!$F$5:$F$200,MATCH(F1605,マスター!$E$5:$E$200,0)),"※マスター未登録"))</f>
        <v/>
      </c>
      <c r="F1605" s="27"/>
      <c r="G1605" s="27"/>
      <c r="H1605" s="27"/>
      <c r="I1605" s="27"/>
      <c r="J1605" s="27"/>
      <c r="K1605" s="27"/>
    </row>
    <row r="1606" spans="1:11" x14ac:dyDescent="0.2">
      <c r="A1606" s="26"/>
      <c r="B1606" s="14" t="str">
        <f>IF(A1606="","",CHOOSE(WEEKDAY(A1606),"日","月","火","水","木","金","土"))</f>
        <v/>
      </c>
      <c r="C1606" s="27"/>
      <c r="D1606" s="27"/>
      <c r="E1606" s="14" t="str">
        <f>IF(F1606="","",IFERROR(INDEX(マスター!$F$5:$F$200,MATCH(F1606,マスター!$E$5:$E$200,0)),"※マスター未登録"))</f>
        <v/>
      </c>
      <c r="F1606" s="27"/>
      <c r="G1606" s="27"/>
      <c r="H1606" s="27"/>
      <c r="I1606" s="27"/>
      <c r="J1606" s="27"/>
      <c r="K1606" s="27"/>
    </row>
    <row r="1607" spans="1:11" x14ac:dyDescent="0.2">
      <c r="A1607" s="26"/>
      <c r="B1607" s="14" t="str">
        <f>IF(A1607="","",CHOOSE(WEEKDAY(A1607),"日","月","火","水","木","金","土"))</f>
        <v/>
      </c>
      <c r="C1607" s="27"/>
      <c r="D1607" s="27"/>
      <c r="E1607" s="14" t="str">
        <f>IF(F1607="","",IFERROR(INDEX(マスター!$F$5:$F$200,MATCH(F1607,マスター!$E$5:$E$200,0)),"※マスター未登録"))</f>
        <v/>
      </c>
      <c r="F1607" s="27"/>
      <c r="G1607" s="27"/>
      <c r="H1607" s="27"/>
      <c r="I1607" s="27"/>
      <c r="J1607" s="27"/>
      <c r="K1607" s="27"/>
    </row>
    <row r="1608" spans="1:11" x14ac:dyDescent="0.2">
      <c r="A1608" s="26"/>
      <c r="B1608" s="14" t="str">
        <f>IF(A1608="","",CHOOSE(WEEKDAY(A1608),"日","月","火","水","木","金","土"))</f>
        <v/>
      </c>
      <c r="C1608" s="27"/>
      <c r="D1608" s="27"/>
      <c r="E1608" s="14" t="str">
        <f>IF(F1608="","",IFERROR(INDEX(マスター!$F$5:$F$200,MATCH(F1608,マスター!$E$5:$E$200,0)),"※マスター未登録"))</f>
        <v/>
      </c>
      <c r="F1608" s="27"/>
      <c r="G1608" s="27"/>
      <c r="H1608" s="27"/>
      <c r="I1608" s="27"/>
      <c r="J1608" s="27"/>
      <c r="K1608" s="27"/>
    </row>
    <row r="1609" spans="1:11" x14ac:dyDescent="0.2">
      <c r="A1609" s="26"/>
      <c r="B1609" s="14" t="str">
        <f>IF(A1609="","",CHOOSE(WEEKDAY(A1609),"日","月","火","水","木","金","土"))</f>
        <v/>
      </c>
      <c r="C1609" s="27"/>
      <c r="D1609" s="27"/>
      <c r="E1609" s="14" t="str">
        <f>IF(F1609="","",IFERROR(INDEX(マスター!$F$5:$F$200,MATCH(F1609,マスター!$E$5:$E$200,0)),"※マスター未登録"))</f>
        <v/>
      </c>
      <c r="F1609" s="27"/>
      <c r="G1609" s="27"/>
      <c r="H1609" s="27"/>
      <c r="I1609" s="27"/>
      <c r="J1609" s="27"/>
      <c r="K1609" s="27"/>
    </row>
    <row r="1610" spans="1:11" x14ac:dyDescent="0.2">
      <c r="A1610" s="26"/>
      <c r="B1610" s="14" t="str">
        <f>IF(A1610="","",CHOOSE(WEEKDAY(A1610),"日","月","火","水","木","金","土"))</f>
        <v/>
      </c>
      <c r="C1610" s="27"/>
      <c r="D1610" s="27"/>
      <c r="E1610" s="14" t="str">
        <f>IF(F1610="","",IFERROR(INDEX(マスター!$F$5:$F$200,MATCH(F1610,マスター!$E$5:$E$200,0)),"※マスター未登録"))</f>
        <v/>
      </c>
      <c r="F1610" s="27"/>
      <c r="G1610" s="27"/>
      <c r="H1610" s="27"/>
      <c r="I1610" s="27"/>
      <c r="J1610" s="27"/>
      <c r="K1610" s="27"/>
    </row>
    <row r="1611" spans="1:11" x14ac:dyDescent="0.2">
      <c r="A1611" s="26"/>
      <c r="B1611" s="14" t="str">
        <f>IF(A1611="","",CHOOSE(WEEKDAY(A1611),"日","月","火","水","木","金","土"))</f>
        <v/>
      </c>
      <c r="C1611" s="27"/>
      <c r="D1611" s="27"/>
      <c r="E1611" s="14" t="str">
        <f>IF(F1611="","",IFERROR(INDEX(マスター!$F$5:$F$200,MATCH(F1611,マスター!$E$5:$E$200,0)),"※マスター未登録"))</f>
        <v/>
      </c>
      <c r="F1611" s="27"/>
      <c r="G1611" s="27"/>
      <c r="H1611" s="27"/>
      <c r="I1611" s="27"/>
      <c r="J1611" s="27"/>
      <c r="K1611" s="27"/>
    </row>
    <row r="1612" spans="1:11" x14ac:dyDescent="0.2">
      <c r="A1612" s="26"/>
      <c r="B1612" s="14" t="str">
        <f>IF(A1612="","",CHOOSE(WEEKDAY(A1612),"日","月","火","水","木","金","土"))</f>
        <v/>
      </c>
      <c r="C1612" s="27"/>
      <c r="D1612" s="27"/>
      <c r="E1612" s="14" t="str">
        <f>IF(F1612="","",IFERROR(INDEX(マスター!$F$5:$F$200,MATCH(F1612,マスター!$E$5:$E$200,0)),"※マスター未登録"))</f>
        <v/>
      </c>
      <c r="F1612" s="27"/>
      <c r="G1612" s="27"/>
      <c r="H1612" s="27"/>
      <c r="I1612" s="27"/>
      <c r="J1612" s="27"/>
      <c r="K1612" s="27"/>
    </row>
    <row r="1613" spans="1:11" x14ac:dyDescent="0.2">
      <c r="A1613" s="26"/>
      <c r="B1613" s="14" t="str">
        <f>IF(A1613="","",CHOOSE(WEEKDAY(A1613),"日","月","火","水","木","金","土"))</f>
        <v/>
      </c>
      <c r="C1613" s="27"/>
      <c r="D1613" s="27"/>
      <c r="E1613" s="14" t="str">
        <f>IF(F1613="","",IFERROR(INDEX(マスター!$F$5:$F$200,MATCH(F1613,マスター!$E$5:$E$200,0)),"※マスター未登録"))</f>
        <v/>
      </c>
      <c r="F1613" s="27"/>
      <c r="G1613" s="27"/>
      <c r="H1613" s="27"/>
      <c r="I1613" s="27"/>
      <c r="J1613" s="27"/>
      <c r="K1613" s="27"/>
    </row>
    <row r="1614" spans="1:11" x14ac:dyDescent="0.2">
      <c r="A1614" s="26"/>
      <c r="B1614" s="14" t="str">
        <f>IF(A1614="","",CHOOSE(WEEKDAY(A1614),"日","月","火","水","木","金","土"))</f>
        <v/>
      </c>
      <c r="C1614" s="27"/>
      <c r="D1614" s="27"/>
      <c r="E1614" s="14" t="str">
        <f>IF(F1614="","",IFERROR(INDEX(マスター!$F$5:$F$200,MATCH(F1614,マスター!$E$5:$E$200,0)),"※マスター未登録"))</f>
        <v/>
      </c>
      <c r="F1614" s="27"/>
      <c r="G1614" s="27"/>
      <c r="H1614" s="27"/>
      <c r="I1614" s="27"/>
      <c r="J1614" s="27"/>
      <c r="K1614" s="27"/>
    </row>
    <row r="1615" spans="1:11" x14ac:dyDescent="0.2">
      <c r="A1615" s="26"/>
      <c r="B1615" s="14" t="str">
        <f>IF(A1615="","",CHOOSE(WEEKDAY(A1615),"日","月","火","水","木","金","土"))</f>
        <v/>
      </c>
      <c r="C1615" s="27"/>
      <c r="D1615" s="27"/>
      <c r="E1615" s="14" t="str">
        <f>IF(F1615="","",IFERROR(INDEX(マスター!$F$5:$F$200,MATCH(F1615,マスター!$E$5:$E$200,0)),"※マスター未登録"))</f>
        <v/>
      </c>
      <c r="F1615" s="27"/>
      <c r="G1615" s="27"/>
      <c r="H1615" s="27"/>
      <c r="I1615" s="27"/>
      <c r="J1615" s="27"/>
      <c r="K1615" s="27"/>
    </row>
    <row r="1616" spans="1:11" x14ac:dyDescent="0.2">
      <c r="A1616" s="26"/>
      <c r="B1616" s="14" t="str">
        <f>IF(A1616="","",CHOOSE(WEEKDAY(A1616),"日","月","火","水","木","金","土"))</f>
        <v/>
      </c>
      <c r="C1616" s="27"/>
      <c r="D1616" s="27"/>
      <c r="E1616" s="14" t="str">
        <f>IF(F1616="","",IFERROR(INDEX(マスター!$F$5:$F$200,MATCH(F1616,マスター!$E$5:$E$200,0)),"※マスター未登録"))</f>
        <v/>
      </c>
      <c r="F1616" s="27"/>
      <c r="G1616" s="27"/>
      <c r="H1616" s="27"/>
      <c r="I1616" s="27"/>
      <c r="J1616" s="27"/>
      <c r="K1616" s="27"/>
    </row>
    <row r="1617" spans="1:11" x14ac:dyDescent="0.2">
      <c r="A1617" s="26"/>
      <c r="B1617" s="14" t="str">
        <f>IF(A1617="","",CHOOSE(WEEKDAY(A1617),"日","月","火","水","木","金","土"))</f>
        <v/>
      </c>
      <c r="C1617" s="27"/>
      <c r="D1617" s="27"/>
      <c r="E1617" s="14" t="str">
        <f>IF(F1617="","",IFERROR(INDEX(マスター!$F$5:$F$200,MATCH(F1617,マスター!$E$5:$E$200,0)),"※マスター未登録"))</f>
        <v/>
      </c>
      <c r="F1617" s="27"/>
      <c r="G1617" s="27"/>
      <c r="H1617" s="27"/>
      <c r="I1617" s="27"/>
      <c r="J1617" s="27"/>
      <c r="K1617" s="27"/>
    </row>
    <row r="1618" spans="1:11" x14ac:dyDescent="0.2">
      <c r="A1618" s="26"/>
      <c r="B1618" s="14" t="str">
        <f>IF(A1618="","",CHOOSE(WEEKDAY(A1618),"日","月","火","水","木","金","土"))</f>
        <v/>
      </c>
      <c r="C1618" s="27"/>
      <c r="D1618" s="27"/>
      <c r="E1618" s="14" t="str">
        <f>IF(F1618="","",IFERROR(INDEX(マスター!$F$5:$F$200,MATCH(F1618,マスター!$E$5:$E$200,0)),"※マスター未登録"))</f>
        <v/>
      </c>
      <c r="F1618" s="27"/>
      <c r="G1618" s="27"/>
      <c r="H1618" s="27"/>
      <c r="I1618" s="27"/>
      <c r="J1618" s="27"/>
      <c r="K1618" s="27"/>
    </row>
    <row r="1619" spans="1:11" x14ac:dyDescent="0.2">
      <c r="A1619" s="26"/>
      <c r="B1619" s="14" t="str">
        <f>IF(A1619="","",CHOOSE(WEEKDAY(A1619),"日","月","火","水","木","金","土"))</f>
        <v/>
      </c>
      <c r="C1619" s="27"/>
      <c r="D1619" s="27"/>
      <c r="E1619" s="14" t="str">
        <f>IF(F1619="","",IFERROR(INDEX(マスター!$F$5:$F$200,MATCH(F1619,マスター!$E$5:$E$200,0)),"※マスター未登録"))</f>
        <v/>
      </c>
      <c r="F1619" s="27"/>
      <c r="G1619" s="27"/>
      <c r="H1619" s="27"/>
      <c r="I1619" s="27"/>
      <c r="J1619" s="27"/>
      <c r="K1619" s="27"/>
    </row>
    <row r="1620" spans="1:11" x14ac:dyDescent="0.2">
      <c r="A1620" s="26"/>
      <c r="B1620" s="14" t="str">
        <f>IF(A1620="","",CHOOSE(WEEKDAY(A1620),"日","月","火","水","木","金","土"))</f>
        <v/>
      </c>
      <c r="C1620" s="27"/>
      <c r="D1620" s="27"/>
      <c r="E1620" s="14" t="str">
        <f>IF(F1620="","",IFERROR(INDEX(マスター!$F$5:$F$200,MATCH(F1620,マスター!$E$5:$E$200,0)),"※マスター未登録"))</f>
        <v/>
      </c>
      <c r="F1620" s="27"/>
      <c r="G1620" s="27"/>
      <c r="H1620" s="27"/>
      <c r="I1620" s="27"/>
      <c r="J1620" s="27"/>
      <c r="K1620" s="27"/>
    </row>
    <row r="1621" spans="1:11" x14ac:dyDescent="0.2">
      <c r="A1621" s="26"/>
      <c r="B1621" s="14" t="str">
        <f>IF(A1621="","",CHOOSE(WEEKDAY(A1621),"日","月","火","水","木","金","土"))</f>
        <v/>
      </c>
      <c r="C1621" s="27"/>
      <c r="D1621" s="27"/>
      <c r="E1621" s="14" t="str">
        <f>IF(F1621="","",IFERROR(INDEX(マスター!$F$5:$F$200,MATCH(F1621,マスター!$E$5:$E$200,0)),"※マスター未登録"))</f>
        <v/>
      </c>
      <c r="F1621" s="27"/>
      <c r="G1621" s="27"/>
      <c r="H1621" s="27"/>
      <c r="I1621" s="27"/>
      <c r="J1621" s="27"/>
      <c r="K1621" s="27"/>
    </row>
    <row r="1622" spans="1:11" x14ac:dyDescent="0.2">
      <c r="A1622" s="26"/>
      <c r="B1622" s="14" t="str">
        <f>IF(A1622="","",CHOOSE(WEEKDAY(A1622),"日","月","火","水","木","金","土"))</f>
        <v/>
      </c>
      <c r="C1622" s="27"/>
      <c r="D1622" s="27"/>
      <c r="E1622" s="14" t="str">
        <f>IF(F1622="","",IFERROR(INDEX(マスター!$F$5:$F$200,MATCH(F1622,マスター!$E$5:$E$200,0)),"※マスター未登録"))</f>
        <v/>
      </c>
      <c r="F1622" s="27"/>
      <c r="G1622" s="27"/>
      <c r="H1622" s="27"/>
      <c r="I1622" s="27"/>
      <c r="J1622" s="27"/>
      <c r="K1622" s="27"/>
    </row>
    <row r="1623" spans="1:11" x14ac:dyDescent="0.2">
      <c r="A1623" s="26"/>
      <c r="B1623" s="14" t="str">
        <f>IF(A1623="","",CHOOSE(WEEKDAY(A1623),"日","月","火","水","木","金","土"))</f>
        <v/>
      </c>
      <c r="C1623" s="27"/>
      <c r="D1623" s="27"/>
      <c r="E1623" s="14" t="str">
        <f>IF(F1623="","",IFERROR(INDEX(マスター!$F$5:$F$200,MATCH(F1623,マスター!$E$5:$E$200,0)),"※マスター未登録"))</f>
        <v/>
      </c>
      <c r="F1623" s="27"/>
      <c r="G1623" s="27"/>
      <c r="H1623" s="27"/>
      <c r="I1623" s="27"/>
      <c r="J1623" s="27"/>
      <c r="K1623" s="27"/>
    </row>
    <row r="1624" spans="1:11" x14ac:dyDescent="0.2">
      <c r="A1624" s="26"/>
      <c r="B1624" s="14" t="str">
        <f>IF(A1624="","",CHOOSE(WEEKDAY(A1624),"日","月","火","水","木","金","土"))</f>
        <v/>
      </c>
      <c r="C1624" s="27"/>
      <c r="D1624" s="27"/>
      <c r="E1624" s="14" t="str">
        <f>IF(F1624="","",IFERROR(INDEX(マスター!$F$5:$F$200,MATCH(F1624,マスター!$E$5:$E$200,0)),"※マスター未登録"))</f>
        <v/>
      </c>
      <c r="F1624" s="27"/>
      <c r="G1624" s="27"/>
      <c r="H1624" s="27"/>
      <c r="I1624" s="27"/>
      <c r="J1624" s="27"/>
      <c r="K1624" s="27"/>
    </row>
    <row r="1625" spans="1:11" x14ac:dyDescent="0.2">
      <c r="A1625" s="26"/>
      <c r="B1625" s="14" t="str">
        <f>IF(A1625="","",CHOOSE(WEEKDAY(A1625),"日","月","火","水","木","金","土"))</f>
        <v/>
      </c>
      <c r="C1625" s="27"/>
      <c r="D1625" s="27"/>
      <c r="E1625" s="14" t="str">
        <f>IF(F1625="","",IFERROR(INDEX(マスター!$F$5:$F$200,MATCH(F1625,マスター!$E$5:$E$200,0)),"※マスター未登録"))</f>
        <v/>
      </c>
      <c r="F1625" s="27"/>
      <c r="G1625" s="27"/>
      <c r="H1625" s="27"/>
      <c r="I1625" s="27"/>
      <c r="J1625" s="27"/>
      <c r="K1625" s="27"/>
    </row>
    <row r="1626" spans="1:11" x14ac:dyDescent="0.2">
      <c r="A1626" s="26"/>
      <c r="B1626" s="14" t="str">
        <f>IF(A1626="","",CHOOSE(WEEKDAY(A1626),"日","月","火","水","木","金","土"))</f>
        <v/>
      </c>
      <c r="C1626" s="27"/>
      <c r="D1626" s="27"/>
      <c r="E1626" s="14" t="str">
        <f>IF(F1626="","",IFERROR(INDEX(マスター!$F$5:$F$200,MATCH(F1626,マスター!$E$5:$E$200,0)),"※マスター未登録"))</f>
        <v/>
      </c>
      <c r="F1626" s="27"/>
      <c r="G1626" s="27"/>
      <c r="H1626" s="27"/>
      <c r="I1626" s="27"/>
      <c r="J1626" s="27"/>
      <c r="K1626" s="27"/>
    </row>
    <row r="1627" spans="1:11" x14ac:dyDescent="0.2">
      <c r="A1627" s="26"/>
      <c r="B1627" s="14" t="str">
        <f>IF(A1627="","",CHOOSE(WEEKDAY(A1627),"日","月","火","水","木","金","土"))</f>
        <v/>
      </c>
      <c r="C1627" s="27"/>
      <c r="D1627" s="27"/>
      <c r="E1627" s="14" t="str">
        <f>IF(F1627="","",IFERROR(INDEX(マスター!$F$5:$F$200,MATCH(F1627,マスター!$E$5:$E$200,0)),"※マスター未登録"))</f>
        <v/>
      </c>
      <c r="F1627" s="27"/>
      <c r="G1627" s="27"/>
      <c r="H1627" s="27"/>
      <c r="I1627" s="27"/>
      <c r="J1627" s="27"/>
      <c r="K1627" s="27"/>
    </row>
    <row r="1628" spans="1:11" x14ac:dyDescent="0.2">
      <c r="A1628" s="26"/>
      <c r="B1628" s="14" t="str">
        <f>IF(A1628="","",CHOOSE(WEEKDAY(A1628),"日","月","火","水","木","金","土"))</f>
        <v/>
      </c>
      <c r="C1628" s="27"/>
      <c r="D1628" s="27"/>
      <c r="E1628" s="14" t="str">
        <f>IF(F1628="","",IFERROR(INDEX(マスター!$F$5:$F$200,MATCH(F1628,マスター!$E$5:$E$200,0)),"※マスター未登録"))</f>
        <v/>
      </c>
      <c r="F1628" s="27"/>
      <c r="G1628" s="27"/>
      <c r="H1628" s="27"/>
      <c r="I1628" s="27"/>
      <c r="J1628" s="27"/>
      <c r="K1628" s="27"/>
    </row>
    <row r="1629" spans="1:11" x14ac:dyDescent="0.2">
      <c r="A1629" s="26"/>
      <c r="B1629" s="14" t="str">
        <f>IF(A1629="","",CHOOSE(WEEKDAY(A1629),"日","月","火","水","木","金","土"))</f>
        <v/>
      </c>
      <c r="C1629" s="27"/>
      <c r="D1629" s="27"/>
      <c r="E1629" s="14" t="str">
        <f>IF(F1629="","",IFERROR(INDEX(マスター!$F$5:$F$200,MATCH(F1629,マスター!$E$5:$E$200,0)),"※マスター未登録"))</f>
        <v/>
      </c>
      <c r="F1629" s="27"/>
      <c r="G1629" s="27"/>
      <c r="H1629" s="27"/>
      <c r="I1629" s="27"/>
      <c r="J1629" s="27"/>
      <c r="K1629" s="27"/>
    </row>
    <row r="1630" spans="1:11" x14ac:dyDescent="0.2">
      <c r="A1630" s="26"/>
      <c r="B1630" s="14" t="str">
        <f>IF(A1630="","",CHOOSE(WEEKDAY(A1630),"日","月","火","水","木","金","土"))</f>
        <v/>
      </c>
      <c r="C1630" s="27"/>
      <c r="D1630" s="27"/>
      <c r="E1630" s="14" t="str">
        <f>IF(F1630="","",IFERROR(INDEX(マスター!$F$5:$F$200,MATCH(F1630,マスター!$E$5:$E$200,0)),"※マスター未登録"))</f>
        <v/>
      </c>
      <c r="F1630" s="27"/>
      <c r="G1630" s="27"/>
      <c r="H1630" s="27"/>
      <c r="I1630" s="27"/>
      <c r="J1630" s="27"/>
      <c r="K1630" s="27"/>
    </row>
    <row r="1631" spans="1:11" x14ac:dyDescent="0.2">
      <c r="A1631" s="26"/>
      <c r="B1631" s="14" t="str">
        <f>IF(A1631="","",CHOOSE(WEEKDAY(A1631),"日","月","火","水","木","金","土"))</f>
        <v/>
      </c>
      <c r="C1631" s="27"/>
      <c r="D1631" s="27"/>
      <c r="E1631" s="14" t="str">
        <f>IF(F1631="","",IFERROR(INDEX(マスター!$F$5:$F$200,MATCH(F1631,マスター!$E$5:$E$200,0)),"※マスター未登録"))</f>
        <v/>
      </c>
      <c r="F1631" s="27"/>
      <c r="G1631" s="27"/>
      <c r="H1631" s="27"/>
      <c r="I1631" s="27"/>
      <c r="J1631" s="27"/>
      <c r="K1631" s="27"/>
    </row>
    <row r="1632" spans="1:11" x14ac:dyDescent="0.2">
      <c r="A1632" s="26"/>
      <c r="B1632" s="14" t="str">
        <f>IF(A1632="","",CHOOSE(WEEKDAY(A1632),"日","月","火","水","木","金","土"))</f>
        <v/>
      </c>
      <c r="C1632" s="27"/>
      <c r="D1632" s="27"/>
      <c r="E1632" s="14" t="str">
        <f>IF(F1632="","",IFERROR(INDEX(マスター!$F$5:$F$200,MATCH(F1632,マスター!$E$5:$E$200,0)),"※マスター未登録"))</f>
        <v/>
      </c>
      <c r="F1632" s="27"/>
      <c r="G1632" s="27"/>
      <c r="H1632" s="27"/>
      <c r="I1632" s="27"/>
      <c r="J1632" s="27"/>
      <c r="K1632" s="27"/>
    </row>
    <row r="1633" spans="1:11" x14ac:dyDescent="0.2">
      <c r="A1633" s="26"/>
      <c r="B1633" s="14" t="str">
        <f>IF(A1633="","",CHOOSE(WEEKDAY(A1633),"日","月","火","水","木","金","土"))</f>
        <v/>
      </c>
      <c r="C1633" s="27"/>
      <c r="D1633" s="27"/>
      <c r="E1633" s="14" t="str">
        <f>IF(F1633="","",IFERROR(INDEX(マスター!$F$5:$F$200,MATCH(F1633,マスター!$E$5:$E$200,0)),"※マスター未登録"))</f>
        <v/>
      </c>
      <c r="F1633" s="27"/>
      <c r="G1633" s="27"/>
      <c r="H1633" s="27"/>
      <c r="I1633" s="27"/>
      <c r="J1633" s="27"/>
      <c r="K1633" s="27"/>
    </row>
    <row r="1634" spans="1:11" x14ac:dyDescent="0.2">
      <c r="A1634" s="26"/>
      <c r="B1634" s="14" t="str">
        <f>IF(A1634="","",CHOOSE(WEEKDAY(A1634),"日","月","火","水","木","金","土"))</f>
        <v/>
      </c>
      <c r="C1634" s="27"/>
      <c r="D1634" s="27"/>
      <c r="E1634" s="14" t="str">
        <f>IF(F1634="","",IFERROR(INDEX(マスター!$F$5:$F$200,MATCH(F1634,マスター!$E$5:$E$200,0)),"※マスター未登録"))</f>
        <v/>
      </c>
      <c r="F1634" s="27"/>
      <c r="G1634" s="27"/>
      <c r="H1634" s="27"/>
      <c r="I1634" s="27"/>
      <c r="J1634" s="27"/>
      <c r="K1634" s="27"/>
    </row>
    <row r="1635" spans="1:11" x14ac:dyDescent="0.2">
      <c r="A1635" s="26"/>
      <c r="B1635" s="14" t="str">
        <f>IF(A1635="","",CHOOSE(WEEKDAY(A1635),"日","月","火","水","木","金","土"))</f>
        <v/>
      </c>
      <c r="C1635" s="27"/>
      <c r="D1635" s="27"/>
      <c r="E1635" s="14" t="str">
        <f>IF(F1635="","",IFERROR(INDEX(マスター!$F$5:$F$200,MATCH(F1635,マスター!$E$5:$E$200,0)),"※マスター未登録"))</f>
        <v/>
      </c>
      <c r="F1635" s="27"/>
      <c r="G1635" s="27"/>
      <c r="H1635" s="27"/>
      <c r="I1635" s="27"/>
      <c r="J1635" s="27"/>
      <c r="K1635" s="27"/>
    </row>
    <row r="1636" spans="1:11" x14ac:dyDescent="0.2">
      <c r="A1636" s="26"/>
      <c r="B1636" s="14" t="str">
        <f>IF(A1636="","",CHOOSE(WEEKDAY(A1636),"日","月","火","水","木","金","土"))</f>
        <v/>
      </c>
      <c r="C1636" s="27"/>
      <c r="D1636" s="27"/>
      <c r="E1636" s="14" t="str">
        <f>IF(F1636="","",IFERROR(INDEX(マスター!$F$5:$F$200,MATCH(F1636,マスター!$E$5:$E$200,0)),"※マスター未登録"))</f>
        <v/>
      </c>
      <c r="F1636" s="27"/>
      <c r="G1636" s="27"/>
      <c r="H1636" s="27"/>
      <c r="I1636" s="27"/>
      <c r="J1636" s="27"/>
      <c r="K1636" s="27"/>
    </row>
    <row r="1637" spans="1:11" x14ac:dyDescent="0.2">
      <c r="A1637" s="26"/>
      <c r="B1637" s="14" t="str">
        <f>IF(A1637="","",CHOOSE(WEEKDAY(A1637),"日","月","火","水","木","金","土"))</f>
        <v/>
      </c>
      <c r="C1637" s="27"/>
      <c r="D1637" s="27"/>
      <c r="E1637" s="14" t="str">
        <f>IF(F1637="","",IFERROR(INDEX(マスター!$F$5:$F$200,MATCH(F1637,マスター!$E$5:$E$200,0)),"※マスター未登録"))</f>
        <v/>
      </c>
      <c r="F1637" s="27"/>
      <c r="G1637" s="27"/>
      <c r="H1637" s="27"/>
      <c r="I1637" s="27"/>
      <c r="J1637" s="27"/>
      <c r="K1637" s="27"/>
    </row>
    <row r="1638" spans="1:11" x14ac:dyDescent="0.2">
      <c r="A1638" s="26"/>
      <c r="B1638" s="14" t="str">
        <f>IF(A1638="","",CHOOSE(WEEKDAY(A1638),"日","月","火","水","木","金","土"))</f>
        <v/>
      </c>
      <c r="C1638" s="27"/>
      <c r="D1638" s="27"/>
      <c r="E1638" s="14" t="str">
        <f>IF(F1638="","",IFERROR(INDEX(マスター!$F$5:$F$200,MATCH(F1638,マスター!$E$5:$E$200,0)),"※マスター未登録"))</f>
        <v/>
      </c>
      <c r="F1638" s="27"/>
      <c r="G1638" s="27"/>
      <c r="H1638" s="27"/>
      <c r="I1638" s="27"/>
      <c r="J1638" s="27"/>
      <c r="K1638" s="27"/>
    </row>
    <row r="1639" spans="1:11" x14ac:dyDescent="0.2">
      <c r="A1639" s="26"/>
      <c r="B1639" s="14" t="str">
        <f>IF(A1639="","",CHOOSE(WEEKDAY(A1639),"日","月","火","水","木","金","土"))</f>
        <v/>
      </c>
      <c r="C1639" s="27"/>
      <c r="D1639" s="27"/>
      <c r="E1639" s="14" t="str">
        <f>IF(F1639="","",IFERROR(INDEX(マスター!$F$5:$F$200,MATCH(F1639,マスター!$E$5:$E$200,0)),"※マスター未登録"))</f>
        <v/>
      </c>
      <c r="F1639" s="27"/>
      <c r="G1639" s="27"/>
      <c r="H1639" s="27"/>
      <c r="I1639" s="27"/>
      <c r="J1639" s="27"/>
      <c r="K1639" s="27"/>
    </row>
    <row r="1640" spans="1:11" x14ac:dyDescent="0.2">
      <c r="A1640" s="26"/>
      <c r="B1640" s="14" t="str">
        <f>IF(A1640="","",CHOOSE(WEEKDAY(A1640),"日","月","火","水","木","金","土"))</f>
        <v/>
      </c>
      <c r="C1640" s="27"/>
      <c r="D1640" s="27"/>
      <c r="E1640" s="14" t="str">
        <f>IF(F1640="","",IFERROR(INDEX(マスター!$F$5:$F$200,MATCH(F1640,マスター!$E$5:$E$200,0)),"※マスター未登録"))</f>
        <v/>
      </c>
      <c r="F1640" s="27"/>
      <c r="G1640" s="27"/>
      <c r="H1640" s="27"/>
      <c r="I1640" s="27"/>
      <c r="J1640" s="27"/>
      <c r="K1640" s="27"/>
    </row>
    <row r="1641" spans="1:11" x14ac:dyDescent="0.2">
      <c r="A1641" s="26"/>
      <c r="B1641" s="14" t="str">
        <f>IF(A1641="","",CHOOSE(WEEKDAY(A1641),"日","月","火","水","木","金","土"))</f>
        <v/>
      </c>
      <c r="C1641" s="27"/>
      <c r="D1641" s="27"/>
      <c r="E1641" s="14" t="str">
        <f>IF(F1641="","",IFERROR(INDEX(マスター!$F$5:$F$200,MATCH(F1641,マスター!$E$5:$E$200,0)),"※マスター未登録"))</f>
        <v/>
      </c>
      <c r="F1641" s="27"/>
      <c r="G1641" s="27"/>
      <c r="H1641" s="27"/>
      <c r="I1641" s="27"/>
      <c r="J1641" s="27"/>
      <c r="K1641" s="27"/>
    </row>
    <row r="1642" spans="1:11" x14ac:dyDescent="0.2">
      <c r="A1642" s="26"/>
      <c r="B1642" s="14" t="str">
        <f>IF(A1642="","",CHOOSE(WEEKDAY(A1642),"日","月","火","水","木","金","土"))</f>
        <v/>
      </c>
      <c r="C1642" s="27"/>
      <c r="D1642" s="27"/>
      <c r="E1642" s="14" t="str">
        <f>IF(F1642="","",IFERROR(INDEX(マスター!$F$5:$F$200,MATCH(F1642,マスター!$E$5:$E$200,0)),"※マスター未登録"))</f>
        <v/>
      </c>
      <c r="F1642" s="27"/>
      <c r="G1642" s="27"/>
      <c r="H1642" s="27"/>
      <c r="I1642" s="27"/>
      <c r="J1642" s="27"/>
      <c r="K1642" s="27"/>
    </row>
    <row r="1643" spans="1:11" x14ac:dyDescent="0.2">
      <c r="A1643" s="26"/>
      <c r="B1643" s="14" t="str">
        <f>IF(A1643="","",CHOOSE(WEEKDAY(A1643),"日","月","火","水","木","金","土"))</f>
        <v/>
      </c>
      <c r="C1643" s="27"/>
      <c r="D1643" s="27"/>
      <c r="E1643" s="14" t="str">
        <f>IF(F1643="","",IFERROR(INDEX(マスター!$F$5:$F$200,MATCH(F1643,マスター!$E$5:$E$200,0)),"※マスター未登録"))</f>
        <v/>
      </c>
      <c r="F1643" s="27"/>
      <c r="G1643" s="27"/>
      <c r="H1643" s="27"/>
      <c r="I1643" s="27"/>
      <c r="J1643" s="27"/>
      <c r="K1643" s="27"/>
    </row>
    <row r="1644" spans="1:11" x14ac:dyDescent="0.2">
      <c r="A1644" s="26"/>
      <c r="B1644" s="14" t="str">
        <f>IF(A1644="","",CHOOSE(WEEKDAY(A1644),"日","月","火","水","木","金","土"))</f>
        <v/>
      </c>
      <c r="C1644" s="27"/>
      <c r="D1644" s="27"/>
      <c r="E1644" s="14" t="str">
        <f>IF(F1644="","",IFERROR(INDEX(マスター!$F$5:$F$200,MATCH(F1644,マスター!$E$5:$E$200,0)),"※マスター未登録"))</f>
        <v/>
      </c>
      <c r="F1644" s="27"/>
      <c r="G1644" s="27"/>
      <c r="H1644" s="27"/>
      <c r="I1644" s="27"/>
      <c r="J1644" s="27"/>
      <c r="K1644" s="27"/>
    </row>
    <row r="1645" spans="1:11" x14ac:dyDescent="0.2">
      <c r="A1645" s="26"/>
      <c r="B1645" s="14" t="str">
        <f>IF(A1645="","",CHOOSE(WEEKDAY(A1645),"日","月","火","水","木","金","土"))</f>
        <v/>
      </c>
      <c r="C1645" s="27"/>
      <c r="D1645" s="27"/>
      <c r="E1645" s="14" t="str">
        <f>IF(F1645="","",IFERROR(INDEX(マスター!$F$5:$F$200,MATCH(F1645,マスター!$E$5:$E$200,0)),"※マスター未登録"))</f>
        <v/>
      </c>
      <c r="F1645" s="27"/>
      <c r="G1645" s="27"/>
      <c r="H1645" s="27"/>
      <c r="I1645" s="27"/>
      <c r="J1645" s="27"/>
      <c r="K1645" s="27"/>
    </row>
    <row r="1646" spans="1:11" x14ac:dyDescent="0.2">
      <c r="A1646" s="26"/>
      <c r="B1646" s="14" t="str">
        <f>IF(A1646="","",CHOOSE(WEEKDAY(A1646),"日","月","火","水","木","金","土"))</f>
        <v/>
      </c>
      <c r="C1646" s="27"/>
      <c r="D1646" s="27"/>
      <c r="E1646" s="14" t="str">
        <f>IF(F1646="","",IFERROR(INDEX(マスター!$F$5:$F$200,MATCH(F1646,マスター!$E$5:$E$200,0)),"※マスター未登録"))</f>
        <v/>
      </c>
      <c r="F1646" s="27"/>
      <c r="G1646" s="27"/>
      <c r="H1646" s="27"/>
      <c r="I1646" s="27"/>
      <c r="J1646" s="27"/>
      <c r="K1646" s="27"/>
    </row>
    <row r="1647" spans="1:11" x14ac:dyDescent="0.2">
      <c r="A1647" s="26"/>
      <c r="B1647" s="14" t="str">
        <f>IF(A1647="","",CHOOSE(WEEKDAY(A1647),"日","月","火","水","木","金","土"))</f>
        <v/>
      </c>
      <c r="C1647" s="27"/>
      <c r="D1647" s="27"/>
      <c r="E1647" s="14" t="str">
        <f>IF(F1647="","",IFERROR(INDEX(マスター!$F$5:$F$200,MATCH(F1647,マスター!$E$5:$E$200,0)),"※マスター未登録"))</f>
        <v/>
      </c>
      <c r="F1647" s="27"/>
      <c r="G1647" s="27"/>
      <c r="H1647" s="27"/>
      <c r="I1647" s="27"/>
      <c r="J1647" s="27"/>
      <c r="K1647" s="27"/>
    </row>
    <row r="1648" spans="1:11" x14ac:dyDescent="0.2">
      <c r="A1648" s="26"/>
      <c r="B1648" s="14" t="str">
        <f>IF(A1648="","",CHOOSE(WEEKDAY(A1648),"日","月","火","水","木","金","土"))</f>
        <v/>
      </c>
      <c r="C1648" s="27"/>
      <c r="D1648" s="27"/>
      <c r="E1648" s="14" t="str">
        <f>IF(F1648="","",IFERROR(INDEX(マスター!$F$5:$F$200,MATCH(F1648,マスター!$E$5:$E$200,0)),"※マスター未登録"))</f>
        <v/>
      </c>
      <c r="F1648" s="27"/>
      <c r="G1648" s="27"/>
      <c r="H1648" s="27"/>
      <c r="I1648" s="27"/>
      <c r="J1648" s="27"/>
      <c r="K1648" s="27"/>
    </row>
    <row r="1649" spans="1:11" x14ac:dyDescent="0.2">
      <c r="A1649" s="26"/>
      <c r="B1649" s="14" t="str">
        <f>IF(A1649="","",CHOOSE(WEEKDAY(A1649),"日","月","火","水","木","金","土"))</f>
        <v/>
      </c>
      <c r="C1649" s="27"/>
      <c r="D1649" s="27"/>
      <c r="E1649" s="14" t="str">
        <f>IF(F1649="","",IFERROR(INDEX(マスター!$F$5:$F$200,MATCH(F1649,マスター!$E$5:$E$200,0)),"※マスター未登録"))</f>
        <v/>
      </c>
      <c r="F1649" s="27"/>
      <c r="G1649" s="27"/>
      <c r="H1649" s="27"/>
      <c r="I1649" s="27"/>
      <c r="J1649" s="27"/>
      <c r="K1649" s="27"/>
    </row>
    <row r="1650" spans="1:11" x14ac:dyDescent="0.2">
      <c r="A1650" s="26"/>
      <c r="B1650" s="14" t="str">
        <f>IF(A1650="","",CHOOSE(WEEKDAY(A1650),"日","月","火","水","木","金","土"))</f>
        <v/>
      </c>
      <c r="C1650" s="27"/>
      <c r="D1650" s="27"/>
      <c r="E1650" s="14" t="str">
        <f>IF(F1650="","",IFERROR(INDEX(マスター!$F$5:$F$200,MATCH(F1650,マスター!$E$5:$E$200,0)),"※マスター未登録"))</f>
        <v/>
      </c>
      <c r="F1650" s="27"/>
      <c r="G1650" s="27"/>
      <c r="H1650" s="27"/>
      <c r="I1650" s="27"/>
      <c r="J1650" s="27"/>
      <c r="K1650" s="27"/>
    </row>
    <row r="1651" spans="1:11" x14ac:dyDescent="0.2">
      <c r="A1651" s="26"/>
      <c r="B1651" s="14" t="str">
        <f>IF(A1651="","",CHOOSE(WEEKDAY(A1651),"日","月","火","水","木","金","土"))</f>
        <v/>
      </c>
      <c r="C1651" s="27"/>
      <c r="D1651" s="27"/>
      <c r="E1651" s="14" t="str">
        <f>IF(F1651="","",IFERROR(INDEX(マスター!$F$5:$F$200,MATCH(F1651,マスター!$E$5:$E$200,0)),"※マスター未登録"))</f>
        <v/>
      </c>
      <c r="F1651" s="27"/>
      <c r="G1651" s="27"/>
      <c r="H1651" s="27"/>
      <c r="I1651" s="27"/>
      <c r="J1651" s="27"/>
      <c r="K1651" s="27"/>
    </row>
    <row r="1652" spans="1:11" x14ac:dyDescent="0.2">
      <c r="A1652" s="26"/>
      <c r="B1652" s="14" t="str">
        <f>IF(A1652="","",CHOOSE(WEEKDAY(A1652),"日","月","火","水","木","金","土"))</f>
        <v/>
      </c>
      <c r="C1652" s="27"/>
      <c r="D1652" s="27"/>
      <c r="E1652" s="14" t="str">
        <f>IF(F1652="","",IFERROR(INDEX(マスター!$F$5:$F$200,MATCH(F1652,マスター!$E$5:$E$200,0)),"※マスター未登録"))</f>
        <v/>
      </c>
      <c r="F1652" s="27"/>
      <c r="G1652" s="27"/>
      <c r="H1652" s="27"/>
      <c r="I1652" s="27"/>
      <c r="J1652" s="27"/>
      <c r="K1652" s="27"/>
    </row>
    <row r="1653" spans="1:11" x14ac:dyDescent="0.2">
      <c r="A1653" s="26"/>
      <c r="B1653" s="14" t="str">
        <f>IF(A1653="","",CHOOSE(WEEKDAY(A1653),"日","月","火","水","木","金","土"))</f>
        <v/>
      </c>
      <c r="C1653" s="27"/>
      <c r="D1653" s="27"/>
      <c r="E1653" s="14" t="str">
        <f>IF(F1653="","",IFERROR(INDEX(マスター!$F$5:$F$200,MATCH(F1653,マスター!$E$5:$E$200,0)),"※マスター未登録"))</f>
        <v/>
      </c>
      <c r="F1653" s="27"/>
      <c r="G1653" s="27"/>
      <c r="H1653" s="27"/>
      <c r="I1653" s="27"/>
      <c r="J1653" s="27"/>
      <c r="K1653" s="27"/>
    </row>
    <row r="1654" spans="1:11" x14ac:dyDescent="0.2">
      <c r="A1654" s="26"/>
      <c r="B1654" s="14" t="str">
        <f>IF(A1654="","",CHOOSE(WEEKDAY(A1654),"日","月","火","水","木","金","土"))</f>
        <v/>
      </c>
      <c r="C1654" s="27"/>
      <c r="D1654" s="27"/>
      <c r="E1654" s="14" t="str">
        <f>IF(F1654="","",IFERROR(INDEX(マスター!$F$5:$F$200,MATCH(F1654,マスター!$E$5:$E$200,0)),"※マスター未登録"))</f>
        <v/>
      </c>
      <c r="F1654" s="27"/>
      <c r="G1654" s="27"/>
      <c r="H1654" s="27"/>
      <c r="I1654" s="27"/>
      <c r="J1654" s="27"/>
      <c r="K1654" s="27"/>
    </row>
    <row r="1655" spans="1:11" x14ac:dyDescent="0.2">
      <c r="A1655" s="26"/>
      <c r="B1655" s="14" t="str">
        <f>IF(A1655="","",CHOOSE(WEEKDAY(A1655),"日","月","火","水","木","金","土"))</f>
        <v/>
      </c>
      <c r="C1655" s="27"/>
      <c r="D1655" s="27"/>
      <c r="E1655" s="14" t="str">
        <f>IF(F1655="","",IFERROR(INDEX(マスター!$F$5:$F$200,MATCH(F1655,マスター!$E$5:$E$200,0)),"※マスター未登録"))</f>
        <v/>
      </c>
      <c r="F1655" s="27"/>
      <c r="G1655" s="27"/>
      <c r="H1655" s="27"/>
      <c r="I1655" s="27"/>
      <c r="J1655" s="27"/>
      <c r="K1655" s="27"/>
    </row>
    <row r="1656" spans="1:11" x14ac:dyDescent="0.2">
      <c r="A1656" s="26"/>
      <c r="B1656" s="14" t="str">
        <f>IF(A1656="","",CHOOSE(WEEKDAY(A1656),"日","月","火","水","木","金","土"))</f>
        <v/>
      </c>
      <c r="C1656" s="27"/>
      <c r="D1656" s="27"/>
      <c r="E1656" s="14" t="str">
        <f>IF(F1656="","",IFERROR(INDEX(マスター!$F$5:$F$200,MATCH(F1656,マスター!$E$5:$E$200,0)),"※マスター未登録"))</f>
        <v/>
      </c>
      <c r="F1656" s="27"/>
      <c r="G1656" s="27"/>
      <c r="H1656" s="27"/>
      <c r="I1656" s="27"/>
      <c r="J1656" s="27"/>
      <c r="K1656" s="27"/>
    </row>
    <row r="1657" spans="1:11" x14ac:dyDescent="0.2">
      <c r="A1657" s="26"/>
      <c r="B1657" s="14" t="str">
        <f>IF(A1657="","",CHOOSE(WEEKDAY(A1657),"日","月","火","水","木","金","土"))</f>
        <v/>
      </c>
      <c r="C1657" s="27"/>
      <c r="D1657" s="27"/>
      <c r="E1657" s="14" t="str">
        <f>IF(F1657="","",IFERROR(INDEX(マスター!$F$5:$F$200,MATCH(F1657,マスター!$E$5:$E$200,0)),"※マスター未登録"))</f>
        <v/>
      </c>
      <c r="F1657" s="27"/>
      <c r="G1657" s="27"/>
      <c r="H1657" s="27"/>
      <c r="I1657" s="27"/>
      <c r="J1657" s="27"/>
      <c r="K1657" s="27"/>
    </row>
    <row r="1658" spans="1:11" x14ac:dyDescent="0.2">
      <c r="A1658" s="26"/>
      <c r="B1658" s="14" t="str">
        <f>IF(A1658="","",CHOOSE(WEEKDAY(A1658),"日","月","火","水","木","金","土"))</f>
        <v/>
      </c>
      <c r="C1658" s="27"/>
      <c r="D1658" s="27"/>
      <c r="E1658" s="14" t="str">
        <f>IF(F1658="","",IFERROR(INDEX(マスター!$F$5:$F$200,MATCH(F1658,マスター!$E$5:$E$200,0)),"※マスター未登録"))</f>
        <v/>
      </c>
      <c r="F1658" s="27"/>
      <c r="G1658" s="27"/>
      <c r="H1658" s="27"/>
      <c r="I1658" s="27"/>
      <c r="J1658" s="27"/>
      <c r="K1658" s="27"/>
    </row>
    <row r="1659" spans="1:11" x14ac:dyDescent="0.2">
      <c r="A1659" s="26"/>
      <c r="B1659" s="14" t="str">
        <f>IF(A1659="","",CHOOSE(WEEKDAY(A1659),"日","月","火","水","木","金","土"))</f>
        <v/>
      </c>
      <c r="C1659" s="27"/>
      <c r="D1659" s="27"/>
      <c r="E1659" s="14" t="str">
        <f>IF(F1659="","",IFERROR(INDEX(マスター!$F$5:$F$200,MATCH(F1659,マスター!$E$5:$E$200,0)),"※マスター未登録"))</f>
        <v/>
      </c>
      <c r="F1659" s="27"/>
      <c r="G1659" s="27"/>
      <c r="H1659" s="27"/>
      <c r="I1659" s="27"/>
      <c r="J1659" s="27"/>
      <c r="K1659" s="27"/>
    </row>
    <row r="1660" spans="1:11" x14ac:dyDescent="0.2">
      <c r="A1660" s="26"/>
      <c r="B1660" s="14" t="str">
        <f>IF(A1660="","",CHOOSE(WEEKDAY(A1660),"日","月","火","水","木","金","土"))</f>
        <v/>
      </c>
      <c r="C1660" s="27"/>
      <c r="D1660" s="27"/>
      <c r="E1660" s="14" t="str">
        <f>IF(F1660="","",IFERROR(INDEX(マスター!$F$5:$F$200,MATCH(F1660,マスター!$E$5:$E$200,0)),"※マスター未登録"))</f>
        <v/>
      </c>
      <c r="F1660" s="27"/>
      <c r="G1660" s="27"/>
      <c r="H1660" s="27"/>
      <c r="I1660" s="27"/>
      <c r="J1660" s="27"/>
      <c r="K1660" s="27"/>
    </row>
    <row r="1661" spans="1:11" x14ac:dyDescent="0.2">
      <c r="A1661" s="26"/>
      <c r="B1661" s="14" t="str">
        <f>IF(A1661="","",CHOOSE(WEEKDAY(A1661),"日","月","火","水","木","金","土"))</f>
        <v/>
      </c>
      <c r="C1661" s="27"/>
      <c r="D1661" s="27"/>
      <c r="E1661" s="14" t="str">
        <f>IF(F1661="","",IFERROR(INDEX(マスター!$F$5:$F$200,MATCH(F1661,マスター!$E$5:$E$200,0)),"※マスター未登録"))</f>
        <v/>
      </c>
      <c r="F1661" s="27"/>
      <c r="G1661" s="27"/>
      <c r="H1661" s="27"/>
      <c r="I1661" s="27"/>
      <c r="J1661" s="27"/>
      <c r="K1661" s="27"/>
    </row>
    <row r="1662" spans="1:11" x14ac:dyDescent="0.2">
      <c r="A1662" s="26"/>
      <c r="B1662" s="14" t="str">
        <f>IF(A1662="","",CHOOSE(WEEKDAY(A1662),"日","月","火","水","木","金","土"))</f>
        <v/>
      </c>
      <c r="C1662" s="27"/>
      <c r="D1662" s="27"/>
      <c r="E1662" s="14" t="str">
        <f>IF(F1662="","",IFERROR(INDEX(マスター!$F$5:$F$200,MATCH(F1662,マスター!$E$5:$E$200,0)),"※マスター未登録"))</f>
        <v/>
      </c>
      <c r="F1662" s="27"/>
      <c r="G1662" s="27"/>
      <c r="H1662" s="27"/>
      <c r="I1662" s="27"/>
      <c r="J1662" s="27"/>
      <c r="K1662" s="27"/>
    </row>
    <row r="1663" spans="1:11" x14ac:dyDescent="0.2">
      <c r="A1663" s="26"/>
      <c r="B1663" s="14" t="str">
        <f>IF(A1663="","",CHOOSE(WEEKDAY(A1663),"日","月","火","水","木","金","土"))</f>
        <v/>
      </c>
      <c r="C1663" s="27"/>
      <c r="D1663" s="27"/>
      <c r="E1663" s="14" t="str">
        <f>IF(F1663="","",IFERROR(INDEX(マスター!$F$5:$F$200,MATCH(F1663,マスター!$E$5:$E$200,0)),"※マスター未登録"))</f>
        <v/>
      </c>
      <c r="F1663" s="27"/>
      <c r="G1663" s="27"/>
      <c r="H1663" s="27"/>
      <c r="I1663" s="27"/>
      <c r="J1663" s="27"/>
      <c r="K1663" s="27"/>
    </row>
    <row r="1664" spans="1:11" x14ac:dyDescent="0.2">
      <c r="A1664" s="26"/>
      <c r="B1664" s="14" t="str">
        <f>IF(A1664="","",CHOOSE(WEEKDAY(A1664),"日","月","火","水","木","金","土"))</f>
        <v/>
      </c>
      <c r="C1664" s="27"/>
      <c r="D1664" s="27"/>
      <c r="E1664" s="14" t="str">
        <f>IF(F1664="","",IFERROR(INDEX(マスター!$F$5:$F$200,MATCH(F1664,マスター!$E$5:$E$200,0)),"※マスター未登録"))</f>
        <v/>
      </c>
      <c r="F1664" s="27"/>
      <c r="G1664" s="27"/>
      <c r="H1664" s="27"/>
      <c r="I1664" s="27"/>
      <c r="J1664" s="27"/>
      <c r="K1664" s="27"/>
    </row>
    <row r="1665" spans="1:11" x14ac:dyDescent="0.2">
      <c r="A1665" s="26"/>
      <c r="B1665" s="14" t="str">
        <f>IF(A1665="","",CHOOSE(WEEKDAY(A1665),"日","月","火","水","木","金","土"))</f>
        <v/>
      </c>
      <c r="C1665" s="27"/>
      <c r="D1665" s="27"/>
      <c r="E1665" s="14" t="str">
        <f>IF(F1665="","",IFERROR(INDEX(マスター!$F$5:$F$200,MATCH(F1665,マスター!$E$5:$E$200,0)),"※マスター未登録"))</f>
        <v/>
      </c>
      <c r="F1665" s="27"/>
      <c r="G1665" s="27"/>
      <c r="H1665" s="27"/>
      <c r="I1665" s="27"/>
      <c r="J1665" s="27"/>
      <c r="K1665" s="27"/>
    </row>
    <row r="1666" spans="1:11" x14ac:dyDescent="0.2">
      <c r="A1666" s="26"/>
      <c r="B1666" s="14" t="str">
        <f>IF(A1666="","",CHOOSE(WEEKDAY(A1666),"日","月","火","水","木","金","土"))</f>
        <v/>
      </c>
      <c r="C1666" s="27"/>
      <c r="D1666" s="27"/>
      <c r="E1666" s="14" t="str">
        <f>IF(F1666="","",IFERROR(INDEX(マスター!$F$5:$F$200,MATCH(F1666,マスター!$E$5:$E$200,0)),"※マスター未登録"))</f>
        <v/>
      </c>
      <c r="F1666" s="27"/>
      <c r="G1666" s="27"/>
      <c r="H1666" s="27"/>
      <c r="I1666" s="27"/>
      <c r="J1666" s="27"/>
      <c r="K1666" s="27"/>
    </row>
    <row r="1667" spans="1:11" x14ac:dyDescent="0.2">
      <c r="A1667" s="26"/>
      <c r="B1667" s="14" t="str">
        <f>IF(A1667="","",CHOOSE(WEEKDAY(A1667),"日","月","火","水","木","金","土"))</f>
        <v/>
      </c>
      <c r="C1667" s="27"/>
      <c r="D1667" s="27"/>
      <c r="E1667" s="14" t="str">
        <f>IF(F1667="","",IFERROR(INDEX(マスター!$F$5:$F$200,MATCH(F1667,マスター!$E$5:$E$200,0)),"※マスター未登録"))</f>
        <v/>
      </c>
      <c r="F1667" s="27"/>
      <c r="G1667" s="27"/>
      <c r="H1667" s="27"/>
      <c r="I1667" s="27"/>
      <c r="J1667" s="27"/>
      <c r="K1667" s="27"/>
    </row>
    <row r="1668" spans="1:11" x14ac:dyDescent="0.2">
      <c r="A1668" s="26"/>
      <c r="B1668" s="14" t="str">
        <f>IF(A1668="","",CHOOSE(WEEKDAY(A1668),"日","月","火","水","木","金","土"))</f>
        <v/>
      </c>
      <c r="C1668" s="27"/>
      <c r="D1668" s="27"/>
      <c r="E1668" s="14" t="str">
        <f>IF(F1668="","",IFERROR(INDEX(マスター!$F$5:$F$200,MATCH(F1668,マスター!$E$5:$E$200,0)),"※マスター未登録"))</f>
        <v/>
      </c>
      <c r="F1668" s="27"/>
      <c r="G1668" s="27"/>
      <c r="H1668" s="27"/>
      <c r="I1668" s="27"/>
      <c r="J1668" s="27"/>
      <c r="K1668" s="27"/>
    </row>
    <row r="1669" spans="1:11" x14ac:dyDescent="0.2">
      <c r="A1669" s="26"/>
      <c r="B1669" s="14" t="str">
        <f>IF(A1669="","",CHOOSE(WEEKDAY(A1669),"日","月","火","水","木","金","土"))</f>
        <v/>
      </c>
      <c r="C1669" s="27"/>
      <c r="D1669" s="27"/>
      <c r="E1669" s="14" t="str">
        <f>IF(F1669="","",IFERROR(INDEX(マスター!$F$5:$F$200,MATCH(F1669,マスター!$E$5:$E$200,0)),"※マスター未登録"))</f>
        <v/>
      </c>
      <c r="F1669" s="27"/>
      <c r="G1669" s="27"/>
      <c r="H1669" s="27"/>
      <c r="I1669" s="27"/>
      <c r="J1669" s="27"/>
      <c r="K1669" s="27"/>
    </row>
    <row r="1670" spans="1:11" x14ac:dyDescent="0.2">
      <c r="A1670" s="26"/>
      <c r="B1670" s="14" t="str">
        <f>IF(A1670="","",CHOOSE(WEEKDAY(A1670),"日","月","火","水","木","金","土"))</f>
        <v/>
      </c>
      <c r="C1670" s="27"/>
      <c r="D1670" s="27"/>
      <c r="E1670" s="14" t="str">
        <f>IF(F1670="","",IFERROR(INDEX(マスター!$F$5:$F$200,MATCH(F1670,マスター!$E$5:$E$200,0)),"※マスター未登録"))</f>
        <v/>
      </c>
      <c r="F1670" s="27"/>
      <c r="G1670" s="27"/>
      <c r="H1670" s="27"/>
      <c r="I1670" s="27"/>
      <c r="J1670" s="27"/>
      <c r="K1670" s="27"/>
    </row>
    <row r="1671" spans="1:11" x14ac:dyDescent="0.2">
      <c r="A1671" s="26"/>
      <c r="B1671" s="14" t="str">
        <f>IF(A1671="","",CHOOSE(WEEKDAY(A1671),"日","月","火","水","木","金","土"))</f>
        <v/>
      </c>
      <c r="C1671" s="27"/>
      <c r="D1671" s="27"/>
      <c r="E1671" s="14" t="str">
        <f>IF(F1671="","",IFERROR(INDEX(マスター!$F$5:$F$200,MATCH(F1671,マスター!$E$5:$E$200,0)),"※マスター未登録"))</f>
        <v/>
      </c>
      <c r="F1671" s="27"/>
      <c r="G1671" s="27"/>
      <c r="H1671" s="27"/>
      <c r="I1671" s="27"/>
      <c r="J1671" s="27"/>
      <c r="K1671" s="27"/>
    </row>
    <row r="1672" spans="1:11" x14ac:dyDescent="0.2">
      <c r="A1672" s="26"/>
      <c r="B1672" s="14" t="str">
        <f>IF(A1672="","",CHOOSE(WEEKDAY(A1672),"日","月","火","水","木","金","土"))</f>
        <v/>
      </c>
      <c r="C1672" s="27"/>
      <c r="D1672" s="27"/>
      <c r="E1672" s="14" t="str">
        <f>IF(F1672="","",IFERROR(INDEX(マスター!$F$5:$F$200,MATCH(F1672,マスター!$E$5:$E$200,0)),"※マスター未登録"))</f>
        <v/>
      </c>
      <c r="F1672" s="27"/>
      <c r="G1672" s="27"/>
      <c r="H1672" s="27"/>
      <c r="I1672" s="27"/>
      <c r="J1672" s="27"/>
      <c r="K1672" s="27"/>
    </row>
    <row r="1673" spans="1:11" x14ac:dyDescent="0.2">
      <c r="A1673" s="26"/>
      <c r="B1673" s="14" t="str">
        <f>IF(A1673="","",CHOOSE(WEEKDAY(A1673),"日","月","火","水","木","金","土"))</f>
        <v/>
      </c>
      <c r="C1673" s="27"/>
      <c r="D1673" s="27"/>
      <c r="E1673" s="14" t="str">
        <f>IF(F1673="","",IFERROR(INDEX(マスター!$F$5:$F$200,MATCH(F1673,マスター!$E$5:$E$200,0)),"※マスター未登録"))</f>
        <v/>
      </c>
      <c r="F1673" s="27"/>
      <c r="G1673" s="27"/>
      <c r="H1673" s="27"/>
      <c r="I1673" s="27"/>
      <c r="J1673" s="27"/>
      <c r="K1673" s="27"/>
    </row>
    <row r="1674" spans="1:11" x14ac:dyDescent="0.2">
      <c r="A1674" s="26"/>
      <c r="B1674" s="14" t="str">
        <f>IF(A1674="","",CHOOSE(WEEKDAY(A1674),"日","月","火","水","木","金","土"))</f>
        <v/>
      </c>
      <c r="C1674" s="27"/>
      <c r="D1674" s="27"/>
      <c r="E1674" s="14" t="str">
        <f>IF(F1674="","",IFERROR(INDEX(マスター!$F$5:$F$200,MATCH(F1674,マスター!$E$5:$E$200,0)),"※マスター未登録"))</f>
        <v/>
      </c>
      <c r="F1674" s="27"/>
      <c r="G1674" s="27"/>
      <c r="H1674" s="27"/>
      <c r="I1674" s="27"/>
      <c r="J1674" s="27"/>
      <c r="K1674" s="27"/>
    </row>
    <row r="1675" spans="1:11" x14ac:dyDescent="0.2">
      <c r="A1675" s="26"/>
      <c r="B1675" s="14" t="str">
        <f>IF(A1675="","",CHOOSE(WEEKDAY(A1675),"日","月","火","水","木","金","土"))</f>
        <v/>
      </c>
      <c r="C1675" s="27"/>
      <c r="D1675" s="27"/>
      <c r="E1675" s="14" t="str">
        <f>IF(F1675="","",IFERROR(INDEX(マスター!$F$5:$F$200,MATCH(F1675,マスター!$E$5:$E$200,0)),"※マスター未登録"))</f>
        <v/>
      </c>
      <c r="F1675" s="27"/>
      <c r="G1675" s="27"/>
      <c r="H1675" s="27"/>
      <c r="I1675" s="27"/>
      <c r="J1675" s="27"/>
      <c r="K1675" s="27"/>
    </row>
    <row r="1676" spans="1:11" x14ac:dyDescent="0.2">
      <c r="A1676" s="26"/>
      <c r="B1676" s="14" t="str">
        <f>IF(A1676="","",CHOOSE(WEEKDAY(A1676),"日","月","火","水","木","金","土"))</f>
        <v/>
      </c>
      <c r="C1676" s="27"/>
      <c r="D1676" s="27"/>
      <c r="E1676" s="14" t="str">
        <f>IF(F1676="","",IFERROR(INDEX(マスター!$F$5:$F$200,MATCH(F1676,マスター!$E$5:$E$200,0)),"※マスター未登録"))</f>
        <v/>
      </c>
      <c r="F1676" s="27"/>
      <c r="G1676" s="27"/>
      <c r="H1676" s="27"/>
      <c r="I1676" s="27"/>
      <c r="J1676" s="27"/>
      <c r="K1676" s="27"/>
    </row>
    <row r="1677" spans="1:11" x14ac:dyDescent="0.2">
      <c r="A1677" s="26"/>
      <c r="B1677" s="14" t="str">
        <f>IF(A1677="","",CHOOSE(WEEKDAY(A1677),"日","月","火","水","木","金","土"))</f>
        <v/>
      </c>
      <c r="C1677" s="27"/>
      <c r="D1677" s="27"/>
      <c r="E1677" s="14" t="str">
        <f>IF(F1677="","",IFERROR(INDEX(マスター!$F$5:$F$200,MATCH(F1677,マスター!$E$5:$E$200,0)),"※マスター未登録"))</f>
        <v/>
      </c>
      <c r="F1677" s="27"/>
      <c r="G1677" s="27"/>
      <c r="H1677" s="27"/>
      <c r="I1677" s="27"/>
      <c r="J1677" s="27"/>
      <c r="K1677" s="27"/>
    </row>
    <row r="1678" spans="1:11" x14ac:dyDescent="0.2">
      <c r="A1678" s="26"/>
      <c r="B1678" s="14" t="str">
        <f>IF(A1678="","",CHOOSE(WEEKDAY(A1678),"日","月","火","水","木","金","土"))</f>
        <v/>
      </c>
      <c r="C1678" s="27"/>
      <c r="D1678" s="27"/>
      <c r="E1678" s="14" t="str">
        <f>IF(F1678="","",IFERROR(INDEX(マスター!$F$5:$F$200,MATCH(F1678,マスター!$E$5:$E$200,0)),"※マスター未登録"))</f>
        <v/>
      </c>
      <c r="F1678" s="27"/>
      <c r="G1678" s="27"/>
      <c r="H1678" s="27"/>
      <c r="I1678" s="27"/>
      <c r="J1678" s="27"/>
      <c r="K1678" s="27"/>
    </row>
    <row r="1679" spans="1:11" x14ac:dyDescent="0.2">
      <c r="A1679" s="26"/>
      <c r="B1679" s="14" t="str">
        <f>IF(A1679="","",CHOOSE(WEEKDAY(A1679),"日","月","火","水","木","金","土"))</f>
        <v/>
      </c>
      <c r="C1679" s="27"/>
      <c r="D1679" s="27"/>
      <c r="E1679" s="14" t="str">
        <f>IF(F1679="","",IFERROR(INDEX(マスター!$F$5:$F$200,MATCH(F1679,マスター!$E$5:$E$200,0)),"※マスター未登録"))</f>
        <v/>
      </c>
      <c r="F1679" s="27"/>
      <c r="G1679" s="27"/>
      <c r="H1679" s="27"/>
      <c r="I1679" s="27"/>
      <c r="J1679" s="27"/>
      <c r="K1679" s="27"/>
    </row>
    <row r="1680" spans="1:11" x14ac:dyDescent="0.2">
      <c r="A1680" s="26"/>
      <c r="B1680" s="14" t="str">
        <f>IF(A1680="","",CHOOSE(WEEKDAY(A1680),"日","月","火","水","木","金","土"))</f>
        <v/>
      </c>
      <c r="C1680" s="27"/>
      <c r="D1680" s="27"/>
      <c r="E1680" s="14" t="str">
        <f>IF(F1680="","",IFERROR(INDEX(マスター!$F$5:$F$200,MATCH(F1680,マスター!$E$5:$E$200,0)),"※マスター未登録"))</f>
        <v/>
      </c>
      <c r="F1680" s="27"/>
      <c r="G1680" s="27"/>
      <c r="H1680" s="27"/>
      <c r="I1680" s="27"/>
      <c r="J1680" s="27"/>
      <c r="K1680" s="27"/>
    </row>
    <row r="1681" spans="1:11" x14ac:dyDescent="0.2">
      <c r="A1681" s="26"/>
      <c r="B1681" s="14" t="str">
        <f>IF(A1681="","",CHOOSE(WEEKDAY(A1681),"日","月","火","水","木","金","土"))</f>
        <v/>
      </c>
      <c r="C1681" s="27"/>
      <c r="D1681" s="27"/>
      <c r="E1681" s="14" t="str">
        <f>IF(F1681="","",IFERROR(INDEX(マスター!$F$5:$F$200,MATCH(F1681,マスター!$E$5:$E$200,0)),"※マスター未登録"))</f>
        <v/>
      </c>
      <c r="F1681" s="27"/>
      <c r="G1681" s="27"/>
      <c r="H1681" s="27"/>
      <c r="I1681" s="27"/>
      <c r="J1681" s="27"/>
      <c r="K1681" s="27"/>
    </row>
    <row r="1682" spans="1:11" x14ac:dyDescent="0.2">
      <c r="A1682" s="26"/>
      <c r="B1682" s="14" t="str">
        <f>IF(A1682="","",CHOOSE(WEEKDAY(A1682),"日","月","火","水","木","金","土"))</f>
        <v/>
      </c>
      <c r="C1682" s="27"/>
      <c r="D1682" s="27"/>
      <c r="E1682" s="14" t="str">
        <f>IF(F1682="","",IFERROR(INDEX(マスター!$F$5:$F$200,MATCH(F1682,マスター!$E$5:$E$200,0)),"※マスター未登録"))</f>
        <v/>
      </c>
      <c r="F1682" s="27"/>
      <c r="G1682" s="27"/>
      <c r="H1682" s="27"/>
      <c r="I1682" s="27"/>
      <c r="J1682" s="27"/>
      <c r="K1682" s="27"/>
    </row>
    <row r="1683" spans="1:11" x14ac:dyDescent="0.2">
      <c r="A1683" s="26"/>
      <c r="B1683" s="14" t="str">
        <f>IF(A1683="","",CHOOSE(WEEKDAY(A1683),"日","月","火","水","木","金","土"))</f>
        <v/>
      </c>
      <c r="C1683" s="27"/>
      <c r="D1683" s="27"/>
      <c r="E1683" s="14" t="str">
        <f>IF(F1683="","",IFERROR(INDEX(マスター!$F$5:$F$200,MATCH(F1683,マスター!$E$5:$E$200,0)),"※マスター未登録"))</f>
        <v/>
      </c>
      <c r="F1683" s="27"/>
      <c r="G1683" s="27"/>
      <c r="H1683" s="27"/>
      <c r="I1683" s="27"/>
      <c r="J1683" s="27"/>
      <c r="K1683" s="27"/>
    </row>
    <row r="1684" spans="1:11" x14ac:dyDescent="0.2">
      <c r="A1684" s="26"/>
      <c r="B1684" s="14" t="str">
        <f>IF(A1684="","",CHOOSE(WEEKDAY(A1684),"日","月","火","水","木","金","土"))</f>
        <v/>
      </c>
      <c r="C1684" s="27"/>
      <c r="D1684" s="27"/>
      <c r="E1684" s="14" t="str">
        <f>IF(F1684="","",IFERROR(INDEX(マスター!$F$5:$F$200,MATCH(F1684,マスター!$E$5:$E$200,0)),"※マスター未登録"))</f>
        <v/>
      </c>
      <c r="F1684" s="27"/>
      <c r="G1684" s="27"/>
      <c r="H1684" s="27"/>
      <c r="I1684" s="27"/>
      <c r="J1684" s="27"/>
      <c r="K1684" s="27"/>
    </row>
    <row r="1685" spans="1:11" x14ac:dyDescent="0.2">
      <c r="A1685" s="26"/>
      <c r="B1685" s="14" t="str">
        <f>IF(A1685="","",CHOOSE(WEEKDAY(A1685),"日","月","火","水","木","金","土"))</f>
        <v/>
      </c>
      <c r="C1685" s="27"/>
      <c r="D1685" s="27"/>
      <c r="E1685" s="14" t="str">
        <f>IF(F1685="","",IFERROR(INDEX(マスター!$F$5:$F$200,MATCH(F1685,マスター!$E$5:$E$200,0)),"※マスター未登録"))</f>
        <v/>
      </c>
      <c r="F1685" s="27"/>
      <c r="G1685" s="27"/>
      <c r="H1685" s="27"/>
      <c r="I1685" s="27"/>
      <c r="J1685" s="27"/>
      <c r="K1685" s="27"/>
    </row>
    <row r="1686" spans="1:11" x14ac:dyDescent="0.2">
      <c r="A1686" s="26"/>
      <c r="B1686" s="14" t="str">
        <f>IF(A1686="","",CHOOSE(WEEKDAY(A1686),"日","月","火","水","木","金","土"))</f>
        <v/>
      </c>
      <c r="C1686" s="27"/>
      <c r="D1686" s="27"/>
      <c r="E1686" s="14" t="str">
        <f>IF(F1686="","",IFERROR(INDEX(マスター!$F$5:$F$200,MATCH(F1686,マスター!$E$5:$E$200,0)),"※マスター未登録"))</f>
        <v/>
      </c>
      <c r="F1686" s="27"/>
      <c r="G1686" s="27"/>
      <c r="H1686" s="27"/>
      <c r="I1686" s="27"/>
      <c r="J1686" s="27"/>
      <c r="K1686" s="27"/>
    </row>
    <row r="1687" spans="1:11" x14ac:dyDescent="0.2">
      <c r="A1687" s="26"/>
      <c r="B1687" s="14" t="str">
        <f>IF(A1687="","",CHOOSE(WEEKDAY(A1687),"日","月","火","水","木","金","土"))</f>
        <v/>
      </c>
      <c r="C1687" s="27"/>
      <c r="D1687" s="27"/>
      <c r="E1687" s="14" t="str">
        <f>IF(F1687="","",IFERROR(INDEX(マスター!$F$5:$F$200,MATCH(F1687,マスター!$E$5:$E$200,0)),"※マスター未登録"))</f>
        <v/>
      </c>
      <c r="F1687" s="27"/>
      <c r="G1687" s="27"/>
      <c r="H1687" s="27"/>
      <c r="I1687" s="27"/>
      <c r="J1687" s="27"/>
      <c r="K1687" s="27"/>
    </row>
    <row r="1688" spans="1:11" x14ac:dyDescent="0.2">
      <c r="A1688" s="26"/>
      <c r="B1688" s="14" t="str">
        <f>IF(A1688="","",CHOOSE(WEEKDAY(A1688),"日","月","火","水","木","金","土"))</f>
        <v/>
      </c>
      <c r="C1688" s="27"/>
      <c r="D1688" s="27"/>
      <c r="E1688" s="14" t="str">
        <f>IF(F1688="","",IFERROR(INDEX(マスター!$F$5:$F$200,MATCH(F1688,マスター!$E$5:$E$200,0)),"※マスター未登録"))</f>
        <v/>
      </c>
      <c r="F1688" s="27"/>
      <c r="G1688" s="27"/>
      <c r="H1688" s="27"/>
      <c r="I1688" s="27"/>
      <c r="J1688" s="27"/>
      <c r="K1688" s="27"/>
    </row>
    <row r="1689" spans="1:11" x14ac:dyDescent="0.2">
      <c r="A1689" s="26"/>
      <c r="B1689" s="14" t="str">
        <f>IF(A1689="","",CHOOSE(WEEKDAY(A1689),"日","月","火","水","木","金","土"))</f>
        <v/>
      </c>
      <c r="C1689" s="27"/>
      <c r="D1689" s="27"/>
      <c r="E1689" s="14" t="str">
        <f>IF(F1689="","",IFERROR(INDEX(マスター!$F$5:$F$200,MATCH(F1689,マスター!$E$5:$E$200,0)),"※マスター未登録"))</f>
        <v/>
      </c>
      <c r="F1689" s="27"/>
      <c r="G1689" s="27"/>
      <c r="H1689" s="27"/>
      <c r="I1689" s="27"/>
      <c r="J1689" s="27"/>
      <c r="K1689" s="27"/>
    </row>
    <row r="1690" spans="1:11" x14ac:dyDescent="0.2">
      <c r="A1690" s="26"/>
      <c r="B1690" s="14" t="str">
        <f>IF(A1690="","",CHOOSE(WEEKDAY(A1690),"日","月","火","水","木","金","土"))</f>
        <v/>
      </c>
      <c r="C1690" s="27"/>
      <c r="D1690" s="27"/>
      <c r="E1690" s="14" t="str">
        <f>IF(F1690="","",IFERROR(INDEX(マスター!$F$5:$F$200,MATCH(F1690,マスター!$E$5:$E$200,0)),"※マスター未登録"))</f>
        <v/>
      </c>
      <c r="F1690" s="27"/>
      <c r="G1690" s="27"/>
      <c r="H1690" s="27"/>
      <c r="I1690" s="27"/>
      <c r="J1690" s="27"/>
      <c r="K1690" s="27"/>
    </row>
    <row r="1691" spans="1:11" x14ac:dyDescent="0.2">
      <c r="A1691" s="26"/>
      <c r="B1691" s="14" t="str">
        <f>IF(A1691="","",CHOOSE(WEEKDAY(A1691),"日","月","火","水","木","金","土"))</f>
        <v/>
      </c>
      <c r="C1691" s="27"/>
      <c r="D1691" s="27"/>
      <c r="E1691" s="14" t="str">
        <f>IF(F1691="","",IFERROR(INDEX(マスター!$F$5:$F$200,MATCH(F1691,マスター!$E$5:$E$200,0)),"※マスター未登録"))</f>
        <v/>
      </c>
      <c r="F1691" s="27"/>
      <c r="G1691" s="27"/>
      <c r="H1691" s="27"/>
      <c r="I1691" s="27"/>
      <c r="J1691" s="27"/>
      <c r="K1691" s="27"/>
    </row>
    <row r="1692" spans="1:11" x14ac:dyDescent="0.2">
      <c r="A1692" s="26"/>
      <c r="B1692" s="14" t="str">
        <f>IF(A1692="","",CHOOSE(WEEKDAY(A1692),"日","月","火","水","木","金","土"))</f>
        <v/>
      </c>
      <c r="C1692" s="27"/>
      <c r="D1692" s="27"/>
      <c r="E1692" s="14" t="str">
        <f>IF(F1692="","",IFERROR(INDEX(マスター!$F$5:$F$200,MATCH(F1692,マスター!$E$5:$E$200,0)),"※マスター未登録"))</f>
        <v/>
      </c>
      <c r="F1692" s="27"/>
      <c r="G1692" s="27"/>
      <c r="H1692" s="27"/>
      <c r="I1692" s="27"/>
      <c r="J1692" s="27"/>
      <c r="K1692" s="27"/>
    </row>
    <row r="1693" spans="1:11" x14ac:dyDescent="0.2">
      <c r="A1693" s="26"/>
      <c r="B1693" s="14" t="str">
        <f>IF(A1693="","",CHOOSE(WEEKDAY(A1693),"日","月","火","水","木","金","土"))</f>
        <v/>
      </c>
      <c r="C1693" s="27"/>
      <c r="D1693" s="27"/>
      <c r="E1693" s="14" t="str">
        <f>IF(F1693="","",IFERROR(INDEX(マスター!$F$5:$F$200,MATCH(F1693,マスター!$E$5:$E$200,0)),"※マスター未登録"))</f>
        <v/>
      </c>
      <c r="F1693" s="27"/>
      <c r="G1693" s="27"/>
      <c r="H1693" s="27"/>
      <c r="I1693" s="27"/>
      <c r="J1693" s="27"/>
      <c r="K1693" s="27"/>
    </row>
    <row r="1694" spans="1:11" x14ac:dyDescent="0.2">
      <c r="A1694" s="26"/>
      <c r="B1694" s="14" t="str">
        <f>IF(A1694="","",CHOOSE(WEEKDAY(A1694),"日","月","火","水","木","金","土"))</f>
        <v/>
      </c>
      <c r="C1694" s="27"/>
      <c r="D1694" s="27"/>
      <c r="E1694" s="14" t="str">
        <f>IF(F1694="","",IFERROR(INDEX(マスター!$F$5:$F$200,MATCH(F1694,マスター!$E$5:$E$200,0)),"※マスター未登録"))</f>
        <v/>
      </c>
      <c r="F1694" s="27"/>
      <c r="G1694" s="27"/>
      <c r="H1694" s="27"/>
      <c r="I1694" s="27"/>
      <c r="J1694" s="27"/>
      <c r="K1694" s="27"/>
    </row>
    <row r="1695" spans="1:11" x14ac:dyDescent="0.2">
      <c r="A1695" s="26"/>
      <c r="B1695" s="14" t="str">
        <f>IF(A1695="","",CHOOSE(WEEKDAY(A1695),"日","月","火","水","木","金","土"))</f>
        <v/>
      </c>
      <c r="C1695" s="27"/>
      <c r="D1695" s="27"/>
      <c r="E1695" s="14" t="str">
        <f>IF(F1695="","",IFERROR(INDEX(マスター!$F$5:$F$200,MATCH(F1695,マスター!$E$5:$E$200,0)),"※マスター未登録"))</f>
        <v/>
      </c>
      <c r="F1695" s="27"/>
      <c r="G1695" s="27"/>
      <c r="H1695" s="27"/>
      <c r="I1695" s="27"/>
      <c r="J1695" s="27"/>
      <c r="K1695" s="27"/>
    </row>
    <row r="1696" spans="1:11" x14ac:dyDescent="0.2">
      <c r="A1696" s="26"/>
      <c r="B1696" s="14" t="str">
        <f>IF(A1696="","",CHOOSE(WEEKDAY(A1696),"日","月","火","水","木","金","土"))</f>
        <v/>
      </c>
      <c r="C1696" s="27"/>
      <c r="D1696" s="27"/>
      <c r="E1696" s="14" t="str">
        <f>IF(F1696="","",IFERROR(INDEX(マスター!$F$5:$F$200,MATCH(F1696,マスター!$E$5:$E$200,0)),"※マスター未登録"))</f>
        <v/>
      </c>
      <c r="F1696" s="27"/>
      <c r="G1696" s="27"/>
      <c r="H1696" s="27"/>
      <c r="I1696" s="27"/>
      <c r="J1696" s="27"/>
      <c r="K1696" s="27"/>
    </row>
    <row r="1697" spans="1:11" x14ac:dyDescent="0.2">
      <c r="A1697" s="26"/>
      <c r="B1697" s="14" t="str">
        <f>IF(A1697="","",CHOOSE(WEEKDAY(A1697),"日","月","火","水","木","金","土"))</f>
        <v/>
      </c>
      <c r="C1697" s="27"/>
      <c r="D1697" s="27"/>
      <c r="E1697" s="14" t="str">
        <f>IF(F1697="","",IFERROR(INDEX(マスター!$F$5:$F$200,MATCH(F1697,マスター!$E$5:$E$200,0)),"※マスター未登録"))</f>
        <v/>
      </c>
      <c r="F1697" s="27"/>
      <c r="G1697" s="27"/>
      <c r="H1697" s="27"/>
      <c r="I1697" s="27"/>
      <c r="J1697" s="27"/>
      <c r="K1697" s="27"/>
    </row>
    <row r="1698" spans="1:11" x14ac:dyDescent="0.2">
      <c r="A1698" s="26"/>
      <c r="B1698" s="14" t="str">
        <f>IF(A1698="","",CHOOSE(WEEKDAY(A1698),"日","月","火","水","木","金","土"))</f>
        <v/>
      </c>
      <c r="C1698" s="27"/>
      <c r="D1698" s="27"/>
      <c r="E1698" s="14" t="str">
        <f>IF(F1698="","",IFERROR(INDEX(マスター!$F$5:$F$200,MATCH(F1698,マスター!$E$5:$E$200,0)),"※マスター未登録"))</f>
        <v/>
      </c>
      <c r="F1698" s="27"/>
      <c r="G1698" s="27"/>
      <c r="H1698" s="27"/>
      <c r="I1698" s="27"/>
      <c r="J1698" s="27"/>
      <c r="K1698" s="27"/>
    </row>
    <row r="1699" spans="1:11" x14ac:dyDescent="0.2">
      <c r="A1699" s="26"/>
      <c r="B1699" s="14" t="str">
        <f>IF(A1699="","",CHOOSE(WEEKDAY(A1699),"日","月","火","水","木","金","土"))</f>
        <v/>
      </c>
      <c r="C1699" s="27"/>
      <c r="D1699" s="27"/>
      <c r="E1699" s="14" t="str">
        <f>IF(F1699="","",IFERROR(INDEX(マスター!$F$5:$F$200,MATCH(F1699,マスター!$E$5:$E$200,0)),"※マスター未登録"))</f>
        <v/>
      </c>
      <c r="F1699" s="27"/>
      <c r="G1699" s="27"/>
      <c r="H1699" s="27"/>
      <c r="I1699" s="27"/>
      <c r="J1699" s="27"/>
      <c r="K1699" s="27"/>
    </row>
    <row r="1700" spans="1:11" x14ac:dyDescent="0.2">
      <c r="A1700" s="26"/>
      <c r="B1700" s="14" t="str">
        <f>IF(A1700="","",CHOOSE(WEEKDAY(A1700),"日","月","火","水","木","金","土"))</f>
        <v/>
      </c>
      <c r="C1700" s="27"/>
      <c r="D1700" s="27"/>
      <c r="E1700" s="14" t="str">
        <f>IF(F1700="","",IFERROR(INDEX(マスター!$F$5:$F$200,MATCH(F1700,マスター!$E$5:$E$200,0)),"※マスター未登録"))</f>
        <v/>
      </c>
      <c r="F1700" s="27"/>
      <c r="G1700" s="27"/>
      <c r="H1700" s="27"/>
      <c r="I1700" s="27"/>
      <c r="J1700" s="27"/>
      <c r="K1700" s="27"/>
    </row>
    <row r="1701" spans="1:11" x14ac:dyDescent="0.2">
      <c r="A1701" s="26"/>
      <c r="B1701" s="14" t="str">
        <f>IF(A1701="","",CHOOSE(WEEKDAY(A1701),"日","月","火","水","木","金","土"))</f>
        <v/>
      </c>
      <c r="C1701" s="27"/>
      <c r="D1701" s="27"/>
      <c r="E1701" s="14" t="str">
        <f>IF(F1701="","",IFERROR(INDEX(マスター!$F$5:$F$200,MATCH(F1701,マスター!$E$5:$E$200,0)),"※マスター未登録"))</f>
        <v/>
      </c>
      <c r="F1701" s="27"/>
      <c r="G1701" s="27"/>
      <c r="H1701" s="27"/>
      <c r="I1701" s="27"/>
      <c r="J1701" s="27"/>
      <c r="K1701" s="27"/>
    </row>
    <row r="1702" spans="1:11" x14ac:dyDescent="0.2">
      <c r="A1702" s="26"/>
      <c r="B1702" s="14" t="str">
        <f>IF(A1702="","",CHOOSE(WEEKDAY(A1702),"日","月","火","水","木","金","土"))</f>
        <v/>
      </c>
      <c r="C1702" s="27"/>
      <c r="D1702" s="27"/>
      <c r="E1702" s="14" t="str">
        <f>IF(F1702="","",IFERROR(INDEX(マスター!$F$5:$F$200,MATCH(F1702,マスター!$E$5:$E$200,0)),"※マスター未登録"))</f>
        <v/>
      </c>
      <c r="F1702" s="27"/>
      <c r="G1702" s="27"/>
      <c r="H1702" s="27"/>
      <c r="I1702" s="27"/>
      <c r="J1702" s="27"/>
      <c r="K1702" s="27"/>
    </row>
    <row r="1703" spans="1:11" x14ac:dyDescent="0.2">
      <c r="A1703" s="26"/>
      <c r="B1703" s="14" t="str">
        <f>IF(A1703="","",CHOOSE(WEEKDAY(A1703),"日","月","火","水","木","金","土"))</f>
        <v/>
      </c>
      <c r="C1703" s="27"/>
      <c r="D1703" s="27"/>
      <c r="E1703" s="14" t="str">
        <f>IF(F1703="","",IFERROR(INDEX(マスター!$F$5:$F$200,MATCH(F1703,マスター!$E$5:$E$200,0)),"※マスター未登録"))</f>
        <v/>
      </c>
      <c r="F1703" s="27"/>
      <c r="G1703" s="27"/>
      <c r="H1703" s="27"/>
      <c r="I1703" s="27"/>
      <c r="J1703" s="27"/>
      <c r="K1703" s="27"/>
    </row>
    <row r="1704" spans="1:11" x14ac:dyDescent="0.2">
      <c r="A1704" s="26"/>
      <c r="B1704" s="14" t="str">
        <f>IF(A1704="","",CHOOSE(WEEKDAY(A1704),"日","月","火","水","木","金","土"))</f>
        <v/>
      </c>
      <c r="C1704" s="27"/>
      <c r="D1704" s="27"/>
      <c r="E1704" s="14" t="str">
        <f>IF(F1704="","",IFERROR(INDEX(マスター!$F$5:$F$200,MATCH(F1704,マスター!$E$5:$E$200,0)),"※マスター未登録"))</f>
        <v/>
      </c>
      <c r="F1704" s="27"/>
      <c r="G1704" s="27"/>
      <c r="H1704" s="27"/>
      <c r="I1704" s="27"/>
      <c r="J1704" s="27"/>
      <c r="K1704" s="27"/>
    </row>
    <row r="1705" spans="1:11" x14ac:dyDescent="0.2">
      <c r="A1705" s="26"/>
      <c r="B1705" s="14" t="str">
        <f>IF(A1705="","",CHOOSE(WEEKDAY(A1705),"日","月","火","水","木","金","土"))</f>
        <v/>
      </c>
      <c r="C1705" s="27"/>
      <c r="D1705" s="27"/>
      <c r="E1705" s="14" t="str">
        <f>IF(F1705="","",IFERROR(INDEX(マスター!$F$5:$F$200,MATCH(F1705,マスター!$E$5:$E$200,0)),"※マスター未登録"))</f>
        <v/>
      </c>
      <c r="F1705" s="27"/>
      <c r="G1705" s="27"/>
      <c r="H1705" s="27"/>
      <c r="I1705" s="27"/>
      <c r="J1705" s="27"/>
      <c r="K1705" s="27"/>
    </row>
    <row r="1706" spans="1:11" x14ac:dyDescent="0.2">
      <c r="A1706" s="26"/>
      <c r="B1706" s="14" t="str">
        <f>IF(A1706="","",CHOOSE(WEEKDAY(A1706),"日","月","火","水","木","金","土"))</f>
        <v/>
      </c>
      <c r="C1706" s="27"/>
      <c r="D1706" s="27"/>
      <c r="E1706" s="14" t="str">
        <f>IF(F1706="","",IFERROR(INDEX(マスター!$F$5:$F$200,MATCH(F1706,マスター!$E$5:$E$200,0)),"※マスター未登録"))</f>
        <v/>
      </c>
      <c r="F1706" s="27"/>
      <c r="G1706" s="27"/>
      <c r="H1706" s="27"/>
      <c r="I1706" s="27"/>
      <c r="J1706" s="27"/>
      <c r="K1706" s="27"/>
    </row>
    <row r="1707" spans="1:11" x14ac:dyDescent="0.2">
      <c r="A1707" s="26"/>
      <c r="B1707" s="14" t="str">
        <f>IF(A1707="","",CHOOSE(WEEKDAY(A1707),"日","月","火","水","木","金","土"))</f>
        <v/>
      </c>
      <c r="C1707" s="27"/>
      <c r="D1707" s="27"/>
      <c r="E1707" s="14" t="str">
        <f>IF(F1707="","",IFERROR(INDEX(マスター!$F$5:$F$200,MATCH(F1707,マスター!$E$5:$E$200,0)),"※マスター未登録"))</f>
        <v/>
      </c>
      <c r="F1707" s="27"/>
      <c r="G1707" s="27"/>
      <c r="H1707" s="27"/>
      <c r="I1707" s="27"/>
      <c r="J1707" s="27"/>
      <c r="K1707" s="27"/>
    </row>
    <row r="1708" spans="1:11" x14ac:dyDescent="0.2">
      <c r="A1708" s="26"/>
      <c r="B1708" s="14" t="str">
        <f>IF(A1708="","",CHOOSE(WEEKDAY(A1708),"日","月","火","水","木","金","土"))</f>
        <v/>
      </c>
      <c r="C1708" s="27"/>
      <c r="D1708" s="27"/>
      <c r="E1708" s="14" t="str">
        <f>IF(F1708="","",IFERROR(INDEX(マスター!$F$5:$F$200,MATCH(F1708,マスター!$E$5:$E$200,0)),"※マスター未登録"))</f>
        <v/>
      </c>
      <c r="F1708" s="27"/>
      <c r="G1708" s="27"/>
      <c r="H1708" s="27"/>
      <c r="I1708" s="27"/>
      <c r="J1708" s="27"/>
      <c r="K1708" s="27"/>
    </row>
    <row r="1709" spans="1:11" x14ac:dyDescent="0.2">
      <c r="A1709" s="26"/>
      <c r="B1709" s="14" t="str">
        <f>IF(A1709="","",CHOOSE(WEEKDAY(A1709),"日","月","火","水","木","金","土"))</f>
        <v/>
      </c>
      <c r="C1709" s="27"/>
      <c r="D1709" s="27"/>
      <c r="E1709" s="14" t="str">
        <f>IF(F1709="","",IFERROR(INDEX(マスター!$F$5:$F$200,MATCH(F1709,マスター!$E$5:$E$200,0)),"※マスター未登録"))</f>
        <v/>
      </c>
      <c r="F1709" s="27"/>
      <c r="G1709" s="27"/>
      <c r="H1709" s="27"/>
      <c r="I1709" s="27"/>
      <c r="J1709" s="27"/>
      <c r="K1709" s="27"/>
    </row>
    <row r="1710" spans="1:11" x14ac:dyDescent="0.2">
      <c r="A1710" s="26"/>
      <c r="B1710" s="14" t="str">
        <f>IF(A1710="","",CHOOSE(WEEKDAY(A1710),"日","月","火","水","木","金","土"))</f>
        <v/>
      </c>
      <c r="C1710" s="27"/>
      <c r="D1710" s="27"/>
      <c r="E1710" s="14" t="str">
        <f>IF(F1710="","",IFERROR(INDEX(マスター!$F$5:$F$200,MATCH(F1710,マスター!$E$5:$E$200,0)),"※マスター未登録"))</f>
        <v/>
      </c>
      <c r="F1710" s="27"/>
      <c r="G1710" s="27"/>
      <c r="H1710" s="27"/>
      <c r="I1710" s="27"/>
      <c r="J1710" s="27"/>
      <c r="K1710" s="27"/>
    </row>
    <row r="1711" spans="1:11" x14ac:dyDescent="0.2">
      <c r="A1711" s="26"/>
      <c r="B1711" s="14" t="str">
        <f>IF(A1711="","",CHOOSE(WEEKDAY(A1711),"日","月","火","水","木","金","土"))</f>
        <v/>
      </c>
      <c r="C1711" s="27"/>
      <c r="D1711" s="27"/>
      <c r="E1711" s="14" t="str">
        <f>IF(F1711="","",IFERROR(INDEX(マスター!$F$5:$F$200,MATCH(F1711,マスター!$E$5:$E$200,0)),"※マスター未登録"))</f>
        <v/>
      </c>
      <c r="F1711" s="27"/>
      <c r="G1711" s="27"/>
      <c r="H1711" s="27"/>
      <c r="I1711" s="27"/>
      <c r="J1711" s="27"/>
      <c r="K1711" s="27"/>
    </row>
    <row r="1712" spans="1:11" x14ac:dyDescent="0.2">
      <c r="A1712" s="26"/>
      <c r="B1712" s="14" t="str">
        <f>IF(A1712="","",CHOOSE(WEEKDAY(A1712),"日","月","火","水","木","金","土"))</f>
        <v/>
      </c>
      <c r="C1712" s="27"/>
      <c r="D1712" s="27"/>
      <c r="E1712" s="14" t="str">
        <f>IF(F1712="","",IFERROR(INDEX(マスター!$F$5:$F$200,MATCH(F1712,マスター!$E$5:$E$200,0)),"※マスター未登録"))</f>
        <v/>
      </c>
      <c r="F1712" s="27"/>
      <c r="G1712" s="27"/>
      <c r="H1712" s="27"/>
      <c r="I1712" s="27"/>
      <c r="J1712" s="27"/>
      <c r="K1712" s="27"/>
    </row>
    <row r="1713" spans="1:11" x14ac:dyDescent="0.2">
      <c r="A1713" s="26"/>
      <c r="B1713" s="14" t="str">
        <f>IF(A1713="","",CHOOSE(WEEKDAY(A1713),"日","月","火","水","木","金","土"))</f>
        <v/>
      </c>
      <c r="C1713" s="27"/>
      <c r="D1713" s="27"/>
      <c r="E1713" s="14" t="str">
        <f>IF(F1713="","",IFERROR(INDEX(マスター!$F$5:$F$200,MATCH(F1713,マスター!$E$5:$E$200,0)),"※マスター未登録"))</f>
        <v/>
      </c>
      <c r="F1713" s="27"/>
      <c r="G1713" s="27"/>
      <c r="H1713" s="27"/>
      <c r="I1713" s="27"/>
      <c r="J1713" s="27"/>
      <c r="K1713" s="27"/>
    </row>
    <row r="1714" spans="1:11" x14ac:dyDescent="0.2">
      <c r="A1714" s="26"/>
      <c r="B1714" s="14" t="str">
        <f>IF(A1714="","",CHOOSE(WEEKDAY(A1714),"日","月","火","水","木","金","土"))</f>
        <v/>
      </c>
      <c r="C1714" s="27"/>
      <c r="D1714" s="27"/>
      <c r="E1714" s="14" t="str">
        <f>IF(F1714="","",IFERROR(INDEX(マスター!$F$5:$F$200,MATCH(F1714,マスター!$E$5:$E$200,0)),"※マスター未登録"))</f>
        <v/>
      </c>
      <c r="F1714" s="27"/>
      <c r="G1714" s="27"/>
      <c r="H1714" s="27"/>
      <c r="I1714" s="27"/>
      <c r="J1714" s="27"/>
      <c r="K1714" s="27"/>
    </row>
    <row r="1715" spans="1:11" x14ac:dyDescent="0.2">
      <c r="A1715" s="26"/>
      <c r="B1715" s="14" t="str">
        <f>IF(A1715="","",CHOOSE(WEEKDAY(A1715),"日","月","火","水","木","金","土"))</f>
        <v/>
      </c>
      <c r="C1715" s="27"/>
      <c r="D1715" s="27"/>
      <c r="E1715" s="14" t="str">
        <f>IF(F1715="","",IFERROR(INDEX(マスター!$F$5:$F$200,MATCH(F1715,マスター!$E$5:$E$200,0)),"※マスター未登録"))</f>
        <v/>
      </c>
      <c r="F1715" s="27"/>
      <c r="G1715" s="27"/>
      <c r="H1715" s="27"/>
      <c r="I1715" s="27"/>
      <c r="J1715" s="27"/>
      <c r="K1715" s="27"/>
    </row>
    <row r="1716" spans="1:11" x14ac:dyDescent="0.2">
      <c r="A1716" s="26"/>
      <c r="B1716" s="14" t="str">
        <f>IF(A1716="","",CHOOSE(WEEKDAY(A1716),"日","月","火","水","木","金","土"))</f>
        <v/>
      </c>
      <c r="C1716" s="27"/>
      <c r="D1716" s="27"/>
      <c r="E1716" s="14" t="str">
        <f>IF(F1716="","",IFERROR(INDEX(マスター!$F$5:$F$200,MATCH(F1716,マスター!$E$5:$E$200,0)),"※マスター未登録"))</f>
        <v/>
      </c>
      <c r="F1716" s="27"/>
      <c r="G1716" s="27"/>
      <c r="H1716" s="27"/>
      <c r="I1716" s="27"/>
      <c r="J1716" s="27"/>
      <c r="K1716" s="27"/>
    </row>
    <row r="1717" spans="1:11" x14ac:dyDescent="0.2">
      <c r="A1717" s="26"/>
      <c r="B1717" s="14" t="str">
        <f>IF(A1717="","",CHOOSE(WEEKDAY(A1717),"日","月","火","水","木","金","土"))</f>
        <v/>
      </c>
      <c r="C1717" s="27"/>
      <c r="D1717" s="27"/>
      <c r="E1717" s="14" t="str">
        <f>IF(F1717="","",IFERROR(INDEX(マスター!$F$5:$F$200,MATCH(F1717,マスター!$E$5:$E$200,0)),"※マスター未登録"))</f>
        <v/>
      </c>
      <c r="F1717" s="27"/>
      <c r="G1717" s="27"/>
      <c r="H1717" s="27"/>
      <c r="I1717" s="27"/>
      <c r="J1717" s="27"/>
      <c r="K1717" s="27"/>
    </row>
    <row r="1718" spans="1:11" x14ac:dyDescent="0.2">
      <c r="A1718" s="26"/>
      <c r="B1718" s="14" t="str">
        <f>IF(A1718="","",CHOOSE(WEEKDAY(A1718),"日","月","火","水","木","金","土"))</f>
        <v/>
      </c>
      <c r="C1718" s="27"/>
      <c r="D1718" s="27"/>
      <c r="E1718" s="14" t="str">
        <f>IF(F1718="","",IFERROR(INDEX(マスター!$F$5:$F$200,MATCH(F1718,マスター!$E$5:$E$200,0)),"※マスター未登録"))</f>
        <v/>
      </c>
      <c r="F1718" s="27"/>
      <c r="G1718" s="27"/>
      <c r="H1718" s="27"/>
      <c r="I1718" s="27"/>
      <c r="J1718" s="27"/>
      <c r="K1718" s="27"/>
    </row>
    <row r="1719" spans="1:11" x14ac:dyDescent="0.2">
      <c r="A1719" s="26"/>
      <c r="B1719" s="14" t="str">
        <f>IF(A1719="","",CHOOSE(WEEKDAY(A1719),"日","月","火","水","木","金","土"))</f>
        <v/>
      </c>
      <c r="C1719" s="27"/>
      <c r="D1719" s="27"/>
      <c r="E1719" s="14" t="str">
        <f>IF(F1719="","",IFERROR(INDEX(マスター!$F$5:$F$200,MATCH(F1719,マスター!$E$5:$E$200,0)),"※マスター未登録"))</f>
        <v/>
      </c>
      <c r="F1719" s="27"/>
      <c r="G1719" s="27"/>
      <c r="H1719" s="27"/>
      <c r="I1719" s="27"/>
      <c r="J1719" s="27"/>
      <c r="K1719" s="27"/>
    </row>
    <row r="1720" spans="1:11" x14ac:dyDescent="0.2">
      <c r="A1720" s="26"/>
      <c r="B1720" s="14" t="str">
        <f>IF(A1720="","",CHOOSE(WEEKDAY(A1720),"日","月","火","水","木","金","土"))</f>
        <v/>
      </c>
      <c r="C1720" s="27"/>
      <c r="D1720" s="27"/>
      <c r="E1720" s="14" t="str">
        <f>IF(F1720="","",IFERROR(INDEX(マスター!$F$5:$F$200,MATCH(F1720,マスター!$E$5:$E$200,0)),"※マスター未登録"))</f>
        <v/>
      </c>
      <c r="F1720" s="27"/>
      <c r="G1720" s="27"/>
      <c r="H1720" s="27"/>
      <c r="I1720" s="27"/>
      <c r="J1720" s="27"/>
      <c r="K1720" s="27"/>
    </row>
    <row r="1721" spans="1:11" x14ac:dyDescent="0.2">
      <c r="A1721" s="26"/>
      <c r="B1721" s="14" t="str">
        <f>IF(A1721="","",CHOOSE(WEEKDAY(A1721),"日","月","火","水","木","金","土"))</f>
        <v/>
      </c>
      <c r="C1721" s="27"/>
      <c r="D1721" s="27"/>
      <c r="E1721" s="14" t="str">
        <f>IF(F1721="","",IFERROR(INDEX(マスター!$F$5:$F$200,MATCH(F1721,マスター!$E$5:$E$200,0)),"※マスター未登録"))</f>
        <v/>
      </c>
      <c r="F1721" s="27"/>
      <c r="G1721" s="27"/>
      <c r="H1721" s="27"/>
      <c r="I1721" s="27"/>
      <c r="J1721" s="27"/>
      <c r="K1721" s="27"/>
    </row>
    <row r="1722" spans="1:11" x14ac:dyDescent="0.2">
      <c r="A1722" s="26"/>
      <c r="B1722" s="14" t="str">
        <f>IF(A1722="","",CHOOSE(WEEKDAY(A1722),"日","月","火","水","木","金","土"))</f>
        <v/>
      </c>
      <c r="C1722" s="27"/>
      <c r="D1722" s="27"/>
      <c r="E1722" s="14" t="str">
        <f>IF(F1722="","",IFERROR(INDEX(マスター!$F$5:$F$200,MATCH(F1722,マスター!$E$5:$E$200,0)),"※マスター未登録"))</f>
        <v/>
      </c>
      <c r="F1722" s="27"/>
      <c r="G1722" s="27"/>
      <c r="H1722" s="27"/>
      <c r="I1722" s="27"/>
      <c r="J1722" s="27"/>
      <c r="K1722" s="27"/>
    </row>
    <row r="1723" spans="1:11" x14ac:dyDescent="0.2">
      <c r="A1723" s="26"/>
      <c r="B1723" s="14" t="str">
        <f>IF(A1723="","",CHOOSE(WEEKDAY(A1723),"日","月","火","水","木","金","土"))</f>
        <v/>
      </c>
      <c r="C1723" s="27"/>
      <c r="D1723" s="27"/>
      <c r="E1723" s="14" t="str">
        <f>IF(F1723="","",IFERROR(INDEX(マスター!$F$5:$F$200,MATCH(F1723,マスター!$E$5:$E$200,0)),"※マスター未登録"))</f>
        <v/>
      </c>
      <c r="F1723" s="27"/>
      <c r="G1723" s="27"/>
      <c r="H1723" s="27"/>
      <c r="I1723" s="27"/>
      <c r="J1723" s="27"/>
      <c r="K1723" s="27"/>
    </row>
    <row r="1724" spans="1:11" x14ac:dyDescent="0.2">
      <c r="A1724" s="26"/>
      <c r="B1724" s="14" t="str">
        <f>IF(A1724="","",CHOOSE(WEEKDAY(A1724),"日","月","火","水","木","金","土"))</f>
        <v/>
      </c>
      <c r="C1724" s="27"/>
      <c r="D1724" s="27"/>
      <c r="E1724" s="14" t="str">
        <f>IF(F1724="","",IFERROR(INDEX(マスター!$F$5:$F$200,MATCH(F1724,マスター!$E$5:$E$200,0)),"※マスター未登録"))</f>
        <v/>
      </c>
      <c r="F1724" s="27"/>
      <c r="G1724" s="27"/>
      <c r="H1724" s="27"/>
      <c r="I1724" s="27"/>
      <c r="J1724" s="27"/>
      <c r="K1724" s="27"/>
    </row>
    <row r="1725" spans="1:11" x14ac:dyDescent="0.2">
      <c r="A1725" s="26"/>
      <c r="B1725" s="14" t="str">
        <f>IF(A1725="","",CHOOSE(WEEKDAY(A1725),"日","月","火","水","木","金","土"))</f>
        <v/>
      </c>
      <c r="C1725" s="27"/>
      <c r="D1725" s="27"/>
      <c r="E1725" s="14" t="str">
        <f>IF(F1725="","",IFERROR(INDEX(マスター!$F$5:$F$200,MATCH(F1725,マスター!$E$5:$E$200,0)),"※マスター未登録"))</f>
        <v/>
      </c>
      <c r="F1725" s="27"/>
      <c r="G1725" s="27"/>
      <c r="H1725" s="27"/>
      <c r="I1725" s="27"/>
      <c r="J1725" s="27"/>
      <c r="K1725" s="27"/>
    </row>
    <row r="1726" spans="1:11" x14ac:dyDescent="0.2">
      <c r="A1726" s="26"/>
      <c r="B1726" s="14" t="str">
        <f>IF(A1726="","",CHOOSE(WEEKDAY(A1726),"日","月","火","水","木","金","土"))</f>
        <v/>
      </c>
      <c r="C1726" s="27"/>
      <c r="D1726" s="27"/>
      <c r="E1726" s="14" t="str">
        <f>IF(F1726="","",IFERROR(INDEX(マスター!$F$5:$F$200,MATCH(F1726,マスター!$E$5:$E$200,0)),"※マスター未登録"))</f>
        <v/>
      </c>
      <c r="F1726" s="27"/>
      <c r="G1726" s="27"/>
      <c r="H1726" s="27"/>
      <c r="I1726" s="27"/>
      <c r="J1726" s="27"/>
      <c r="K1726" s="27"/>
    </row>
    <row r="1727" spans="1:11" x14ac:dyDescent="0.2">
      <c r="A1727" s="26"/>
      <c r="B1727" s="14" t="str">
        <f>IF(A1727="","",CHOOSE(WEEKDAY(A1727),"日","月","火","水","木","金","土"))</f>
        <v/>
      </c>
      <c r="C1727" s="27"/>
      <c r="D1727" s="27"/>
      <c r="E1727" s="14" t="str">
        <f>IF(F1727="","",IFERROR(INDEX(マスター!$F$5:$F$200,MATCH(F1727,マスター!$E$5:$E$200,0)),"※マスター未登録"))</f>
        <v/>
      </c>
      <c r="F1727" s="27"/>
      <c r="G1727" s="27"/>
      <c r="H1727" s="27"/>
      <c r="I1727" s="27"/>
      <c r="J1727" s="27"/>
      <c r="K1727" s="27"/>
    </row>
    <row r="1728" spans="1:11" x14ac:dyDescent="0.2">
      <c r="A1728" s="26"/>
      <c r="B1728" s="14" t="str">
        <f>IF(A1728="","",CHOOSE(WEEKDAY(A1728),"日","月","火","水","木","金","土"))</f>
        <v/>
      </c>
      <c r="C1728" s="27"/>
      <c r="D1728" s="27"/>
      <c r="E1728" s="14" t="str">
        <f>IF(F1728="","",IFERROR(INDEX(マスター!$F$5:$F$200,MATCH(F1728,マスター!$E$5:$E$200,0)),"※マスター未登録"))</f>
        <v/>
      </c>
      <c r="F1728" s="27"/>
      <c r="G1728" s="27"/>
      <c r="H1728" s="27"/>
      <c r="I1728" s="27"/>
      <c r="J1728" s="27"/>
      <c r="K1728" s="27"/>
    </row>
    <row r="1729" spans="1:11" x14ac:dyDescent="0.2">
      <c r="A1729" s="26"/>
      <c r="B1729" s="14" t="str">
        <f>IF(A1729="","",CHOOSE(WEEKDAY(A1729),"日","月","火","水","木","金","土"))</f>
        <v/>
      </c>
      <c r="C1729" s="27"/>
      <c r="D1729" s="27"/>
      <c r="E1729" s="14" t="str">
        <f>IF(F1729="","",IFERROR(INDEX(マスター!$F$5:$F$200,MATCH(F1729,マスター!$E$5:$E$200,0)),"※マスター未登録"))</f>
        <v/>
      </c>
      <c r="F1729" s="27"/>
      <c r="G1729" s="27"/>
      <c r="H1729" s="27"/>
      <c r="I1729" s="27"/>
      <c r="J1729" s="27"/>
      <c r="K1729" s="27"/>
    </row>
    <row r="1730" spans="1:11" x14ac:dyDescent="0.2">
      <c r="A1730" s="26"/>
      <c r="B1730" s="14" t="str">
        <f>IF(A1730="","",CHOOSE(WEEKDAY(A1730),"日","月","火","水","木","金","土"))</f>
        <v/>
      </c>
      <c r="C1730" s="27"/>
      <c r="D1730" s="27"/>
      <c r="E1730" s="14" t="str">
        <f>IF(F1730="","",IFERROR(INDEX(マスター!$F$5:$F$200,MATCH(F1730,マスター!$E$5:$E$200,0)),"※マスター未登録"))</f>
        <v/>
      </c>
      <c r="F1730" s="27"/>
      <c r="G1730" s="27"/>
      <c r="H1730" s="27"/>
      <c r="I1730" s="27"/>
      <c r="J1730" s="27"/>
      <c r="K1730" s="27"/>
    </row>
    <row r="1731" spans="1:11" x14ac:dyDescent="0.2">
      <c r="A1731" s="26"/>
      <c r="B1731" s="14" t="str">
        <f>IF(A1731="","",CHOOSE(WEEKDAY(A1731),"日","月","火","水","木","金","土"))</f>
        <v/>
      </c>
      <c r="C1731" s="27"/>
      <c r="D1731" s="27"/>
      <c r="E1731" s="14" t="str">
        <f>IF(F1731="","",IFERROR(INDEX(マスター!$F$5:$F$200,MATCH(F1731,マスター!$E$5:$E$200,0)),"※マスター未登録"))</f>
        <v/>
      </c>
      <c r="F1731" s="27"/>
      <c r="G1731" s="27"/>
      <c r="H1731" s="27"/>
      <c r="I1731" s="27"/>
      <c r="J1731" s="27"/>
      <c r="K1731" s="27"/>
    </row>
    <row r="1732" spans="1:11" x14ac:dyDescent="0.2">
      <c r="A1732" s="26"/>
      <c r="B1732" s="14" t="str">
        <f>IF(A1732="","",CHOOSE(WEEKDAY(A1732),"日","月","火","水","木","金","土"))</f>
        <v/>
      </c>
      <c r="C1732" s="27"/>
      <c r="D1732" s="27"/>
      <c r="E1732" s="14" t="str">
        <f>IF(F1732="","",IFERROR(INDEX(マスター!$F$5:$F$200,MATCH(F1732,マスター!$E$5:$E$200,0)),"※マスター未登録"))</f>
        <v/>
      </c>
      <c r="F1732" s="27"/>
      <c r="G1732" s="27"/>
      <c r="H1732" s="27"/>
      <c r="I1732" s="27"/>
      <c r="J1732" s="27"/>
      <c r="K1732" s="27"/>
    </row>
    <row r="1733" spans="1:11" x14ac:dyDescent="0.2">
      <c r="A1733" s="26"/>
      <c r="B1733" s="14" t="str">
        <f>IF(A1733="","",CHOOSE(WEEKDAY(A1733),"日","月","火","水","木","金","土"))</f>
        <v/>
      </c>
      <c r="C1733" s="27"/>
      <c r="D1733" s="27"/>
      <c r="E1733" s="14" t="str">
        <f>IF(F1733="","",IFERROR(INDEX(マスター!$F$5:$F$200,MATCH(F1733,マスター!$E$5:$E$200,0)),"※マスター未登録"))</f>
        <v/>
      </c>
      <c r="F1733" s="27"/>
      <c r="G1733" s="27"/>
      <c r="H1733" s="27"/>
      <c r="I1733" s="27"/>
      <c r="J1733" s="27"/>
      <c r="K1733" s="27"/>
    </row>
    <row r="1734" spans="1:11" x14ac:dyDescent="0.2">
      <c r="A1734" s="26"/>
      <c r="B1734" s="14" t="str">
        <f>IF(A1734="","",CHOOSE(WEEKDAY(A1734),"日","月","火","水","木","金","土"))</f>
        <v/>
      </c>
      <c r="C1734" s="27"/>
      <c r="D1734" s="27"/>
      <c r="E1734" s="14" t="str">
        <f>IF(F1734="","",IFERROR(INDEX(マスター!$F$5:$F$200,MATCH(F1734,マスター!$E$5:$E$200,0)),"※マスター未登録"))</f>
        <v/>
      </c>
      <c r="F1734" s="27"/>
      <c r="G1734" s="27"/>
      <c r="H1734" s="27"/>
      <c r="I1734" s="27"/>
      <c r="J1734" s="27"/>
      <c r="K1734" s="27"/>
    </row>
    <row r="1735" spans="1:11" x14ac:dyDescent="0.2">
      <c r="A1735" s="26"/>
      <c r="B1735" s="14" t="str">
        <f>IF(A1735="","",CHOOSE(WEEKDAY(A1735),"日","月","火","水","木","金","土"))</f>
        <v/>
      </c>
      <c r="C1735" s="27"/>
      <c r="D1735" s="27"/>
      <c r="E1735" s="14" t="str">
        <f>IF(F1735="","",IFERROR(INDEX(マスター!$F$5:$F$200,MATCH(F1735,マスター!$E$5:$E$200,0)),"※マスター未登録"))</f>
        <v/>
      </c>
      <c r="F1735" s="27"/>
      <c r="G1735" s="27"/>
      <c r="H1735" s="27"/>
      <c r="I1735" s="27"/>
      <c r="J1735" s="27"/>
      <c r="K1735" s="27"/>
    </row>
    <row r="1736" spans="1:11" x14ac:dyDescent="0.2">
      <c r="A1736" s="26"/>
      <c r="B1736" s="14" t="str">
        <f>IF(A1736="","",CHOOSE(WEEKDAY(A1736),"日","月","火","水","木","金","土"))</f>
        <v/>
      </c>
      <c r="C1736" s="27"/>
      <c r="D1736" s="27"/>
      <c r="E1736" s="14" t="str">
        <f>IF(F1736="","",IFERROR(INDEX(マスター!$F$5:$F$200,MATCH(F1736,マスター!$E$5:$E$200,0)),"※マスター未登録"))</f>
        <v/>
      </c>
      <c r="F1736" s="27"/>
      <c r="G1736" s="27"/>
      <c r="H1736" s="27"/>
      <c r="I1736" s="27"/>
      <c r="J1736" s="27"/>
      <c r="K1736" s="27"/>
    </row>
    <row r="1737" spans="1:11" x14ac:dyDescent="0.2">
      <c r="A1737" s="26"/>
      <c r="B1737" s="14" t="str">
        <f>IF(A1737="","",CHOOSE(WEEKDAY(A1737),"日","月","火","水","木","金","土"))</f>
        <v/>
      </c>
      <c r="C1737" s="27"/>
      <c r="D1737" s="27"/>
      <c r="E1737" s="14" t="str">
        <f>IF(F1737="","",IFERROR(INDEX(マスター!$F$5:$F$200,MATCH(F1737,マスター!$E$5:$E$200,0)),"※マスター未登録"))</f>
        <v/>
      </c>
      <c r="F1737" s="27"/>
      <c r="G1737" s="27"/>
      <c r="H1737" s="27"/>
      <c r="I1737" s="27"/>
      <c r="J1737" s="27"/>
      <c r="K1737" s="27"/>
    </row>
    <row r="1738" spans="1:11" x14ac:dyDescent="0.2">
      <c r="A1738" s="26"/>
      <c r="B1738" s="14" t="str">
        <f>IF(A1738="","",CHOOSE(WEEKDAY(A1738),"日","月","火","水","木","金","土"))</f>
        <v/>
      </c>
      <c r="C1738" s="27"/>
      <c r="D1738" s="27"/>
      <c r="E1738" s="14" t="str">
        <f>IF(F1738="","",IFERROR(INDEX(マスター!$F$5:$F$200,MATCH(F1738,マスター!$E$5:$E$200,0)),"※マスター未登録"))</f>
        <v/>
      </c>
      <c r="F1738" s="27"/>
      <c r="G1738" s="27"/>
      <c r="H1738" s="27"/>
      <c r="I1738" s="27"/>
      <c r="J1738" s="27"/>
      <c r="K1738" s="27"/>
    </row>
    <row r="1739" spans="1:11" x14ac:dyDescent="0.2">
      <c r="A1739" s="26"/>
      <c r="B1739" s="14" t="str">
        <f>IF(A1739="","",CHOOSE(WEEKDAY(A1739),"日","月","火","水","木","金","土"))</f>
        <v/>
      </c>
      <c r="C1739" s="27"/>
      <c r="D1739" s="27"/>
      <c r="E1739" s="14" t="str">
        <f>IF(F1739="","",IFERROR(INDEX(マスター!$F$5:$F$200,MATCH(F1739,マスター!$E$5:$E$200,0)),"※マスター未登録"))</f>
        <v/>
      </c>
      <c r="F1739" s="27"/>
      <c r="G1739" s="27"/>
      <c r="H1739" s="27"/>
      <c r="I1739" s="27"/>
      <c r="J1739" s="27"/>
      <c r="K1739" s="27"/>
    </row>
    <row r="1740" spans="1:11" x14ac:dyDescent="0.2">
      <c r="A1740" s="26"/>
      <c r="B1740" s="14" t="str">
        <f>IF(A1740="","",CHOOSE(WEEKDAY(A1740),"日","月","火","水","木","金","土"))</f>
        <v/>
      </c>
      <c r="C1740" s="27"/>
      <c r="D1740" s="27"/>
      <c r="E1740" s="14" t="str">
        <f>IF(F1740="","",IFERROR(INDEX(マスター!$F$5:$F$200,MATCH(F1740,マスター!$E$5:$E$200,0)),"※マスター未登録"))</f>
        <v/>
      </c>
      <c r="F1740" s="27"/>
      <c r="G1740" s="27"/>
      <c r="H1740" s="27"/>
      <c r="I1740" s="27"/>
      <c r="J1740" s="27"/>
      <c r="K1740" s="27"/>
    </row>
    <row r="1741" spans="1:11" x14ac:dyDescent="0.2">
      <c r="A1741" s="26"/>
      <c r="B1741" s="14" t="str">
        <f>IF(A1741="","",CHOOSE(WEEKDAY(A1741),"日","月","火","水","木","金","土"))</f>
        <v/>
      </c>
      <c r="C1741" s="27"/>
      <c r="D1741" s="27"/>
      <c r="E1741" s="14" t="str">
        <f>IF(F1741="","",IFERROR(INDEX(マスター!$F$5:$F$200,MATCH(F1741,マスター!$E$5:$E$200,0)),"※マスター未登録"))</f>
        <v/>
      </c>
      <c r="F1741" s="27"/>
      <c r="G1741" s="27"/>
      <c r="H1741" s="27"/>
      <c r="I1741" s="27"/>
      <c r="J1741" s="27"/>
      <c r="K1741" s="27"/>
    </row>
    <row r="1742" spans="1:11" x14ac:dyDescent="0.2">
      <c r="A1742" s="26"/>
      <c r="B1742" s="14" t="str">
        <f>IF(A1742="","",CHOOSE(WEEKDAY(A1742),"日","月","火","水","木","金","土"))</f>
        <v/>
      </c>
      <c r="C1742" s="27"/>
      <c r="D1742" s="27"/>
      <c r="E1742" s="14" t="str">
        <f>IF(F1742="","",IFERROR(INDEX(マスター!$F$5:$F$200,MATCH(F1742,マスター!$E$5:$E$200,0)),"※マスター未登録"))</f>
        <v/>
      </c>
      <c r="F1742" s="27"/>
      <c r="G1742" s="27"/>
      <c r="H1742" s="27"/>
      <c r="I1742" s="27"/>
      <c r="J1742" s="27"/>
      <c r="K1742" s="27"/>
    </row>
    <row r="1743" spans="1:11" x14ac:dyDescent="0.2">
      <c r="A1743" s="26"/>
      <c r="B1743" s="14" t="str">
        <f>IF(A1743="","",CHOOSE(WEEKDAY(A1743),"日","月","火","水","木","金","土"))</f>
        <v/>
      </c>
      <c r="C1743" s="27"/>
      <c r="D1743" s="27"/>
      <c r="E1743" s="14" t="str">
        <f>IF(F1743="","",IFERROR(INDEX(マスター!$F$5:$F$200,MATCH(F1743,マスター!$E$5:$E$200,0)),"※マスター未登録"))</f>
        <v/>
      </c>
      <c r="F1743" s="27"/>
      <c r="G1743" s="27"/>
      <c r="H1743" s="27"/>
      <c r="I1743" s="27"/>
      <c r="J1743" s="27"/>
      <c r="K1743" s="27"/>
    </row>
    <row r="1744" spans="1:11" x14ac:dyDescent="0.2">
      <c r="A1744" s="26"/>
      <c r="B1744" s="14" t="str">
        <f>IF(A1744="","",CHOOSE(WEEKDAY(A1744),"日","月","火","水","木","金","土"))</f>
        <v/>
      </c>
      <c r="C1744" s="27"/>
      <c r="D1744" s="27"/>
      <c r="E1744" s="14" t="str">
        <f>IF(F1744="","",IFERROR(INDEX(マスター!$F$5:$F$200,MATCH(F1744,マスター!$E$5:$E$200,0)),"※マスター未登録"))</f>
        <v/>
      </c>
      <c r="F1744" s="27"/>
      <c r="G1744" s="27"/>
      <c r="H1744" s="27"/>
      <c r="I1744" s="27"/>
      <c r="J1744" s="27"/>
      <c r="K1744" s="27"/>
    </row>
    <row r="1745" spans="1:11" x14ac:dyDescent="0.2">
      <c r="A1745" s="26"/>
      <c r="B1745" s="14" t="str">
        <f>IF(A1745="","",CHOOSE(WEEKDAY(A1745),"日","月","火","水","木","金","土"))</f>
        <v/>
      </c>
      <c r="C1745" s="27"/>
      <c r="D1745" s="27"/>
      <c r="E1745" s="14" t="str">
        <f>IF(F1745="","",IFERROR(INDEX(マスター!$F$5:$F$200,MATCH(F1745,マスター!$E$5:$E$200,0)),"※マスター未登録"))</f>
        <v/>
      </c>
      <c r="F1745" s="27"/>
      <c r="G1745" s="27"/>
      <c r="H1745" s="27"/>
      <c r="I1745" s="27"/>
      <c r="J1745" s="27"/>
      <c r="K1745" s="27"/>
    </row>
    <row r="1746" spans="1:11" x14ac:dyDescent="0.2">
      <c r="A1746" s="26"/>
      <c r="B1746" s="14" t="str">
        <f>IF(A1746="","",CHOOSE(WEEKDAY(A1746),"日","月","火","水","木","金","土"))</f>
        <v/>
      </c>
      <c r="C1746" s="27"/>
      <c r="D1746" s="27"/>
      <c r="E1746" s="14" t="str">
        <f>IF(F1746="","",IFERROR(INDEX(マスター!$F$5:$F$200,MATCH(F1746,マスター!$E$5:$E$200,0)),"※マスター未登録"))</f>
        <v/>
      </c>
      <c r="F1746" s="27"/>
      <c r="G1746" s="27"/>
      <c r="H1746" s="27"/>
      <c r="I1746" s="27"/>
      <c r="J1746" s="27"/>
      <c r="K1746" s="27"/>
    </row>
    <row r="1747" spans="1:11" x14ac:dyDescent="0.2">
      <c r="A1747" s="26"/>
      <c r="B1747" s="14" t="str">
        <f>IF(A1747="","",CHOOSE(WEEKDAY(A1747),"日","月","火","水","木","金","土"))</f>
        <v/>
      </c>
      <c r="C1747" s="27"/>
      <c r="D1747" s="27"/>
      <c r="E1747" s="14" t="str">
        <f>IF(F1747="","",IFERROR(INDEX(マスター!$F$5:$F$200,MATCH(F1747,マスター!$E$5:$E$200,0)),"※マスター未登録"))</f>
        <v/>
      </c>
      <c r="F1747" s="27"/>
      <c r="G1747" s="27"/>
      <c r="H1747" s="27"/>
      <c r="I1747" s="27"/>
      <c r="J1747" s="27"/>
      <c r="K1747" s="27"/>
    </row>
    <row r="1748" spans="1:11" x14ac:dyDescent="0.2">
      <c r="A1748" s="26"/>
      <c r="B1748" s="14" t="str">
        <f>IF(A1748="","",CHOOSE(WEEKDAY(A1748),"日","月","火","水","木","金","土"))</f>
        <v/>
      </c>
      <c r="C1748" s="27"/>
      <c r="D1748" s="27"/>
      <c r="E1748" s="14" t="str">
        <f>IF(F1748="","",IFERROR(INDEX(マスター!$F$5:$F$200,MATCH(F1748,マスター!$E$5:$E$200,0)),"※マスター未登録"))</f>
        <v/>
      </c>
      <c r="F1748" s="27"/>
      <c r="G1748" s="27"/>
      <c r="H1748" s="27"/>
      <c r="I1748" s="27"/>
      <c r="J1748" s="27"/>
      <c r="K1748" s="27"/>
    </row>
    <row r="1749" spans="1:11" x14ac:dyDescent="0.2">
      <c r="A1749" s="26"/>
      <c r="B1749" s="14" t="str">
        <f>IF(A1749="","",CHOOSE(WEEKDAY(A1749),"日","月","火","水","木","金","土"))</f>
        <v/>
      </c>
      <c r="C1749" s="27"/>
      <c r="D1749" s="27"/>
      <c r="E1749" s="14" t="str">
        <f>IF(F1749="","",IFERROR(INDEX(マスター!$F$5:$F$200,MATCH(F1749,マスター!$E$5:$E$200,0)),"※マスター未登録"))</f>
        <v/>
      </c>
      <c r="F1749" s="27"/>
      <c r="G1749" s="27"/>
      <c r="H1749" s="27"/>
      <c r="I1749" s="27"/>
      <c r="J1749" s="27"/>
      <c r="K1749" s="27"/>
    </row>
    <row r="1750" spans="1:11" x14ac:dyDescent="0.2">
      <c r="A1750" s="26"/>
      <c r="B1750" s="14" t="str">
        <f>IF(A1750="","",CHOOSE(WEEKDAY(A1750),"日","月","火","水","木","金","土"))</f>
        <v/>
      </c>
      <c r="C1750" s="27"/>
      <c r="D1750" s="27"/>
      <c r="E1750" s="14" t="str">
        <f>IF(F1750="","",IFERROR(INDEX(マスター!$F$5:$F$200,MATCH(F1750,マスター!$E$5:$E$200,0)),"※マスター未登録"))</f>
        <v/>
      </c>
      <c r="F1750" s="27"/>
      <c r="G1750" s="27"/>
      <c r="H1750" s="27"/>
      <c r="I1750" s="27"/>
      <c r="J1750" s="27"/>
      <c r="K1750" s="27"/>
    </row>
    <row r="1751" spans="1:11" x14ac:dyDescent="0.2">
      <c r="A1751" s="26"/>
      <c r="B1751" s="14" t="str">
        <f>IF(A1751="","",CHOOSE(WEEKDAY(A1751),"日","月","火","水","木","金","土"))</f>
        <v/>
      </c>
      <c r="C1751" s="27"/>
      <c r="D1751" s="27"/>
      <c r="E1751" s="14" t="str">
        <f>IF(F1751="","",IFERROR(INDEX(マスター!$F$5:$F$200,MATCH(F1751,マスター!$E$5:$E$200,0)),"※マスター未登録"))</f>
        <v/>
      </c>
      <c r="F1751" s="27"/>
      <c r="G1751" s="27"/>
      <c r="H1751" s="27"/>
      <c r="I1751" s="27"/>
      <c r="J1751" s="27"/>
      <c r="K1751" s="27"/>
    </row>
    <row r="1752" spans="1:11" x14ac:dyDescent="0.2">
      <c r="A1752" s="26"/>
      <c r="B1752" s="14" t="str">
        <f>IF(A1752="","",CHOOSE(WEEKDAY(A1752),"日","月","火","水","木","金","土"))</f>
        <v/>
      </c>
      <c r="C1752" s="27"/>
      <c r="D1752" s="27"/>
      <c r="E1752" s="14" t="str">
        <f>IF(F1752="","",IFERROR(INDEX(マスター!$F$5:$F$200,MATCH(F1752,マスター!$E$5:$E$200,0)),"※マスター未登録"))</f>
        <v/>
      </c>
      <c r="F1752" s="27"/>
      <c r="G1752" s="27"/>
      <c r="H1752" s="27"/>
      <c r="I1752" s="27"/>
      <c r="J1752" s="27"/>
      <c r="K1752" s="27"/>
    </row>
    <row r="1753" spans="1:11" x14ac:dyDescent="0.2">
      <c r="A1753" s="26"/>
      <c r="B1753" s="14" t="str">
        <f>IF(A1753="","",CHOOSE(WEEKDAY(A1753),"日","月","火","水","木","金","土"))</f>
        <v/>
      </c>
      <c r="C1753" s="27"/>
      <c r="D1753" s="27"/>
      <c r="E1753" s="14" t="str">
        <f>IF(F1753="","",IFERROR(INDEX(マスター!$F$5:$F$200,MATCH(F1753,マスター!$E$5:$E$200,0)),"※マスター未登録"))</f>
        <v/>
      </c>
      <c r="F1753" s="27"/>
      <c r="G1753" s="27"/>
      <c r="H1753" s="27"/>
      <c r="I1753" s="27"/>
      <c r="J1753" s="27"/>
      <c r="K1753" s="27"/>
    </row>
    <row r="1754" spans="1:11" x14ac:dyDescent="0.2">
      <c r="A1754" s="26"/>
      <c r="B1754" s="14" t="str">
        <f>IF(A1754="","",CHOOSE(WEEKDAY(A1754),"日","月","火","水","木","金","土"))</f>
        <v/>
      </c>
      <c r="C1754" s="27"/>
      <c r="D1754" s="27"/>
      <c r="E1754" s="14" t="str">
        <f>IF(F1754="","",IFERROR(INDEX(マスター!$F$5:$F$200,MATCH(F1754,マスター!$E$5:$E$200,0)),"※マスター未登録"))</f>
        <v/>
      </c>
      <c r="F1754" s="27"/>
      <c r="G1754" s="27"/>
      <c r="H1754" s="27"/>
      <c r="I1754" s="27"/>
      <c r="J1754" s="27"/>
      <c r="K1754" s="27"/>
    </row>
    <row r="1755" spans="1:11" x14ac:dyDescent="0.2">
      <c r="A1755" s="26"/>
      <c r="B1755" s="14" t="str">
        <f>IF(A1755="","",CHOOSE(WEEKDAY(A1755),"日","月","火","水","木","金","土"))</f>
        <v/>
      </c>
      <c r="C1755" s="27"/>
      <c r="D1755" s="27"/>
      <c r="E1755" s="14" t="str">
        <f>IF(F1755="","",IFERROR(INDEX(マスター!$F$5:$F$200,MATCH(F1755,マスター!$E$5:$E$200,0)),"※マスター未登録"))</f>
        <v/>
      </c>
      <c r="F1755" s="27"/>
      <c r="G1755" s="27"/>
      <c r="H1755" s="27"/>
      <c r="I1755" s="27"/>
      <c r="J1755" s="27"/>
      <c r="K1755" s="27"/>
    </row>
    <row r="1756" spans="1:11" x14ac:dyDescent="0.2">
      <c r="A1756" s="26"/>
      <c r="B1756" s="14" t="str">
        <f>IF(A1756="","",CHOOSE(WEEKDAY(A1756),"日","月","火","水","木","金","土"))</f>
        <v/>
      </c>
      <c r="C1756" s="27"/>
      <c r="D1756" s="27"/>
      <c r="E1756" s="14" t="str">
        <f>IF(F1756="","",IFERROR(INDEX(マスター!$F$5:$F$200,MATCH(F1756,マスター!$E$5:$E$200,0)),"※マスター未登録"))</f>
        <v/>
      </c>
      <c r="F1756" s="27"/>
      <c r="G1756" s="27"/>
      <c r="H1756" s="27"/>
      <c r="I1756" s="27"/>
      <c r="J1756" s="27"/>
      <c r="K1756" s="27"/>
    </row>
    <row r="1757" spans="1:11" x14ac:dyDescent="0.2">
      <c r="A1757" s="26"/>
      <c r="B1757" s="14" t="str">
        <f>IF(A1757="","",CHOOSE(WEEKDAY(A1757),"日","月","火","水","木","金","土"))</f>
        <v/>
      </c>
      <c r="C1757" s="27"/>
      <c r="D1757" s="27"/>
      <c r="E1757" s="14" t="str">
        <f>IF(F1757="","",IFERROR(INDEX(マスター!$F$5:$F$200,MATCH(F1757,マスター!$E$5:$E$200,0)),"※マスター未登録"))</f>
        <v/>
      </c>
      <c r="F1757" s="27"/>
      <c r="G1757" s="27"/>
      <c r="H1757" s="27"/>
      <c r="I1757" s="27"/>
      <c r="J1757" s="27"/>
      <c r="K1757" s="27"/>
    </row>
    <row r="1758" spans="1:11" x14ac:dyDescent="0.2">
      <c r="A1758" s="26"/>
      <c r="B1758" s="14" t="str">
        <f>IF(A1758="","",CHOOSE(WEEKDAY(A1758),"日","月","火","水","木","金","土"))</f>
        <v/>
      </c>
      <c r="C1758" s="27"/>
      <c r="D1758" s="27"/>
      <c r="E1758" s="14" t="str">
        <f>IF(F1758="","",IFERROR(INDEX(マスター!$F$5:$F$200,MATCH(F1758,マスター!$E$5:$E$200,0)),"※マスター未登録"))</f>
        <v/>
      </c>
      <c r="F1758" s="27"/>
      <c r="G1758" s="27"/>
      <c r="H1758" s="27"/>
      <c r="I1758" s="27"/>
      <c r="J1758" s="27"/>
      <c r="K1758" s="27"/>
    </row>
    <row r="1759" spans="1:11" x14ac:dyDescent="0.2">
      <c r="A1759" s="26"/>
      <c r="B1759" s="14" t="str">
        <f>IF(A1759="","",CHOOSE(WEEKDAY(A1759),"日","月","火","水","木","金","土"))</f>
        <v/>
      </c>
      <c r="C1759" s="27"/>
      <c r="D1759" s="27"/>
      <c r="E1759" s="14" t="str">
        <f>IF(F1759="","",IFERROR(INDEX(マスター!$F$5:$F$200,MATCH(F1759,マスター!$E$5:$E$200,0)),"※マスター未登録"))</f>
        <v/>
      </c>
      <c r="F1759" s="27"/>
      <c r="G1759" s="27"/>
      <c r="H1759" s="27"/>
      <c r="I1759" s="27"/>
      <c r="J1759" s="27"/>
      <c r="K1759" s="27"/>
    </row>
    <row r="1760" spans="1:11" x14ac:dyDescent="0.2">
      <c r="A1760" s="26"/>
      <c r="B1760" s="14" t="str">
        <f>IF(A1760="","",CHOOSE(WEEKDAY(A1760),"日","月","火","水","木","金","土"))</f>
        <v/>
      </c>
      <c r="C1760" s="27"/>
      <c r="D1760" s="27"/>
      <c r="E1760" s="14" t="str">
        <f>IF(F1760="","",IFERROR(INDEX(マスター!$F$5:$F$200,MATCH(F1760,マスター!$E$5:$E$200,0)),"※マスター未登録"))</f>
        <v/>
      </c>
      <c r="F1760" s="27"/>
      <c r="G1760" s="27"/>
      <c r="H1760" s="27"/>
      <c r="I1760" s="27"/>
      <c r="J1760" s="27"/>
      <c r="K1760" s="27"/>
    </row>
    <row r="1761" spans="1:11" x14ac:dyDescent="0.2">
      <c r="A1761" s="26"/>
      <c r="B1761" s="14" t="str">
        <f>IF(A1761="","",CHOOSE(WEEKDAY(A1761),"日","月","火","水","木","金","土"))</f>
        <v/>
      </c>
      <c r="C1761" s="27"/>
      <c r="D1761" s="27"/>
      <c r="E1761" s="14" t="str">
        <f>IF(F1761="","",IFERROR(INDEX(マスター!$F$5:$F$200,MATCH(F1761,マスター!$E$5:$E$200,0)),"※マスター未登録"))</f>
        <v/>
      </c>
      <c r="F1761" s="27"/>
      <c r="G1761" s="27"/>
      <c r="H1761" s="27"/>
      <c r="I1761" s="27"/>
      <c r="J1761" s="27"/>
      <c r="K1761" s="27"/>
    </row>
    <row r="1762" spans="1:11" x14ac:dyDescent="0.2">
      <c r="A1762" s="26"/>
      <c r="B1762" s="14" t="str">
        <f>IF(A1762="","",CHOOSE(WEEKDAY(A1762),"日","月","火","水","木","金","土"))</f>
        <v/>
      </c>
      <c r="C1762" s="27"/>
      <c r="D1762" s="27"/>
      <c r="E1762" s="14" t="str">
        <f>IF(F1762="","",IFERROR(INDEX(マスター!$F$5:$F$200,MATCH(F1762,マスター!$E$5:$E$200,0)),"※マスター未登録"))</f>
        <v/>
      </c>
      <c r="F1762" s="27"/>
      <c r="G1762" s="27"/>
      <c r="H1762" s="27"/>
      <c r="I1762" s="27"/>
      <c r="J1762" s="27"/>
      <c r="K1762" s="27"/>
    </row>
    <row r="1763" spans="1:11" x14ac:dyDescent="0.2">
      <c r="A1763" s="26"/>
      <c r="B1763" s="14" t="str">
        <f>IF(A1763="","",CHOOSE(WEEKDAY(A1763),"日","月","火","水","木","金","土"))</f>
        <v/>
      </c>
      <c r="C1763" s="27"/>
      <c r="D1763" s="27"/>
      <c r="E1763" s="14" t="str">
        <f>IF(F1763="","",IFERROR(INDEX(マスター!$F$5:$F$200,MATCH(F1763,マスター!$E$5:$E$200,0)),"※マスター未登録"))</f>
        <v/>
      </c>
      <c r="F1763" s="27"/>
      <c r="G1763" s="27"/>
      <c r="H1763" s="27"/>
      <c r="I1763" s="27"/>
      <c r="J1763" s="27"/>
      <c r="K1763" s="27"/>
    </row>
    <row r="1764" spans="1:11" x14ac:dyDescent="0.2">
      <c r="A1764" s="26"/>
      <c r="B1764" s="14" t="str">
        <f>IF(A1764="","",CHOOSE(WEEKDAY(A1764),"日","月","火","水","木","金","土"))</f>
        <v/>
      </c>
      <c r="C1764" s="27"/>
      <c r="D1764" s="27"/>
      <c r="E1764" s="14" t="str">
        <f>IF(F1764="","",IFERROR(INDEX(マスター!$F$5:$F$200,MATCH(F1764,マスター!$E$5:$E$200,0)),"※マスター未登録"))</f>
        <v/>
      </c>
      <c r="F1764" s="27"/>
      <c r="G1764" s="27"/>
      <c r="H1764" s="27"/>
      <c r="I1764" s="27"/>
      <c r="J1764" s="27"/>
      <c r="K1764" s="27"/>
    </row>
    <row r="1765" spans="1:11" x14ac:dyDescent="0.2">
      <c r="A1765" s="26"/>
      <c r="B1765" s="14" t="str">
        <f>IF(A1765="","",CHOOSE(WEEKDAY(A1765),"日","月","火","水","木","金","土"))</f>
        <v/>
      </c>
      <c r="C1765" s="27"/>
      <c r="D1765" s="27"/>
      <c r="E1765" s="14" t="str">
        <f>IF(F1765="","",IFERROR(INDEX(マスター!$F$5:$F$200,MATCH(F1765,マスター!$E$5:$E$200,0)),"※マスター未登録"))</f>
        <v/>
      </c>
      <c r="F1765" s="27"/>
      <c r="G1765" s="27"/>
      <c r="H1765" s="27"/>
      <c r="I1765" s="27"/>
      <c r="J1765" s="27"/>
      <c r="K1765" s="27"/>
    </row>
    <row r="1766" spans="1:11" x14ac:dyDescent="0.2">
      <c r="A1766" s="26"/>
      <c r="B1766" s="14" t="str">
        <f>IF(A1766="","",CHOOSE(WEEKDAY(A1766),"日","月","火","水","木","金","土"))</f>
        <v/>
      </c>
      <c r="C1766" s="27"/>
      <c r="D1766" s="27"/>
      <c r="E1766" s="14" t="str">
        <f>IF(F1766="","",IFERROR(INDEX(マスター!$F$5:$F$200,MATCH(F1766,マスター!$E$5:$E$200,0)),"※マスター未登録"))</f>
        <v/>
      </c>
      <c r="F1766" s="27"/>
      <c r="G1766" s="27"/>
      <c r="H1766" s="27"/>
      <c r="I1766" s="27"/>
      <c r="J1766" s="27"/>
      <c r="K1766" s="27"/>
    </row>
    <row r="1767" spans="1:11" x14ac:dyDescent="0.2">
      <c r="A1767" s="26"/>
      <c r="B1767" s="14" t="str">
        <f>IF(A1767="","",CHOOSE(WEEKDAY(A1767),"日","月","火","水","木","金","土"))</f>
        <v/>
      </c>
      <c r="C1767" s="27"/>
      <c r="D1767" s="27"/>
      <c r="E1767" s="14" t="str">
        <f>IF(F1767="","",IFERROR(INDEX(マスター!$F$5:$F$200,MATCH(F1767,マスター!$E$5:$E$200,0)),"※マスター未登録"))</f>
        <v/>
      </c>
      <c r="F1767" s="27"/>
      <c r="G1767" s="27"/>
      <c r="H1767" s="27"/>
      <c r="I1767" s="27"/>
      <c r="J1767" s="27"/>
      <c r="K1767" s="27"/>
    </row>
    <row r="1768" spans="1:11" x14ac:dyDescent="0.2">
      <c r="A1768" s="26"/>
      <c r="B1768" s="14" t="str">
        <f>IF(A1768="","",CHOOSE(WEEKDAY(A1768),"日","月","火","水","木","金","土"))</f>
        <v/>
      </c>
      <c r="C1768" s="27"/>
      <c r="D1768" s="27"/>
      <c r="E1768" s="14" t="str">
        <f>IF(F1768="","",IFERROR(INDEX(マスター!$F$5:$F$200,MATCH(F1768,マスター!$E$5:$E$200,0)),"※マスター未登録"))</f>
        <v/>
      </c>
      <c r="F1768" s="27"/>
      <c r="G1768" s="27"/>
      <c r="H1768" s="27"/>
      <c r="I1768" s="27"/>
      <c r="J1768" s="27"/>
      <c r="K1768" s="27"/>
    </row>
    <row r="1769" spans="1:11" x14ac:dyDescent="0.2">
      <c r="A1769" s="26"/>
      <c r="B1769" s="14" t="str">
        <f>IF(A1769="","",CHOOSE(WEEKDAY(A1769),"日","月","火","水","木","金","土"))</f>
        <v/>
      </c>
      <c r="C1769" s="27"/>
      <c r="D1769" s="27"/>
      <c r="E1769" s="14" t="str">
        <f>IF(F1769="","",IFERROR(INDEX(マスター!$F$5:$F$200,MATCH(F1769,マスター!$E$5:$E$200,0)),"※マスター未登録"))</f>
        <v/>
      </c>
      <c r="F1769" s="27"/>
      <c r="G1769" s="27"/>
      <c r="H1769" s="27"/>
      <c r="I1769" s="27"/>
      <c r="J1769" s="27"/>
      <c r="K1769" s="27"/>
    </row>
    <row r="1770" spans="1:11" x14ac:dyDescent="0.2">
      <c r="A1770" s="26"/>
      <c r="B1770" s="14" t="str">
        <f>IF(A1770="","",CHOOSE(WEEKDAY(A1770),"日","月","火","水","木","金","土"))</f>
        <v/>
      </c>
      <c r="C1770" s="27"/>
      <c r="D1770" s="27"/>
      <c r="E1770" s="14" t="str">
        <f>IF(F1770="","",IFERROR(INDEX(マスター!$F$5:$F$200,MATCH(F1770,マスター!$E$5:$E$200,0)),"※マスター未登録"))</f>
        <v/>
      </c>
      <c r="F1770" s="27"/>
      <c r="G1770" s="27"/>
      <c r="H1770" s="27"/>
      <c r="I1770" s="27"/>
      <c r="J1770" s="27"/>
      <c r="K1770" s="27"/>
    </row>
    <row r="1771" spans="1:11" x14ac:dyDescent="0.2">
      <c r="A1771" s="26"/>
      <c r="B1771" s="14" t="str">
        <f>IF(A1771="","",CHOOSE(WEEKDAY(A1771),"日","月","火","水","木","金","土"))</f>
        <v/>
      </c>
      <c r="C1771" s="27"/>
      <c r="D1771" s="27"/>
      <c r="E1771" s="14" t="str">
        <f>IF(F1771="","",IFERROR(INDEX(マスター!$F$5:$F$200,MATCH(F1771,マスター!$E$5:$E$200,0)),"※マスター未登録"))</f>
        <v/>
      </c>
      <c r="F1771" s="27"/>
      <c r="G1771" s="27"/>
      <c r="H1771" s="27"/>
      <c r="I1771" s="27"/>
      <c r="J1771" s="27"/>
      <c r="K1771" s="27"/>
    </row>
    <row r="1772" spans="1:11" x14ac:dyDescent="0.2">
      <c r="A1772" s="26"/>
      <c r="B1772" s="14" t="str">
        <f>IF(A1772="","",CHOOSE(WEEKDAY(A1772),"日","月","火","水","木","金","土"))</f>
        <v/>
      </c>
      <c r="C1772" s="27"/>
      <c r="D1772" s="27"/>
      <c r="E1772" s="14" t="str">
        <f>IF(F1772="","",IFERROR(INDEX(マスター!$F$5:$F$200,MATCH(F1772,マスター!$E$5:$E$200,0)),"※マスター未登録"))</f>
        <v/>
      </c>
      <c r="F1772" s="27"/>
      <c r="G1772" s="27"/>
      <c r="H1772" s="27"/>
      <c r="I1772" s="27"/>
      <c r="J1772" s="27"/>
      <c r="K1772" s="27"/>
    </row>
    <row r="1773" spans="1:11" x14ac:dyDescent="0.2">
      <c r="A1773" s="26"/>
      <c r="B1773" s="14" t="str">
        <f>IF(A1773="","",CHOOSE(WEEKDAY(A1773),"日","月","火","水","木","金","土"))</f>
        <v/>
      </c>
      <c r="C1773" s="27"/>
      <c r="D1773" s="27"/>
      <c r="E1773" s="14" t="str">
        <f>IF(F1773="","",IFERROR(INDEX(マスター!$F$5:$F$200,MATCH(F1773,マスター!$E$5:$E$200,0)),"※マスター未登録"))</f>
        <v/>
      </c>
      <c r="F1773" s="27"/>
      <c r="G1773" s="27"/>
      <c r="H1773" s="27"/>
      <c r="I1773" s="27"/>
      <c r="J1773" s="27"/>
      <c r="K1773" s="27"/>
    </row>
    <row r="1774" spans="1:11" x14ac:dyDescent="0.2">
      <c r="A1774" s="26"/>
      <c r="B1774" s="14" t="str">
        <f>IF(A1774="","",CHOOSE(WEEKDAY(A1774),"日","月","火","水","木","金","土"))</f>
        <v/>
      </c>
      <c r="C1774" s="27"/>
      <c r="D1774" s="27"/>
      <c r="E1774" s="14" t="str">
        <f>IF(F1774="","",IFERROR(INDEX(マスター!$F$5:$F$200,MATCH(F1774,マスター!$E$5:$E$200,0)),"※マスター未登録"))</f>
        <v/>
      </c>
      <c r="F1774" s="27"/>
      <c r="G1774" s="27"/>
      <c r="H1774" s="27"/>
      <c r="I1774" s="27"/>
      <c r="J1774" s="27"/>
      <c r="K1774" s="27"/>
    </row>
    <row r="1775" spans="1:11" x14ac:dyDescent="0.2">
      <c r="A1775" s="26"/>
      <c r="B1775" s="14" t="str">
        <f>IF(A1775="","",CHOOSE(WEEKDAY(A1775),"日","月","火","水","木","金","土"))</f>
        <v/>
      </c>
      <c r="C1775" s="27"/>
      <c r="D1775" s="27"/>
      <c r="E1775" s="14" t="str">
        <f>IF(F1775="","",IFERROR(INDEX(マスター!$F$5:$F$200,MATCH(F1775,マスター!$E$5:$E$200,0)),"※マスター未登録"))</f>
        <v/>
      </c>
      <c r="F1775" s="27"/>
      <c r="G1775" s="27"/>
      <c r="H1775" s="27"/>
      <c r="I1775" s="27"/>
      <c r="J1775" s="27"/>
      <c r="K1775" s="27"/>
    </row>
    <row r="1776" spans="1:11" x14ac:dyDescent="0.2">
      <c r="A1776" s="26"/>
      <c r="B1776" s="14" t="str">
        <f>IF(A1776="","",CHOOSE(WEEKDAY(A1776),"日","月","火","水","木","金","土"))</f>
        <v/>
      </c>
      <c r="C1776" s="27"/>
      <c r="D1776" s="27"/>
      <c r="E1776" s="14" t="str">
        <f>IF(F1776="","",IFERROR(INDEX(マスター!$F$5:$F$200,MATCH(F1776,マスター!$E$5:$E$200,0)),"※マスター未登録"))</f>
        <v/>
      </c>
      <c r="F1776" s="27"/>
      <c r="G1776" s="27"/>
      <c r="H1776" s="27"/>
      <c r="I1776" s="27"/>
      <c r="J1776" s="27"/>
      <c r="K1776" s="27"/>
    </row>
    <row r="1777" spans="1:11" x14ac:dyDescent="0.2">
      <c r="A1777" s="26"/>
      <c r="B1777" s="14" t="str">
        <f>IF(A1777="","",CHOOSE(WEEKDAY(A1777),"日","月","火","水","木","金","土"))</f>
        <v/>
      </c>
      <c r="C1777" s="27"/>
      <c r="D1777" s="27"/>
      <c r="E1777" s="14" t="str">
        <f>IF(F1777="","",IFERROR(INDEX(マスター!$F$5:$F$200,MATCH(F1777,マスター!$E$5:$E$200,0)),"※マスター未登録"))</f>
        <v/>
      </c>
      <c r="F1777" s="27"/>
      <c r="G1777" s="27"/>
      <c r="H1777" s="27"/>
      <c r="I1777" s="27"/>
      <c r="J1777" s="27"/>
      <c r="K1777" s="27"/>
    </row>
    <row r="1778" spans="1:11" x14ac:dyDescent="0.2">
      <c r="A1778" s="26"/>
      <c r="B1778" s="14" t="str">
        <f>IF(A1778="","",CHOOSE(WEEKDAY(A1778),"日","月","火","水","木","金","土"))</f>
        <v/>
      </c>
      <c r="C1778" s="27"/>
      <c r="D1778" s="27"/>
      <c r="E1778" s="14" t="str">
        <f>IF(F1778="","",IFERROR(INDEX(マスター!$F$5:$F$200,MATCH(F1778,マスター!$E$5:$E$200,0)),"※マスター未登録"))</f>
        <v/>
      </c>
      <c r="F1778" s="27"/>
      <c r="G1778" s="27"/>
      <c r="H1778" s="27"/>
      <c r="I1778" s="27"/>
      <c r="J1778" s="27"/>
      <c r="K1778" s="27"/>
    </row>
    <row r="1779" spans="1:11" x14ac:dyDescent="0.2">
      <c r="A1779" s="26"/>
      <c r="B1779" s="14" t="str">
        <f>IF(A1779="","",CHOOSE(WEEKDAY(A1779),"日","月","火","水","木","金","土"))</f>
        <v/>
      </c>
      <c r="C1779" s="27"/>
      <c r="D1779" s="27"/>
      <c r="E1779" s="14" t="str">
        <f>IF(F1779="","",IFERROR(INDEX(マスター!$F$5:$F$200,MATCH(F1779,マスター!$E$5:$E$200,0)),"※マスター未登録"))</f>
        <v/>
      </c>
      <c r="F1779" s="27"/>
      <c r="G1779" s="27"/>
      <c r="H1779" s="27"/>
      <c r="I1779" s="27"/>
      <c r="J1779" s="27"/>
      <c r="K1779" s="27"/>
    </row>
    <row r="1780" spans="1:11" x14ac:dyDescent="0.2">
      <c r="A1780" s="26"/>
      <c r="B1780" s="14" t="str">
        <f>IF(A1780="","",CHOOSE(WEEKDAY(A1780),"日","月","火","水","木","金","土"))</f>
        <v/>
      </c>
      <c r="C1780" s="27"/>
      <c r="D1780" s="27"/>
      <c r="E1780" s="14" t="str">
        <f>IF(F1780="","",IFERROR(INDEX(マスター!$F$5:$F$200,MATCH(F1780,マスター!$E$5:$E$200,0)),"※マスター未登録"))</f>
        <v/>
      </c>
      <c r="F1780" s="27"/>
      <c r="G1780" s="27"/>
      <c r="H1780" s="27"/>
      <c r="I1780" s="27"/>
      <c r="J1780" s="27"/>
      <c r="K1780" s="27"/>
    </row>
    <row r="1781" spans="1:11" x14ac:dyDescent="0.2">
      <c r="A1781" s="26"/>
      <c r="B1781" s="14" t="str">
        <f>IF(A1781="","",CHOOSE(WEEKDAY(A1781),"日","月","火","水","木","金","土"))</f>
        <v/>
      </c>
      <c r="C1781" s="27"/>
      <c r="D1781" s="27"/>
      <c r="E1781" s="14" t="str">
        <f>IF(F1781="","",IFERROR(INDEX(マスター!$F$5:$F$200,MATCH(F1781,マスター!$E$5:$E$200,0)),"※マスター未登録"))</f>
        <v/>
      </c>
      <c r="F1781" s="27"/>
      <c r="G1781" s="27"/>
      <c r="H1781" s="27"/>
      <c r="I1781" s="27"/>
      <c r="J1781" s="27"/>
      <c r="K1781" s="27"/>
    </row>
    <row r="1782" spans="1:11" x14ac:dyDescent="0.2">
      <c r="A1782" s="26"/>
      <c r="B1782" s="14" t="str">
        <f>IF(A1782="","",CHOOSE(WEEKDAY(A1782),"日","月","火","水","木","金","土"))</f>
        <v/>
      </c>
      <c r="C1782" s="27"/>
      <c r="D1782" s="27"/>
      <c r="E1782" s="14" t="str">
        <f>IF(F1782="","",IFERROR(INDEX(マスター!$F$5:$F$200,MATCH(F1782,マスター!$E$5:$E$200,0)),"※マスター未登録"))</f>
        <v/>
      </c>
      <c r="F1782" s="27"/>
      <c r="G1782" s="27"/>
      <c r="H1782" s="27"/>
      <c r="I1782" s="27"/>
      <c r="J1782" s="27"/>
      <c r="K1782" s="27"/>
    </row>
    <row r="1783" spans="1:11" x14ac:dyDescent="0.2">
      <c r="A1783" s="26"/>
      <c r="B1783" s="14" t="str">
        <f>IF(A1783="","",CHOOSE(WEEKDAY(A1783),"日","月","火","水","木","金","土"))</f>
        <v/>
      </c>
      <c r="C1783" s="27"/>
      <c r="D1783" s="27"/>
      <c r="E1783" s="14" t="str">
        <f>IF(F1783="","",IFERROR(INDEX(マスター!$F$5:$F$200,MATCH(F1783,マスター!$E$5:$E$200,0)),"※マスター未登録"))</f>
        <v/>
      </c>
      <c r="F1783" s="27"/>
      <c r="G1783" s="27"/>
      <c r="H1783" s="27"/>
      <c r="I1783" s="27"/>
      <c r="J1783" s="27"/>
      <c r="K1783" s="27"/>
    </row>
    <row r="1784" spans="1:11" x14ac:dyDescent="0.2">
      <c r="A1784" s="26"/>
      <c r="B1784" s="14" t="str">
        <f>IF(A1784="","",CHOOSE(WEEKDAY(A1784),"日","月","火","水","木","金","土"))</f>
        <v/>
      </c>
      <c r="C1784" s="27"/>
      <c r="D1784" s="27"/>
      <c r="E1784" s="14" t="str">
        <f>IF(F1784="","",IFERROR(INDEX(マスター!$F$5:$F$200,MATCH(F1784,マスター!$E$5:$E$200,0)),"※マスター未登録"))</f>
        <v/>
      </c>
      <c r="F1784" s="27"/>
      <c r="G1784" s="27"/>
      <c r="H1784" s="27"/>
      <c r="I1784" s="27"/>
      <c r="J1784" s="27"/>
      <c r="K1784" s="27"/>
    </row>
    <row r="1785" spans="1:11" x14ac:dyDescent="0.2">
      <c r="A1785" s="26"/>
      <c r="B1785" s="14" t="str">
        <f>IF(A1785="","",CHOOSE(WEEKDAY(A1785),"日","月","火","水","木","金","土"))</f>
        <v/>
      </c>
      <c r="C1785" s="27"/>
      <c r="D1785" s="27"/>
      <c r="E1785" s="14" t="str">
        <f>IF(F1785="","",IFERROR(INDEX(マスター!$F$5:$F$200,MATCH(F1785,マスター!$E$5:$E$200,0)),"※マスター未登録"))</f>
        <v/>
      </c>
      <c r="F1785" s="27"/>
      <c r="G1785" s="27"/>
      <c r="H1785" s="27"/>
      <c r="I1785" s="27"/>
      <c r="J1785" s="27"/>
      <c r="K1785" s="27"/>
    </row>
    <row r="1786" spans="1:11" x14ac:dyDescent="0.2">
      <c r="A1786" s="26"/>
      <c r="B1786" s="14" t="str">
        <f>IF(A1786="","",CHOOSE(WEEKDAY(A1786),"日","月","火","水","木","金","土"))</f>
        <v/>
      </c>
      <c r="C1786" s="27"/>
      <c r="D1786" s="27"/>
      <c r="E1786" s="14" t="str">
        <f>IF(F1786="","",IFERROR(INDEX(マスター!$F$5:$F$200,MATCH(F1786,マスター!$E$5:$E$200,0)),"※マスター未登録"))</f>
        <v/>
      </c>
      <c r="F1786" s="27"/>
      <c r="G1786" s="27"/>
      <c r="H1786" s="27"/>
      <c r="I1786" s="27"/>
      <c r="J1786" s="27"/>
      <c r="K1786" s="27"/>
    </row>
    <row r="1787" spans="1:11" x14ac:dyDescent="0.2">
      <c r="A1787" s="26"/>
      <c r="B1787" s="14" t="str">
        <f>IF(A1787="","",CHOOSE(WEEKDAY(A1787),"日","月","火","水","木","金","土"))</f>
        <v/>
      </c>
      <c r="C1787" s="27"/>
      <c r="D1787" s="27"/>
      <c r="E1787" s="14" t="str">
        <f>IF(F1787="","",IFERROR(INDEX(マスター!$F$5:$F$200,MATCH(F1787,マスター!$E$5:$E$200,0)),"※マスター未登録"))</f>
        <v/>
      </c>
      <c r="F1787" s="27"/>
      <c r="G1787" s="27"/>
      <c r="H1787" s="27"/>
      <c r="I1787" s="27"/>
      <c r="J1787" s="27"/>
      <c r="K1787" s="27"/>
    </row>
    <row r="1788" spans="1:11" x14ac:dyDescent="0.2">
      <c r="A1788" s="26"/>
      <c r="B1788" s="14" t="str">
        <f>IF(A1788="","",CHOOSE(WEEKDAY(A1788),"日","月","火","水","木","金","土"))</f>
        <v/>
      </c>
      <c r="C1788" s="27"/>
      <c r="D1788" s="27"/>
      <c r="E1788" s="14" t="str">
        <f>IF(F1788="","",IFERROR(INDEX(マスター!$F$5:$F$200,MATCH(F1788,マスター!$E$5:$E$200,0)),"※マスター未登録"))</f>
        <v/>
      </c>
      <c r="F1788" s="27"/>
      <c r="G1788" s="27"/>
      <c r="H1788" s="27"/>
      <c r="I1788" s="27"/>
      <c r="J1788" s="27"/>
      <c r="K1788" s="27"/>
    </row>
    <row r="1789" spans="1:11" x14ac:dyDescent="0.2">
      <c r="A1789" s="26"/>
      <c r="B1789" s="14" t="str">
        <f>IF(A1789="","",CHOOSE(WEEKDAY(A1789),"日","月","火","水","木","金","土"))</f>
        <v/>
      </c>
      <c r="C1789" s="27"/>
      <c r="D1789" s="27"/>
      <c r="E1789" s="14" t="str">
        <f>IF(F1789="","",IFERROR(INDEX(マスター!$F$5:$F$200,MATCH(F1789,マスター!$E$5:$E$200,0)),"※マスター未登録"))</f>
        <v/>
      </c>
      <c r="F1789" s="27"/>
      <c r="G1789" s="27"/>
      <c r="H1789" s="27"/>
      <c r="I1789" s="27"/>
      <c r="J1789" s="27"/>
      <c r="K1789" s="27"/>
    </row>
    <row r="1790" spans="1:11" x14ac:dyDescent="0.2">
      <c r="A1790" s="26"/>
      <c r="B1790" s="14" t="str">
        <f>IF(A1790="","",CHOOSE(WEEKDAY(A1790),"日","月","火","水","木","金","土"))</f>
        <v/>
      </c>
      <c r="C1790" s="27"/>
      <c r="D1790" s="27"/>
      <c r="E1790" s="14" t="str">
        <f>IF(F1790="","",IFERROR(INDEX(マスター!$F$5:$F$200,MATCH(F1790,マスター!$E$5:$E$200,0)),"※マスター未登録"))</f>
        <v/>
      </c>
      <c r="F1790" s="27"/>
      <c r="G1790" s="27"/>
      <c r="H1790" s="27"/>
      <c r="I1790" s="27"/>
      <c r="J1790" s="27"/>
      <c r="K1790" s="27"/>
    </row>
    <row r="1791" spans="1:11" x14ac:dyDescent="0.2">
      <c r="A1791" s="26"/>
      <c r="B1791" s="14" t="str">
        <f>IF(A1791="","",CHOOSE(WEEKDAY(A1791),"日","月","火","水","木","金","土"))</f>
        <v/>
      </c>
      <c r="C1791" s="27"/>
      <c r="D1791" s="27"/>
      <c r="E1791" s="14" t="str">
        <f>IF(F1791="","",IFERROR(INDEX(マスター!$F$5:$F$200,MATCH(F1791,マスター!$E$5:$E$200,0)),"※マスター未登録"))</f>
        <v/>
      </c>
      <c r="F1791" s="27"/>
      <c r="G1791" s="27"/>
      <c r="H1791" s="27"/>
      <c r="I1791" s="27"/>
      <c r="J1791" s="27"/>
      <c r="K1791" s="27"/>
    </row>
    <row r="1792" spans="1:11" x14ac:dyDescent="0.2">
      <c r="A1792" s="26"/>
      <c r="B1792" s="14" t="str">
        <f>IF(A1792="","",CHOOSE(WEEKDAY(A1792),"日","月","火","水","木","金","土"))</f>
        <v/>
      </c>
      <c r="C1792" s="27"/>
      <c r="D1792" s="27"/>
      <c r="E1792" s="14" t="str">
        <f>IF(F1792="","",IFERROR(INDEX(マスター!$F$5:$F$200,MATCH(F1792,マスター!$E$5:$E$200,0)),"※マスター未登録"))</f>
        <v/>
      </c>
      <c r="F1792" s="27"/>
      <c r="G1792" s="27"/>
      <c r="H1792" s="27"/>
      <c r="I1792" s="27"/>
      <c r="J1792" s="27"/>
      <c r="K1792" s="27"/>
    </row>
    <row r="1793" spans="1:11" x14ac:dyDescent="0.2">
      <c r="A1793" s="26"/>
      <c r="B1793" s="14" t="str">
        <f>IF(A1793="","",CHOOSE(WEEKDAY(A1793),"日","月","火","水","木","金","土"))</f>
        <v/>
      </c>
      <c r="C1793" s="27"/>
      <c r="D1793" s="27"/>
      <c r="E1793" s="14" t="str">
        <f>IF(F1793="","",IFERROR(INDEX(マスター!$F$5:$F$200,MATCH(F1793,マスター!$E$5:$E$200,0)),"※マスター未登録"))</f>
        <v/>
      </c>
      <c r="F1793" s="27"/>
      <c r="G1793" s="27"/>
      <c r="H1793" s="27"/>
      <c r="I1793" s="27"/>
      <c r="J1793" s="27"/>
      <c r="K1793" s="27"/>
    </row>
    <row r="1794" spans="1:11" x14ac:dyDescent="0.2">
      <c r="A1794" s="26"/>
      <c r="B1794" s="14" t="str">
        <f>IF(A1794="","",CHOOSE(WEEKDAY(A1794),"日","月","火","水","木","金","土"))</f>
        <v/>
      </c>
      <c r="C1794" s="27"/>
      <c r="D1794" s="27"/>
      <c r="E1794" s="14" t="str">
        <f>IF(F1794="","",IFERROR(INDEX(マスター!$F$5:$F$200,MATCH(F1794,マスター!$E$5:$E$200,0)),"※マスター未登録"))</f>
        <v/>
      </c>
      <c r="F1794" s="27"/>
      <c r="G1794" s="27"/>
      <c r="H1794" s="27"/>
      <c r="I1794" s="27"/>
      <c r="J1794" s="27"/>
      <c r="K1794" s="27"/>
    </row>
    <row r="1795" spans="1:11" x14ac:dyDescent="0.2">
      <c r="A1795" s="26"/>
      <c r="B1795" s="14" t="str">
        <f>IF(A1795="","",CHOOSE(WEEKDAY(A1795),"日","月","火","水","木","金","土"))</f>
        <v/>
      </c>
      <c r="C1795" s="27"/>
      <c r="D1795" s="27"/>
      <c r="E1795" s="14" t="str">
        <f>IF(F1795="","",IFERROR(INDEX(マスター!$F$5:$F$200,MATCH(F1795,マスター!$E$5:$E$200,0)),"※マスター未登録"))</f>
        <v/>
      </c>
      <c r="F1795" s="27"/>
      <c r="G1795" s="27"/>
      <c r="H1795" s="27"/>
      <c r="I1795" s="27"/>
      <c r="J1795" s="27"/>
      <c r="K1795" s="27"/>
    </row>
    <row r="1796" spans="1:11" x14ac:dyDescent="0.2">
      <c r="A1796" s="26"/>
      <c r="B1796" s="14" t="str">
        <f>IF(A1796="","",CHOOSE(WEEKDAY(A1796),"日","月","火","水","木","金","土"))</f>
        <v/>
      </c>
      <c r="C1796" s="27"/>
      <c r="D1796" s="27"/>
      <c r="E1796" s="14" t="str">
        <f>IF(F1796="","",IFERROR(INDEX(マスター!$F$5:$F$200,MATCH(F1796,マスター!$E$5:$E$200,0)),"※マスター未登録"))</f>
        <v/>
      </c>
      <c r="F1796" s="27"/>
      <c r="G1796" s="27"/>
      <c r="H1796" s="27"/>
      <c r="I1796" s="27"/>
      <c r="J1796" s="27"/>
      <c r="K1796" s="27"/>
    </row>
    <row r="1797" spans="1:11" x14ac:dyDescent="0.2">
      <c r="A1797" s="26"/>
      <c r="B1797" s="14" t="str">
        <f>IF(A1797="","",CHOOSE(WEEKDAY(A1797),"日","月","火","水","木","金","土"))</f>
        <v/>
      </c>
      <c r="C1797" s="27"/>
      <c r="D1797" s="27"/>
      <c r="E1797" s="14" t="str">
        <f>IF(F1797="","",IFERROR(INDEX(マスター!$F$5:$F$200,MATCH(F1797,マスター!$E$5:$E$200,0)),"※マスター未登録"))</f>
        <v/>
      </c>
      <c r="F1797" s="27"/>
      <c r="G1797" s="27"/>
      <c r="H1797" s="27"/>
      <c r="I1797" s="27"/>
      <c r="J1797" s="27"/>
      <c r="K1797" s="27"/>
    </row>
    <row r="1798" spans="1:11" x14ac:dyDescent="0.2">
      <c r="A1798" s="26"/>
      <c r="B1798" s="14" t="str">
        <f>IF(A1798="","",CHOOSE(WEEKDAY(A1798),"日","月","火","水","木","金","土"))</f>
        <v/>
      </c>
      <c r="C1798" s="27"/>
      <c r="D1798" s="27"/>
      <c r="E1798" s="14" t="str">
        <f>IF(F1798="","",IFERROR(INDEX(マスター!$F$5:$F$200,MATCH(F1798,マスター!$E$5:$E$200,0)),"※マスター未登録"))</f>
        <v/>
      </c>
      <c r="F1798" s="27"/>
      <c r="G1798" s="27"/>
      <c r="H1798" s="27"/>
      <c r="I1798" s="27"/>
      <c r="J1798" s="27"/>
      <c r="K1798" s="27"/>
    </row>
    <row r="1799" spans="1:11" x14ac:dyDescent="0.2">
      <c r="A1799" s="26"/>
      <c r="B1799" s="14" t="str">
        <f>IF(A1799="","",CHOOSE(WEEKDAY(A1799),"日","月","火","水","木","金","土"))</f>
        <v/>
      </c>
      <c r="C1799" s="27"/>
      <c r="D1799" s="27"/>
      <c r="E1799" s="14" t="str">
        <f>IF(F1799="","",IFERROR(INDEX(マスター!$F$5:$F$200,MATCH(F1799,マスター!$E$5:$E$200,0)),"※マスター未登録"))</f>
        <v/>
      </c>
      <c r="F1799" s="27"/>
      <c r="G1799" s="27"/>
      <c r="H1799" s="27"/>
      <c r="I1799" s="27"/>
      <c r="J1799" s="27"/>
      <c r="K1799" s="27"/>
    </row>
    <row r="1800" spans="1:11" x14ac:dyDescent="0.2">
      <c r="A1800" s="26"/>
      <c r="B1800" s="14" t="str">
        <f>IF(A1800="","",CHOOSE(WEEKDAY(A1800),"日","月","火","水","木","金","土"))</f>
        <v/>
      </c>
      <c r="C1800" s="27"/>
      <c r="D1800" s="27"/>
      <c r="E1800" s="14" t="str">
        <f>IF(F1800="","",IFERROR(INDEX(マスター!$F$5:$F$200,MATCH(F1800,マスター!$E$5:$E$200,0)),"※マスター未登録"))</f>
        <v/>
      </c>
      <c r="F1800" s="27"/>
      <c r="G1800" s="27"/>
      <c r="H1800" s="27"/>
      <c r="I1800" s="27"/>
      <c r="J1800" s="27"/>
      <c r="K1800" s="27"/>
    </row>
    <row r="1801" spans="1:11" x14ac:dyDescent="0.2">
      <c r="A1801" s="26"/>
      <c r="B1801" s="14" t="str">
        <f>IF(A1801="","",CHOOSE(WEEKDAY(A1801),"日","月","火","水","木","金","土"))</f>
        <v/>
      </c>
      <c r="C1801" s="27"/>
      <c r="D1801" s="27"/>
      <c r="E1801" s="14" t="str">
        <f>IF(F1801="","",IFERROR(INDEX(マスター!$F$5:$F$200,MATCH(F1801,マスター!$E$5:$E$200,0)),"※マスター未登録"))</f>
        <v/>
      </c>
      <c r="F1801" s="27"/>
      <c r="G1801" s="27"/>
      <c r="H1801" s="27"/>
      <c r="I1801" s="27"/>
      <c r="J1801" s="27"/>
      <c r="K1801" s="27"/>
    </row>
    <row r="1802" spans="1:11" x14ac:dyDescent="0.2">
      <c r="A1802" s="26"/>
      <c r="B1802" s="14" t="str">
        <f>IF(A1802="","",CHOOSE(WEEKDAY(A1802),"日","月","火","水","木","金","土"))</f>
        <v/>
      </c>
      <c r="C1802" s="27"/>
      <c r="D1802" s="27"/>
      <c r="E1802" s="14" t="str">
        <f>IF(F1802="","",IFERROR(INDEX(マスター!$F$5:$F$200,MATCH(F1802,マスター!$E$5:$E$200,0)),"※マスター未登録"))</f>
        <v/>
      </c>
      <c r="F1802" s="27"/>
      <c r="G1802" s="27"/>
      <c r="H1802" s="27"/>
      <c r="I1802" s="27"/>
      <c r="J1802" s="27"/>
      <c r="K1802" s="27"/>
    </row>
    <row r="1803" spans="1:11" x14ac:dyDescent="0.2">
      <c r="A1803" s="26"/>
      <c r="B1803" s="14" t="str">
        <f>IF(A1803="","",CHOOSE(WEEKDAY(A1803),"日","月","火","水","木","金","土"))</f>
        <v/>
      </c>
      <c r="C1803" s="27"/>
      <c r="D1803" s="27"/>
      <c r="E1803" s="14" t="str">
        <f>IF(F1803="","",IFERROR(INDEX(マスター!$F$5:$F$200,MATCH(F1803,マスター!$E$5:$E$200,0)),"※マスター未登録"))</f>
        <v/>
      </c>
      <c r="F1803" s="27"/>
      <c r="G1803" s="27"/>
      <c r="H1803" s="27"/>
      <c r="I1803" s="27"/>
      <c r="J1803" s="27"/>
      <c r="K1803" s="27"/>
    </row>
    <row r="1804" spans="1:11" x14ac:dyDescent="0.2">
      <c r="A1804" s="26"/>
      <c r="B1804" s="14" t="str">
        <f>IF(A1804="","",CHOOSE(WEEKDAY(A1804),"日","月","火","水","木","金","土"))</f>
        <v/>
      </c>
      <c r="C1804" s="27"/>
      <c r="D1804" s="27"/>
      <c r="E1804" s="14" t="str">
        <f>IF(F1804="","",IFERROR(INDEX(マスター!$F$5:$F$200,MATCH(F1804,マスター!$E$5:$E$200,0)),"※マスター未登録"))</f>
        <v/>
      </c>
      <c r="F1804" s="27"/>
      <c r="G1804" s="27"/>
      <c r="H1804" s="27"/>
      <c r="I1804" s="27"/>
      <c r="J1804" s="27"/>
      <c r="K1804" s="27"/>
    </row>
    <row r="1805" spans="1:11" x14ac:dyDescent="0.2">
      <c r="A1805" s="26"/>
      <c r="B1805" s="14" t="str">
        <f>IF(A1805="","",CHOOSE(WEEKDAY(A1805),"日","月","火","水","木","金","土"))</f>
        <v/>
      </c>
      <c r="C1805" s="27"/>
      <c r="D1805" s="27"/>
      <c r="E1805" s="14" t="str">
        <f>IF(F1805="","",IFERROR(INDEX(マスター!$F$5:$F$200,MATCH(F1805,マスター!$E$5:$E$200,0)),"※マスター未登録"))</f>
        <v/>
      </c>
      <c r="F1805" s="27"/>
      <c r="G1805" s="27"/>
      <c r="H1805" s="27"/>
      <c r="I1805" s="27"/>
      <c r="J1805" s="27"/>
      <c r="K1805" s="27"/>
    </row>
    <row r="1806" spans="1:11" x14ac:dyDescent="0.2">
      <c r="A1806" s="26"/>
      <c r="B1806" s="14" t="str">
        <f>IF(A1806="","",CHOOSE(WEEKDAY(A1806),"日","月","火","水","木","金","土"))</f>
        <v/>
      </c>
      <c r="C1806" s="27"/>
      <c r="D1806" s="27"/>
      <c r="E1806" s="14" t="str">
        <f>IF(F1806="","",IFERROR(INDEX(マスター!$F$5:$F$200,MATCH(F1806,マスター!$E$5:$E$200,0)),"※マスター未登録"))</f>
        <v/>
      </c>
      <c r="F1806" s="27"/>
      <c r="G1806" s="27"/>
      <c r="H1806" s="27"/>
      <c r="I1806" s="27"/>
      <c r="J1806" s="27"/>
      <c r="K1806" s="27"/>
    </row>
    <row r="1807" spans="1:11" x14ac:dyDescent="0.2">
      <c r="A1807" s="26"/>
      <c r="B1807" s="14" t="str">
        <f>IF(A1807="","",CHOOSE(WEEKDAY(A1807),"日","月","火","水","木","金","土"))</f>
        <v/>
      </c>
      <c r="C1807" s="27"/>
      <c r="D1807" s="27"/>
      <c r="E1807" s="14" t="str">
        <f>IF(F1807="","",IFERROR(INDEX(マスター!$F$5:$F$200,MATCH(F1807,マスター!$E$5:$E$200,0)),"※マスター未登録"))</f>
        <v/>
      </c>
      <c r="F1807" s="27"/>
      <c r="G1807" s="27"/>
      <c r="H1807" s="27"/>
      <c r="I1807" s="27"/>
      <c r="J1807" s="27"/>
      <c r="K1807" s="27"/>
    </row>
    <row r="1808" spans="1:11" x14ac:dyDescent="0.2">
      <c r="A1808" s="26"/>
      <c r="B1808" s="14" t="str">
        <f>IF(A1808="","",CHOOSE(WEEKDAY(A1808),"日","月","火","水","木","金","土"))</f>
        <v/>
      </c>
      <c r="C1808" s="27"/>
      <c r="D1808" s="27"/>
      <c r="E1808" s="14" t="str">
        <f>IF(F1808="","",IFERROR(INDEX(マスター!$F$5:$F$200,MATCH(F1808,マスター!$E$5:$E$200,0)),"※マスター未登録"))</f>
        <v/>
      </c>
      <c r="F1808" s="27"/>
      <c r="G1808" s="27"/>
      <c r="H1808" s="27"/>
      <c r="I1808" s="27"/>
      <c r="J1808" s="27"/>
      <c r="K1808" s="27"/>
    </row>
    <row r="1809" spans="1:11" x14ac:dyDescent="0.2">
      <c r="A1809" s="26"/>
      <c r="B1809" s="14" t="str">
        <f>IF(A1809="","",CHOOSE(WEEKDAY(A1809),"日","月","火","水","木","金","土"))</f>
        <v/>
      </c>
      <c r="C1809" s="27"/>
      <c r="D1809" s="27"/>
      <c r="E1809" s="14" t="str">
        <f>IF(F1809="","",IFERROR(INDEX(マスター!$F$5:$F$200,MATCH(F1809,マスター!$E$5:$E$200,0)),"※マスター未登録"))</f>
        <v/>
      </c>
      <c r="F1809" s="27"/>
      <c r="G1809" s="27"/>
      <c r="H1809" s="27"/>
      <c r="I1809" s="27"/>
      <c r="J1809" s="27"/>
      <c r="K1809" s="27"/>
    </row>
    <row r="1810" spans="1:11" x14ac:dyDescent="0.2">
      <c r="A1810" s="26"/>
      <c r="B1810" s="14" t="str">
        <f>IF(A1810="","",CHOOSE(WEEKDAY(A1810),"日","月","火","水","木","金","土"))</f>
        <v/>
      </c>
      <c r="C1810" s="27"/>
      <c r="D1810" s="27"/>
      <c r="E1810" s="14" t="str">
        <f>IF(F1810="","",IFERROR(INDEX(マスター!$F$5:$F$200,MATCH(F1810,マスター!$E$5:$E$200,0)),"※マスター未登録"))</f>
        <v/>
      </c>
      <c r="F1810" s="27"/>
      <c r="G1810" s="27"/>
      <c r="H1810" s="27"/>
      <c r="I1810" s="27"/>
      <c r="J1810" s="27"/>
      <c r="K1810" s="27"/>
    </row>
    <row r="1811" spans="1:11" x14ac:dyDescent="0.2">
      <c r="A1811" s="26"/>
      <c r="B1811" s="14" t="str">
        <f>IF(A1811="","",CHOOSE(WEEKDAY(A1811),"日","月","火","水","木","金","土"))</f>
        <v/>
      </c>
      <c r="C1811" s="27"/>
      <c r="D1811" s="27"/>
      <c r="E1811" s="14" t="str">
        <f>IF(F1811="","",IFERROR(INDEX(マスター!$F$5:$F$200,MATCH(F1811,マスター!$E$5:$E$200,0)),"※マスター未登録"))</f>
        <v/>
      </c>
      <c r="F1811" s="27"/>
      <c r="G1811" s="27"/>
      <c r="H1811" s="27"/>
      <c r="I1811" s="27"/>
      <c r="J1811" s="27"/>
      <c r="K1811" s="27"/>
    </row>
    <row r="1812" spans="1:11" x14ac:dyDescent="0.2">
      <c r="A1812" s="26"/>
      <c r="B1812" s="14" t="str">
        <f>IF(A1812="","",CHOOSE(WEEKDAY(A1812),"日","月","火","水","木","金","土"))</f>
        <v/>
      </c>
      <c r="C1812" s="27"/>
      <c r="D1812" s="27"/>
      <c r="E1812" s="14" t="str">
        <f>IF(F1812="","",IFERROR(INDEX(マスター!$F$5:$F$200,MATCH(F1812,マスター!$E$5:$E$200,0)),"※マスター未登録"))</f>
        <v/>
      </c>
      <c r="F1812" s="27"/>
      <c r="G1812" s="27"/>
      <c r="H1812" s="27"/>
      <c r="I1812" s="27"/>
      <c r="J1812" s="27"/>
      <c r="K1812" s="27"/>
    </row>
    <row r="1813" spans="1:11" x14ac:dyDescent="0.2">
      <c r="A1813" s="26"/>
      <c r="B1813" s="14" t="str">
        <f>IF(A1813="","",CHOOSE(WEEKDAY(A1813),"日","月","火","水","木","金","土"))</f>
        <v/>
      </c>
      <c r="C1813" s="27"/>
      <c r="D1813" s="27"/>
      <c r="E1813" s="14" t="str">
        <f>IF(F1813="","",IFERROR(INDEX(マスター!$F$5:$F$200,MATCH(F1813,マスター!$E$5:$E$200,0)),"※マスター未登録"))</f>
        <v/>
      </c>
      <c r="F1813" s="27"/>
      <c r="G1813" s="27"/>
      <c r="H1813" s="27"/>
      <c r="I1813" s="27"/>
      <c r="J1813" s="27"/>
      <c r="K1813" s="27"/>
    </row>
    <row r="1814" spans="1:11" x14ac:dyDescent="0.2">
      <c r="A1814" s="26"/>
      <c r="B1814" s="14" t="str">
        <f>IF(A1814="","",CHOOSE(WEEKDAY(A1814),"日","月","火","水","木","金","土"))</f>
        <v/>
      </c>
      <c r="C1814" s="27"/>
      <c r="D1814" s="27"/>
      <c r="E1814" s="14" t="str">
        <f>IF(F1814="","",IFERROR(INDEX(マスター!$F$5:$F$200,MATCH(F1814,マスター!$E$5:$E$200,0)),"※マスター未登録"))</f>
        <v/>
      </c>
      <c r="F1814" s="27"/>
      <c r="G1814" s="27"/>
      <c r="H1814" s="27"/>
      <c r="I1814" s="27"/>
      <c r="J1814" s="27"/>
      <c r="K1814" s="27"/>
    </row>
    <row r="1815" spans="1:11" x14ac:dyDescent="0.2">
      <c r="A1815" s="26"/>
      <c r="B1815" s="14" t="str">
        <f>IF(A1815="","",CHOOSE(WEEKDAY(A1815),"日","月","火","水","木","金","土"))</f>
        <v/>
      </c>
      <c r="C1815" s="27"/>
      <c r="D1815" s="27"/>
      <c r="E1815" s="14" t="str">
        <f>IF(F1815="","",IFERROR(INDEX(マスター!$F$5:$F$200,MATCH(F1815,マスター!$E$5:$E$200,0)),"※マスター未登録"))</f>
        <v/>
      </c>
      <c r="F1815" s="27"/>
      <c r="G1815" s="27"/>
      <c r="H1815" s="27"/>
      <c r="I1815" s="27"/>
      <c r="J1815" s="27"/>
      <c r="K1815" s="27"/>
    </row>
    <row r="1816" spans="1:11" x14ac:dyDescent="0.2">
      <c r="A1816" s="26"/>
      <c r="B1816" s="14" t="str">
        <f>IF(A1816="","",CHOOSE(WEEKDAY(A1816),"日","月","火","水","木","金","土"))</f>
        <v/>
      </c>
      <c r="C1816" s="27"/>
      <c r="D1816" s="27"/>
      <c r="E1816" s="14" t="str">
        <f>IF(F1816="","",IFERROR(INDEX(マスター!$F$5:$F$200,MATCH(F1816,マスター!$E$5:$E$200,0)),"※マスター未登録"))</f>
        <v/>
      </c>
      <c r="F1816" s="27"/>
      <c r="G1816" s="27"/>
      <c r="H1816" s="27"/>
      <c r="I1816" s="27"/>
      <c r="J1816" s="27"/>
      <c r="K1816" s="27"/>
    </row>
    <row r="1817" spans="1:11" x14ac:dyDescent="0.2">
      <c r="A1817" s="26"/>
      <c r="B1817" s="14" t="str">
        <f>IF(A1817="","",CHOOSE(WEEKDAY(A1817),"日","月","火","水","木","金","土"))</f>
        <v/>
      </c>
      <c r="C1817" s="27"/>
      <c r="D1817" s="27"/>
      <c r="E1817" s="14" t="str">
        <f>IF(F1817="","",IFERROR(INDEX(マスター!$F$5:$F$200,MATCH(F1817,マスター!$E$5:$E$200,0)),"※マスター未登録"))</f>
        <v/>
      </c>
      <c r="F1817" s="27"/>
      <c r="G1817" s="27"/>
      <c r="H1817" s="27"/>
      <c r="I1817" s="27"/>
      <c r="J1817" s="27"/>
      <c r="K1817" s="27"/>
    </row>
    <row r="1818" spans="1:11" x14ac:dyDescent="0.2">
      <c r="A1818" s="26"/>
      <c r="B1818" s="14" t="str">
        <f>IF(A1818="","",CHOOSE(WEEKDAY(A1818),"日","月","火","水","木","金","土"))</f>
        <v/>
      </c>
      <c r="C1818" s="27"/>
      <c r="D1818" s="27"/>
      <c r="E1818" s="14" t="str">
        <f>IF(F1818="","",IFERROR(INDEX(マスター!$F$5:$F$200,MATCH(F1818,マスター!$E$5:$E$200,0)),"※マスター未登録"))</f>
        <v/>
      </c>
      <c r="F1818" s="27"/>
      <c r="G1818" s="27"/>
      <c r="H1818" s="27"/>
      <c r="I1818" s="27"/>
      <c r="J1818" s="27"/>
      <c r="K1818" s="27"/>
    </row>
    <row r="1819" spans="1:11" x14ac:dyDescent="0.2">
      <c r="A1819" s="26"/>
      <c r="B1819" s="14" t="str">
        <f>IF(A1819="","",CHOOSE(WEEKDAY(A1819),"日","月","火","水","木","金","土"))</f>
        <v/>
      </c>
      <c r="C1819" s="27"/>
      <c r="D1819" s="27"/>
      <c r="E1819" s="14" t="str">
        <f>IF(F1819="","",IFERROR(INDEX(マスター!$F$5:$F$200,MATCH(F1819,マスター!$E$5:$E$200,0)),"※マスター未登録"))</f>
        <v/>
      </c>
      <c r="F1819" s="27"/>
      <c r="G1819" s="27"/>
      <c r="H1819" s="27"/>
      <c r="I1819" s="27"/>
      <c r="J1819" s="27"/>
      <c r="K1819" s="27"/>
    </row>
    <row r="1820" spans="1:11" x14ac:dyDescent="0.2">
      <c r="A1820" s="26"/>
      <c r="B1820" s="14" t="str">
        <f>IF(A1820="","",CHOOSE(WEEKDAY(A1820),"日","月","火","水","木","金","土"))</f>
        <v/>
      </c>
      <c r="C1820" s="27"/>
      <c r="D1820" s="27"/>
      <c r="E1820" s="14" t="str">
        <f>IF(F1820="","",IFERROR(INDEX(マスター!$F$5:$F$200,MATCH(F1820,マスター!$E$5:$E$200,0)),"※マスター未登録"))</f>
        <v/>
      </c>
      <c r="F1820" s="27"/>
      <c r="G1820" s="27"/>
      <c r="H1820" s="27"/>
      <c r="I1820" s="27"/>
      <c r="J1820" s="27"/>
      <c r="K1820" s="27"/>
    </row>
    <row r="1821" spans="1:11" x14ac:dyDescent="0.2">
      <c r="A1821" s="26"/>
      <c r="B1821" s="14" t="str">
        <f>IF(A1821="","",CHOOSE(WEEKDAY(A1821),"日","月","火","水","木","金","土"))</f>
        <v/>
      </c>
      <c r="C1821" s="27"/>
      <c r="D1821" s="27"/>
      <c r="E1821" s="14" t="str">
        <f>IF(F1821="","",IFERROR(INDEX(マスター!$F$5:$F$200,MATCH(F1821,マスター!$E$5:$E$200,0)),"※マスター未登録"))</f>
        <v/>
      </c>
      <c r="F1821" s="27"/>
      <c r="G1821" s="27"/>
      <c r="H1821" s="27"/>
      <c r="I1821" s="27"/>
      <c r="J1821" s="27"/>
      <c r="K1821" s="27"/>
    </row>
    <row r="1822" spans="1:11" x14ac:dyDescent="0.2">
      <c r="A1822" s="26"/>
      <c r="B1822" s="14" t="str">
        <f>IF(A1822="","",CHOOSE(WEEKDAY(A1822),"日","月","火","水","木","金","土"))</f>
        <v/>
      </c>
      <c r="C1822" s="27"/>
      <c r="D1822" s="27"/>
      <c r="E1822" s="14" t="str">
        <f>IF(F1822="","",IFERROR(INDEX(マスター!$F$5:$F$200,MATCH(F1822,マスター!$E$5:$E$200,0)),"※マスター未登録"))</f>
        <v/>
      </c>
      <c r="F1822" s="27"/>
      <c r="G1822" s="27"/>
      <c r="H1822" s="27"/>
      <c r="I1822" s="27"/>
      <c r="J1822" s="27"/>
      <c r="K1822" s="27"/>
    </row>
    <row r="1823" spans="1:11" x14ac:dyDescent="0.2">
      <c r="A1823" s="26"/>
      <c r="B1823" s="14" t="str">
        <f>IF(A1823="","",CHOOSE(WEEKDAY(A1823),"日","月","火","水","木","金","土"))</f>
        <v/>
      </c>
      <c r="C1823" s="27"/>
      <c r="D1823" s="27"/>
      <c r="E1823" s="14" t="str">
        <f>IF(F1823="","",IFERROR(INDEX(マスター!$F$5:$F$200,MATCH(F1823,マスター!$E$5:$E$200,0)),"※マスター未登録"))</f>
        <v/>
      </c>
      <c r="F1823" s="27"/>
      <c r="G1823" s="27"/>
      <c r="H1823" s="27"/>
      <c r="I1823" s="27"/>
      <c r="J1823" s="27"/>
      <c r="K1823" s="27"/>
    </row>
    <row r="1824" spans="1:11" x14ac:dyDescent="0.2">
      <c r="A1824" s="26"/>
      <c r="B1824" s="14" t="str">
        <f>IF(A1824="","",CHOOSE(WEEKDAY(A1824),"日","月","火","水","木","金","土"))</f>
        <v/>
      </c>
      <c r="C1824" s="27"/>
      <c r="D1824" s="27"/>
      <c r="E1824" s="14" t="str">
        <f>IF(F1824="","",IFERROR(INDEX(マスター!$F$5:$F$200,MATCH(F1824,マスター!$E$5:$E$200,0)),"※マスター未登録"))</f>
        <v/>
      </c>
      <c r="F1824" s="27"/>
      <c r="G1824" s="27"/>
      <c r="H1824" s="27"/>
      <c r="I1824" s="27"/>
      <c r="J1824" s="27"/>
      <c r="K1824" s="27"/>
    </row>
    <row r="1825" spans="1:11" x14ac:dyDescent="0.2">
      <c r="A1825" s="26"/>
      <c r="B1825" s="14" t="str">
        <f>IF(A1825="","",CHOOSE(WEEKDAY(A1825),"日","月","火","水","木","金","土"))</f>
        <v/>
      </c>
      <c r="C1825" s="27"/>
      <c r="D1825" s="27"/>
      <c r="E1825" s="14" t="str">
        <f>IF(F1825="","",IFERROR(INDEX(マスター!$F$5:$F$200,MATCH(F1825,マスター!$E$5:$E$200,0)),"※マスター未登録"))</f>
        <v/>
      </c>
      <c r="F1825" s="27"/>
      <c r="G1825" s="27"/>
      <c r="H1825" s="27"/>
      <c r="I1825" s="27"/>
      <c r="J1825" s="27"/>
      <c r="K1825" s="27"/>
    </row>
    <row r="1826" spans="1:11" x14ac:dyDescent="0.2">
      <c r="A1826" s="26"/>
      <c r="B1826" s="14" t="str">
        <f>IF(A1826="","",CHOOSE(WEEKDAY(A1826),"日","月","火","水","木","金","土"))</f>
        <v/>
      </c>
      <c r="C1826" s="27"/>
      <c r="D1826" s="27"/>
      <c r="E1826" s="14" t="str">
        <f>IF(F1826="","",IFERROR(INDEX(マスター!$F$5:$F$200,MATCH(F1826,マスター!$E$5:$E$200,0)),"※マスター未登録"))</f>
        <v/>
      </c>
      <c r="F1826" s="27"/>
      <c r="G1826" s="27"/>
      <c r="H1826" s="27"/>
      <c r="I1826" s="27"/>
      <c r="J1826" s="27"/>
      <c r="K1826" s="27"/>
    </row>
    <row r="1827" spans="1:11" x14ac:dyDescent="0.2">
      <c r="A1827" s="26"/>
      <c r="B1827" s="14" t="str">
        <f>IF(A1827="","",CHOOSE(WEEKDAY(A1827),"日","月","火","水","木","金","土"))</f>
        <v/>
      </c>
      <c r="C1827" s="27"/>
      <c r="D1827" s="27"/>
      <c r="E1827" s="14" t="str">
        <f>IF(F1827="","",IFERROR(INDEX(マスター!$F$5:$F$200,MATCH(F1827,マスター!$E$5:$E$200,0)),"※マスター未登録"))</f>
        <v/>
      </c>
      <c r="F1827" s="27"/>
      <c r="G1827" s="27"/>
      <c r="H1827" s="27"/>
      <c r="I1827" s="27"/>
      <c r="J1827" s="27"/>
      <c r="K1827" s="27"/>
    </row>
    <row r="1828" spans="1:11" x14ac:dyDescent="0.2">
      <c r="A1828" s="26"/>
      <c r="B1828" s="14" t="str">
        <f>IF(A1828="","",CHOOSE(WEEKDAY(A1828),"日","月","火","水","木","金","土"))</f>
        <v/>
      </c>
      <c r="C1828" s="27"/>
      <c r="D1828" s="27"/>
      <c r="E1828" s="14" t="str">
        <f>IF(F1828="","",IFERROR(INDEX(マスター!$F$5:$F$200,MATCH(F1828,マスター!$E$5:$E$200,0)),"※マスター未登録"))</f>
        <v/>
      </c>
      <c r="F1828" s="27"/>
      <c r="G1828" s="27"/>
      <c r="H1828" s="27"/>
      <c r="I1828" s="27"/>
      <c r="J1828" s="27"/>
      <c r="K1828" s="27"/>
    </row>
    <row r="1829" spans="1:11" x14ac:dyDescent="0.2">
      <c r="A1829" s="26"/>
      <c r="B1829" s="14" t="str">
        <f>IF(A1829="","",CHOOSE(WEEKDAY(A1829),"日","月","火","水","木","金","土"))</f>
        <v/>
      </c>
      <c r="C1829" s="27"/>
      <c r="D1829" s="27"/>
      <c r="E1829" s="14" t="str">
        <f>IF(F1829="","",IFERROR(INDEX(マスター!$F$5:$F$200,MATCH(F1829,マスター!$E$5:$E$200,0)),"※マスター未登録"))</f>
        <v/>
      </c>
      <c r="F1829" s="27"/>
      <c r="G1829" s="27"/>
      <c r="H1829" s="27"/>
      <c r="I1829" s="27"/>
      <c r="J1829" s="27"/>
      <c r="K1829" s="27"/>
    </row>
    <row r="1830" spans="1:11" x14ac:dyDescent="0.2">
      <c r="A1830" s="26"/>
      <c r="B1830" s="14" t="str">
        <f>IF(A1830="","",CHOOSE(WEEKDAY(A1830),"日","月","火","水","木","金","土"))</f>
        <v/>
      </c>
      <c r="C1830" s="27"/>
      <c r="D1830" s="27"/>
      <c r="E1830" s="14" t="str">
        <f>IF(F1830="","",IFERROR(INDEX(マスター!$F$5:$F$200,MATCH(F1830,マスター!$E$5:$E$200,0)),"※マスター未登録"))</f>
        <v/>
      </c>
      <c r="F1830" s="27"/>
      <c r="G1830" s="27"/>
      <c r="H1830" s="27"/>
      <c r="I1830" s="27"/>
      <c r="J1830" s="27"/>
      <c r="K1830" s="27"/>
    </row>
    <row r="1831" spans="1:11" x14ac:dyDescent="0.2">
      <c r="A1831" s="26"/>
      <c r="B1831" s="14" t="str">
        <f>IF(A1831="","",CHOOSE(WEEKDAY(A1831),"日","月","火","水","木","金","土"))</f>
        <v/>
      </c>
      <c r="C1831" s="27"/>
      <c r="D1831" s="27"/>
      <c r="E1831" s="14" t="str">
        <f>IF(F1831="","",IFERROR(INDEX(マスター!$F$5:$F$200,MATCH(F1831,マスター!$E$5:$E$200,0)),"※マスター未登録"))</f>
        <v/>
      </c>
      <c r="F1831" s="27"/>
      <c r="G1831" s="27"/>
      <c r="H1831" s="27"/>
      <c r="I1831" s="27"/>
      <c r="J1831" s="27"/>
      <c r="K1831" s="27"/>
    </row>
    <row r="1832" spans="1:11" x14ac:dyDescent="0.2">
      <c r="A1832" s="26"/>
      <c r="B1832" s="14" t="str">
        <f>IF(A1832="","",CHOOSE(WEEKDAY(A1832),"日","月","火","水","木","金","土"))</f>
        <v/>
      </c>
      <c r="C1832" s="27"/>
      <c r="D1832" s="27"/>
      <c r="E1832" s="14" t="str">
        <f>IF(F1832="","",IFERROR(INDEX(マスター!$F$5:$F$200,MATCH(F1832,マスター!$E$5:$E$200,0)),"※マスター未登録"))</f>
        <v/>
      </c>
      <c r="F1832" s="27"/>
      <c r="G1832" s="27"/>
      <c r="H1832" s="27"/>
      <c r="I1832" s="27"/>
      <c r="J1832" s="27"/>
      <c r="K1832" s="27"/>
    </row>
    <row r="1833" spans="1:11" x14ac:dyDescent="0.2">
      <c r="A1833" s="26"/>
      <c r="B1833" s="14" t="str">
        <f>IF(A1833="","",CHOOSE(WEEKDAY(A1833),"日","月","火","水","木","金","土"))</f>
        <v/>
      </c>
      <c r="C1833" s="27"/>
      <c r="D1833" s="27"/>
      <c r="E1833" s="14" t="str">
        <f>IF(F1833="","",IFERROR(INDEX(マスター!$F$5:$F$200,MATCH(F1833,マスター!$E$5:$E$200,0)),"※マスター未登録"))</f>
        <v/>
      </c>
      <c r="F1833" s="27"/>
      <c r="G1833" s="27"/>
      <c r="H1833" s="27"/>
      <c r="I1833" s="27"/>
      <c r="J1833" s="27"/>
      <c r="K1833" s="27"/>
    </row>
    <row r="1834" spans="1:11" x14ac:dyDescent="0.2">
      <c r="A1834" s="26"/>
      <c r="B1834" s="14" t="str">
        <f>IF(A1834="","",CHOOSE(WEEKDAY(A1834),"日","月","火","水","木","金","土"))</f>
        <v/>
      </c>
      <c r="C1834" s="27"/>
      <c r="D1834" s="27"/>
      <c r="E1834" s="14" t="str">
        <f>IF(F1834="","",IFERROR(INDEX(マスター!$F$5:$F$200,MATCH(F1834,マスター!$E$5:$E$200,0)),"※マスター未登録"))</f>
        <v/>
      </c>
      <c r="F1834" s="27"/>
      <c r="G1834" s="27"/>
      <c r="H1834" s="27"/>
      <c r="I1834" s="27"/>
      <c r="J1834" s="27"/>
      <c r="K1834" s="27"/>
    </row>
    <row r="1835" spans="1:11" x14ac:dyDescent="0.2">
      <c r="A1835" s="26"/>
      <c r="B1835" s="14" t="str">
        <f>IF(A1835="","",CHOOSE(WEEKDAY(A1835),"日","月","火","水","木","金","土"))</f>
        <v/>
      </c>
      <c r="C1835" s="27"/>
      <c r="D1835" s="27"/>
      <c r="E1835" s="14" t="str">
        <f>IF(F1835="","",IFERROR(INDEX(マスター!$F$5:$F$200,MATCH(F1835,マスター!$E$5:$E$200,0)),"※マスター未登録"))</f>
        <v/>
      </c>
      <c r="F1835" s="27"/>
      <c r="G1835" s="27"/>
      <c r="H1835" s="27"/>
      <c r="I1835" s="27"/>
      <c r="J1835" s="27"/>
      <c r="K1835" s="27"/>
    </row>
    <row r="1836" spans="1:11" x14ac:dyDescent="0.2">
      <c r="A1836" s="26"/>
      <c r="B1836" s="14" t="str">
        <f>IF(A1836="","",CHOOSE(WEEKDAY(A1836),"日","月","火","水","木","金","土"))</f>
        <v/>
      </c>
      <c r="C1836" s="27"/>
      <c r="D1836" s="27"/>
      <c r="E1836" s="14" t="str">
        <f>IF(F1836="","",IFERROR(INDEX(マスター!$F$5:$F$200,MATCH(F1836,マスター!$E$5:$E$200,0)),"※マスター未登録"))</f>
        <v/>
      </c>
      <c r="F1836" s="27"/>
      <c r="G1836" s="27"/>
      <c r="H1836" s="27"/>
      <c r="I1836" s="27"/>
      <c r="J1836" s="27"/>
      <c r="K1836" s="27"/>
    </row>
    <row r="1837" spans="1:11" x14ac:dyDescent="0.2">
      <c r="A1837" s="26"/>
      <c r="B1837" s="14" t="str">
        <f>IF(A1837="","",CHOOSE(WEEKDAY(A1837),"日","月","火","水","木","金","土"))</f>
        <v/>
      </c>
      <c r="C1837" s="27"/>
      <c r="D1837" s="27"/>
      <c r="E1837" s="14" t="str">
        <f>IF(F1837="","",IFERROR(INDEX(マスター!$F$5:$F$200,MATCH(F1837,マスター!$E$5:$E$200,0)),"※マスター未登録"))</f>
        <v/>
      </c>
      <c r="F1837" s="27"/>
      <c r="G1837" s="27"/>
      <c r="H1837" s="27"/>
      <c r="I1837" s="27"/>
      <c r="J1837" s="27"/>
      <c r="K1837" s="27"/>
    </row>
    <row r="1838" spans="1:11" x14ac:dyDescent="0.2">
      <c r="A1838" s="26"/>
      <c r="B1838" s="14" t="str">
        <f>IF(A1838="","",CHOOSE(WEEKDAY(A1838),"日","月","火","水","木","金","土"))</f>
        <v/>
      </c>
      <c r="C1838" s="27"/>
      <c r="D1838" s="27"/>
      <c r="E1838" s="14" t="str">
        <f>IF(F1838="","",IFERROR(INDEX(マスター!$F$5:$F$200,MATCH(F1838,マスター!$E$5:$E$200,0)),"※マスター未登録"))</f>
        <v/>
      </c>
      <c r="F1838" s="27"/>
      <c r="G1838" s="27"/>
      <c r="H1838" s="27"/>
      <c r="I1838" s="27"/>
      <c r="J1838" s="27"/>
      <c r="K1838" s="27"/>
    </row>
    <row r="1839" spans="1:11" x14ac:dyDescent="0.2">
      <c r="A1839" s="26"/>
      <c r="B1839" s="14" t="str">
        <f>IF(A1839="","",CHOOSE(WEEKDAY(A1839),"日","月","火","水","木","金","土"))</f>
        <v/>
      </c>
      <c r="C1839" s="27"/>
      <c r="D1839" s="27"/>
      <c r="E1839" s="14" t="str">
        <f>IF(F1839="","",IFERROR(INDEX(マスター!$F$5:$F$200,MATCH(F1839,マスター!$E$5:$E$200,0)),"※マスター未登録"))</f>
        <v/>
      </c>
      <c r="F1839" s="27"/>
      <c r="G1839" s="27"/>
      <c r="H1839" s="27"/>
      <c r="I1839" s="27"/>
      <c r="J1839" s="27"/>
      <c r="K1839" s="27"/>
    </row>
    <row r="1840" spans="1:11" x14ac:dyDescent="0.2">
      <c r="A1840" s="26"/>
      <c r="B1840" s="14" t="str">
        <f>IF(A1840="","",CHOOSE(WEEKDAY(A1840),"日","月","火","水","木","金","土"))</f>
        <v/>
      </c>
      <c r="C1840" s="27"/>
      <c r="D1840" s="27"/>
      <c r="E1840" s="14" t="str">
        <f>IF(F1840="","",IFERROR(INDEX(マスター!$F$5:$F$200,MATCH(F1840,マスター!$E$5:$E$200,0)),"※マスター未登録"))</f>
        <v/>
      </c>
      <c r="F1840" s="27"/>
      <c r="G1840" s="27"/>
      <c r="H1840" s="27"/>
      <c r="I1840" s="27"/>
      <c r="J1840" s="27"/>
      <c r="K1840" s="27"/>
    </row>
    <row r="1841" spans="1:11" x14ac:dyDescent="0.2">
      <c r="A1841" s="26"/>
      <c r="B1841" s="14" t="str">
        <f>IF(A1841="","",CHOOSE(WEEKDAY(A1841),"日","月","火","水","木","金","土"))</f>
        <v/>
      </c>
      <c r="C1841" s="27"/>
      <c r="D1841" s="27"/>
      <c r="E1841" s="14" t="str">
        <f>IF(F1841="","",IFERROR(INDEX(マスター!$F$5:$F$200,MATCH(F1841,マスター!$E$5:$E$200,0)),"※マスター未登録"))</f>
        <v/>
      </c>
      <c r="F1841" s="27"/>
      <c r="G1841" s="27"/>
      <c r="H1841" s="27"/>
      <c r="I1841" s="27"/>
      <c r="J1841" s="27"/>
      <c r="K1841" s="27"/>
    </row>
    <row r="1842" spans="1:11" x14ac:dyDescent="0.2">
      <c r="A1842" s="26"/>
      <c r="B1842" s="14" t="str">
        <f>IF(A1842="","",CHOOSE(WEEKDAY(A1842),"日","月","火","水","木","金","土"))</f>
        <v/>
      </c>
      <c r="C1842" s="27"/>
      <c r="D1842" s="27"/>
      <c r="E1842" s="14" t="str">
        <f>IF(F1842="","",IFERROR(INDEX(マスター!$F$5:$F$200,MATCH(F1842,マスター!$E$5:$E$200,0)),"※マスター未登録"))</f>
        <v/>
      </c>
      <c r="F1842" s="27"/>
      <c r="G1842" s="27"/>
      <c r="H1842" s="27"/>
      <c r="I1842" s="27"/>
      <c r="J1842" s="27"/>
      <c r="K1842" s="27"/>
    </row>
    <row r="1843" spans="1:11" x14ac:dyDescent="0.2">
      <c r="A1843" s="26"/>
      <c r="B1843" s="14" t="str">
        <f>IF(A1843="","",CHOOSE(WEEKDAY(A1843),"日","月","火","水","木","金","土"))</f>
        <v/>
      </c>
      <c r="C1843" s="27"/>
      <c r="D1843" s="27"/>
      <c r="E1843" s="14" t="str">
        <f>IF(F1843="","",IFERROR(INDEX(マスター!$F$5:$F$200,MATCH(F1843,マスター!$E$5:$E$200,0)),"※マスター未登録"))</f>
        <v/>
      </c>
      <c r="F1843" s="27"/>
      <c r="G1843" s="27"/>
      <c r="H1843" s="27"/>
      <c r="I1843" s="27"/>
      <c r="J1843" s="27"/>
      <c r="K1843" s="27"/>
    </row>
    <row r="1844" spans="1:11" x14ac:dyDescent="0.2">
      <c r="A1844" s="26"/>
      <c r="B1844" s="14" t="str">
        <f>IF(A1844="","",CHOOSE(WEEKDAY(A1844),"日","月","火","水","木","金","土"))</f>
        <v/>
      </c>
      <c r="C1844" s="27"/>
      <c r="D1844" s="27"/>
      <c r="E1844" s="14" t="str">
        <f>IF(F1844="","",IFERROR(INDEX(マスター!$F$5:$F$200,MATCH(F1844,マスター!$E$5:$E$200,0)),"※マスター未登録"))</f>
        <v/>
      </c>
      <c r="F1844" s="27"/>
      <c r="G1844" s="27"/>
      <c r="H1844" s="27"/>
      <c r="I1844" s="27"/>
      <c r="J1844" s="27"/>
      <c r="K1844" s="27"/>
    </row>
    <row r="1845" spans="1:11" x14ac:dyDescent="0.2">
      <c r="A1845" s="26"/>
      <c r="B1845" s="14" t="str">
        <f>IF(A1845="","",CHOOSE(WEEKDAY(A1845),"日","月","火","水","木","金","土"))</f>
        <v/>
      </c>
      <c r="C1845" s="27"/>
      <c r="D1845" s="27"/>
      <c r="E1845" s="14" t="str">
        <f>IF(F1845="","",IFERROR(INDEX(マスター!$F$5:$F$200,MATCH(F1845,マスター!$E$5:$E$200,0)),"※マスター未登録"))</f>
        <v/>
      </c>
      <c r="F1845" s="27"/>
      <c r="G1845" s="27"/>
      <c r="H1845" s="27"/>
      <c r="I1845" s="27"/>
      <c r="J1845" s="27"/>
      <c r="K1845" s="27"/>
    </row>
    <row r="1846" spans="1:11" x14ac:dyDescent="0.2">
      <c r="A1846" s="26"/>
      <c r="B1846" s="14" t="str">
        <f>IF(A1846="","",CHOOSE(WEEKDAY(A1846),"日","月","火","水","木","金","土"))</f>
        <v/>
      </c>
      <c r="C1846" s="27"/>
      <c r="D1846" s="27"/>
      <c r="E1846" s="14" t="str">
        <f>IF(F1846="","",IFERROR(INDEX(マスター!$F$5:$F$200,MATCH(F1846,マスター!$E$5:$E$200,0)),"※マスター未登録"))</f>
        <v/>
      </c>
      <c r="F1846" s="27"/>
      <c r="G1846" s="27"/>
      <c r="H1846" s="27"/>
      <c r="I1846" s="27"/>
      <c r="J1846" s="27"/>
      <c r="K1846" s="27"/>
    </row>
    <row r="1847" spans="1:11" x14ac:dyDescent="0.2">
      <c r="A1847" s="26"/>
      <c r="B1847" s="14" t="str">
        <f>IF(A1847="","",CHOOSE(WEEKDAY(A1847),"日","月","火","水","木","金","土"))</f>
        <v/>
      </c>
      <c r="C1847" s="27"/>
      <c r="D1847" s="27"/>
      <c r="E1847" s="14" t="str">
        <f>IF(F1847="","",IFERROR(INDEX(マスター!$F$5:$F$200,MATCH(F1847,マスター!$E$5:$E$200,0)),"※マスター未登録"))</f>
        <v/>
      </c>
      <c r="F1847" s="27"/>
      <c r="G1847" s="27"/>
      <c r="H1847" s="27"/>
      <c r="I1847" s="27"/>
      <c r="J1847" s="27"/>
      <c r="K1847" s="27"/>
    </row>
    <row r="1848" spans="1:11" x14ac:dyDescent="0.2">
      <c r="A1848" s="26"/>
      <c r="B1848" s="14" t="str">
        <f>IF(A1848="","",CHOOSE(WEEKDAY(A1848),"日","月","火","水","木","金","土"))</f>
        <v/>
      </c>
      <c r="C1848" s="27"/>
      <c r="D1848" s="27"/>
      <c r="E1848" s="14" t="str">
        <f>IF(F1848="","",IFERROR(INDEX(マスター!$F$5:$F$200,MATCH(F1848,マスター!$E$5:$E$200,0)),"※マスター未登録"))</f>
        <v/>
      </c>
      <c r="F1848" s="27"/>
      <c r="G1848" s="27"/>
      <c r="H1848" s="27"/>
      <c r="I1848" s="27"/>
      <c r="J1848" s="27"/>
      <c r="K1848" s="27"/>
    </row>
    <row r="1849" spans="1:11" x14ac:dyDescent="0.2">
      <c r="A1849" s="26"/>
      <c r="B1849" s="14" t="str">
        <f>IF(A1849="","",CHOOSE(WEEKDAY(A1849),"日","月","火","水","木","金","土"))</f>
        <v/>
      </c>
      <c r="C1849" s="27"/>
      <c r="D1849" s="27"/>
      <c r="E1849" s="14" t="str">
        <f>IF(F1849="","",IFERROR(INDEX(マスター!$F$5:$F$200,MATCH(F1849,マスター!$E$5:$E$200,0)),"※マスター未登録"))</f>
        <v/>
      </c>
      <c r="F1849" s="27"/>
      <c r="G1849" s="27"/>
      <c r="H1849" s="27"/>
      <c r="I1849" s="27"/>
      <c r="J1849" s="27"/>
      <c r="K1849" s="27"/>
    </row>
    <row r="1850" spans="1:11" x14ac:dyDescent="0.2">
      <c r="A1850" s="26"/>
      <c r="B1850" s="14" t="str">
        <f>IF(A1850="","",CHOOSE(WEEKDAY(A1850),"日","月","火","水","木","金","土"))</f>
        <v/>
      </c>
      <c r="C1850" s="27"/>
      <c r="D1850" s="27"/>
      <c r="E1850" s="14" t="str">
        <f>IF(F1850="","",IFERROR(INDEX(マスター!$F$5:$F$200,MATCH(F1850,マスター!$E$5:$E$200,0)),"※マスター未登録"))</f>
        <v/>
      </c>
      <c r="F1850" s="27"/>
      <c r="G1850" s="27"/>
      <c r="H1850" s="27"/>
      <c r="I1850" s="27"/>
      <c r="J1850" s="27"/>
      <c r="K1850" s="27"/>
    </row>
    <row r="1851" spans="1:11" x14ac:dyDescent="0.2">
      <c r="A1851" s="26"/>
      <c r="B1851" s="14" t="str">
        <f>IF(A1851="","",CHOOSE(WEEKDAY(A1851),"日","月","火","水","木","金","土"))</f>
        <v/>
      </c>
      <c r="C1851" s="27"/>
      <c r="D1851" s="27"/>
      <c r="E1851" s="14" t="str">
        <f>IF(F1851="","",IFERROR(INDEX(マスター!$F$5:$F$200,MATCH(F1851,マスター!$E$5:$E$200,0)),"※マスター未登録"))</f>
        <v/>
      </c>
      <c r="F1851" s="27"/>
      <c r="G1851" s="27"/>
      <c r="H1851" s="27"/>
      <c r="I1851" s="27"/>
      <c r="J1851" s="27"/>
      <c r="K1851" s="27"/>
    </row>
    <row r="1852" spans="1:11" x14ac:dyDescent="0.2">
      <c r="A1852" s="26"/>
      <c r="B1852" s="14" t="str">
        <f>IF(A1852="","",CHOOSE(WEEKDAY(A1852),"日","月","火","水","木","金","土"))</f>
        <v/>
      </c>
      <c r="C1852" s="27"/>
      <c r="D1852" s="27"/>
      <c r="E1852" s="14" t="str">
        <f>IF(F1852="","",IFERROR(INDEX(マスター!$F$5:$F$200,MATCH(F1852,マスター!$E$5:$E$200,0)),"※マスター未登録"))</f>
        <v/>
      </c>
      <c r="F1852" s="27"/>
      <c r="G1852" s="27"/>
      <c r="H1852" s="27"/>
      <c r="I1852" s="27"/>
      <c r="J1852" s="27"/>
      <c r="K1852" s="27"/>
    </row>
    <row r="1853" spans="1:11" x14ac:dyDescent="0.2">
      <c r="A1853" s="26"/>
      <c r="B1853" s="14" t="str">
        <f>IF(A1853="","",CHOOSE(WEEKDAY(A1853),"日","月","火","水","木","金","土"))</f>
        <v/>
      </c>
      <c r="C1853" s="27"/>
      <c r="D1853" s="27"/>
      <c r="E1853" s="14" t="str">
        <f>IF(F1853="","",IFERROR(INDEX(マスター!$F$5:$F$200,MATCH(F1853,マスター!$E$5:$E$200,0)),"※マスター未登録"))</f>
        <v/>
      </c>
      <c r="F1853" s="27"/>
      <c r="G1853" s="27"/>
      <c r="H1853" s="27"/>
      <c r="I1853" s="27"/>
      <c r="J1853" s="27"/>
      <c r="K1853" s="27"/>
    </row>
    <row r="1854" spans="1:11" x14ac:dyDescent="0.2">
      <c r="A1854" s="26"/>
      <c r="B1854" s="14" t="str">
        <f>IF(A1854="","",CHOOSE(WEEKDAY(A1854),"日","月","火","水","木","金","土"))</f>
        <v/>
      </c>
      <c r="C1854" s="27"/>
      <c r="D1854" s="27"/>
      <c r="E1854" s="14" t="str">
        <f>IF(F1854="","",IFERROR(INDEX(マスター!$F$5:$F$200,MATCH(F1854,マスター!$E$5:$E$200,0)),"※マスター未登録"))</f>
        <v/>
      </c>
      <c r="F1854" s="27"/>
      <c r="G1854" s="27"/>
      <c r="H1854" s="27"/>
      <c r="I1854" s="27"/>
      <c r="J1854" s="27"/>
      <c r="K1854" s="27"/>
    </row>
    <row r="1855" spans="1:11" x14ac:dyDescent="0.2">
      <c r="A1855" s="26"/>
      <c r="B1855" s="14" t="str">
        <f>IF(A1855="","",CHOOSE(WEEKDAY(A1855),"日","月","火","水","木","金","土"))</f>
        <v/>
      </c>
      <c r="C1855" s="27"/>
      <c r="D1855" s="27"/>
      <c r="E1855" s="14" t="str">
        <f>IF(F1855="","",IFERROR(INDEX(マスター!$F$5:$F$200,MATCH(F1855,マスター!$E$5:$E$200,0)),"※マスター未登録"))</f>
        <v/>
      </c>
      <c r="F1855" s="27"/>
      <c r="G1855" s="27"/>
      <c r="H1855" s="27"/>
      <c r="I1855" s="27"/>
      <c r="J1855" s="27"/>
      <c r="K1855" s="27"/>
    </row>
    <row r="1856" spans="1:11" x14ac:dyDescent="0.2">
      <c r="A1856" s="26"/>
      <c r="B1856" s="14" t="str">
        <f>IF(A1856="","",CHOOSE(WEEKDAY(A1856),"日","月","火","水","木","金","土"))</f>
        <v/>
      </c>
      <c r="C1856" s="27"/>
      <c r="D1856" s="27"/>
      <c r="E1856" s="14" t="str">
        <f>IF(F1856="","",IFERROR(INDEX(マスター!$F$5:$F$200,MATCH(F1856,マスター!$E$5:$E$200,0)),"※マスター未登録"))</f>
        <v/>
      </c>
      <c r="F1856" s="27"/>
      <c r="G1856" s="27"/>
      <c r="H1856" s="27"/>
      <c r="I1856" s="27"/>
      <c r="J1856" s="27"/>
      <c r="K1856" s="27"/>
    </row>
    <row r="1857" spans="1:11" x14ac:dyDescent="0.2">
      <c r="A1857" s="26"/>
      <c r="B1857" s="14" t="str">
        <f>IF(A1857="","",CHOOSE(WEEKDAY(A1857),"日","月","火","水","木","金","土"))</f>
        <v/>
      </c>
      <c r="C1857" s="27"/>
      <c r="D1857" s="27"/>
      <c r="E1857" s="14" t="str">
        <f>IF(F1857="","",IFERROR(INDEX(マスター!$F$5:$F$200,MATCH(F1857,マスター!$E$5:$E$200,0)),"※マスター未登録"))</f>
        <v/>
      </c>
      <c r="F1857" s="27"/>
      <c r="G1857" s="27"/>
      <c r="H1857" s="27"/>
      <c r="I1857" s="27"/>
      <c r="J1857" s="27"/>
      <c r="K1857" s="27"/>
    </row>
    <row r="1858" spans="1:11" x14ac:dyDescent="0.2">
      <c r="A1858" s="26"/>
      <c r="B1858" s="14" t="str">
        <f>IF(A1858="","",CHOOSE(WEEKDAY(A1858),"日","月","火","水","木","金","土"))</f>
        <v/>
      </c>
      <c r="C1858" s="27"/>
      <c r="D1858" s="27"/>
      <c r="E1858" s="14" t="str">
        <f>IF(F1858="","",IFERROR(INDEX(マスター!$F$5:$F$200,MATCH(F1858,マスター!$E$5:$E$200,0)),"※マスター未登録"))</f>
        <v/>
      </c>
      <c r="F1858" s="27"/>
      <c r="G1858" s="27"/>
      <c r="H1858" s="27"/>
      <c r="I1858" s="27"/>
      <c r="J1858" s="27"/>
      <c r="K1858" s="27"/>
    </row>
    <row r="1859" spans="1:11" x14ac:dyDescent="0.2">
      <c r="A1859" s="26"/>
      <c r="B1859" s="14" t="str">
        <f>IF(A1859="","",CHOOSE(WEEKDAY(A1859),"日","月","火","水","木","金","土"))</f>
        <v/>
      </c>
      <c r="C1859" s="27"/>
      <c r="D1859" s="27"/>
      <c r="E1859" s="14" t="str">
        <f>IF(F1859="","",IFERROR(INDEX(マスター!$F$5:$F$200,MATCH(F1859,マスター!$E$5:$E$200,0)),"※マスター未登録"))</f>
        <v/>
      </c>
      <c r="F1859" s="27"/>
      <c r="G1859" s="27"/>
      <c r="H1859" s="27"/>
      <c r="I1859" s="27"/>
      <c r="J1859" s="27"/>
      <c r="K1859" s="27"/>
    </row>
    <row r="1860" spans="1:11" x14ac:dyDescent="0.2">
      <c r="A1860" s="26"/>
      <c r="B1860" s="14" t="str">
        <f>IF(A1860="","",CHOOSE(WEEKDAY(A1860),"日","月","火","水","木","金","土"))</f>
        <v/>
      </c>
      <c r="C1860" s="27"/>
      <c r="D1860" s="27"/>
      <c r="E1860" s="14" t="str">
        <f>IF(F1860="","",IFERROR(INDEX(マスター!$F$5:$F$200,MATCH(F1860,マスター!$E$5:$E$200,0)),"※マスター未登録"))</f>
        <v/>
      </c>
      <c r="F1860" s="27"/>
      <c r="G1860" s="27"/>
      <c r="H1860" s="27"/>
      <c r="I1860" s="27"/>
      <c r="J1860" s="27"/>
      <c r="K1860" s="27"/>
    </row>
    <row r="1861" spans="1:11" x14ac:dyDescent="0.2">
      <c r="A1861" s="26"/>
      <c r="B1861" s="14" t="str">
        <f>IF(A1861="","",CHOOSE(WEEKDAY(A1861),"日","月","火","水","木","金","土"))</f>
        <v/>
      </c>
      <c r="C1861" s="27"/>
      <c r="D1861" s="27"/>
      <c r="E1861" s="14" t="str">
        <f>IF(F1861="","",IFERROR(INDEX(マスター!$F$5:$F$200,MATCH(F1861,マスター!$E$5:$E$200,0)),"※マスター未登録"))</f>
        <v/>
      </c>
      <c r="F1861" s="27"/>
      <c r="G1861" s="27"/>
      <c r="H1861" s="27"/>
      <c r="I1861" s="27"/>
      <c r="J1861" s="27"/>
      <c r="K1861" s="27"/>
    </row>
    <row r="1862" spans="1:11" x14ac:dyDescent="0.2">
      <c r="A1862" s="26"/>
      <c r="B1862" s="14" t="str">
        <f>IF(A1862="","",CHOOSE(WEEKDAY(A1862),"日","月","火","水","木","金","土"))</f>
        <v/>
      </c>
      <c r="C1862" s="27"/>
      <c r="D1862" s="27"/>
      <c r="E1862" s="14" t="str">
        <f>IF(F1862="","",IFERROR(INDEX(マスター!$F$5:$F$200,MATCH(F1862,マスター!$E$5:$E$200,0)),"※マスター未登録"))</f>
        <v/>
      </c>
      <c r="F1862" s="27"/>
      <c r="G1862" s="27"/>
      <c r="H1862" s="27"/>
      <c r="I1862" s="27"/>
      <c r="J1862" s="27"/>
      <c r="K1862" s="27"/>
    </row>
    <row r="1863" spans="1:11" x14ac:dyDescent="0.2">
      <c r="A1863" s="26"/>
      <c r="B1863" s="14" t="str">
        <f>IF(A1863="","",CHOOSE(WEEKDAY(A1863),"日","月","火","水","木","金","土"))</f>
        <v/>
      </c>
      <c r="C1863" s="27"/>
      <c r="D1863" s="27"/>
      <c r="E1863" s="14" t="str">
        <f>IF(F1863="","",IFERROR(INDEX(マスター!$F$5:$F$200,MATCH(F1863,マスター!$E$5:$E$200,0)),"※マスター未登録"))</f>
        <v/>
      </c>
      <c r="F1863" s="27"/>
      <c r="G1863" s="27"/>
      <c r="H1863" s="27"/>
      <c r="I1863" s="27"/>
      <c r="J1863" s="27"/>
      <c r="K1863" s="27"/>
    </row>
    <row r="1864" spans="1:11" x14ac:dyDescent="0.2">
      <c r="A1864" s="26"/>
      <c r="B1864" s="14" t="str">
        <f>IF(A1864="","",CHOOSE(WEEKDAY(A1864),"日","月","火","水","木","金","土"))</f>
        <v/>
      </c>
      <c r="C1864" s="27"/>
      <c r="D1864" s="27"/>
      <c r="E1864" s="14" t="str">
        <f>IF(F1864="","",IFERROR(INDEX(マスター!$F$5:$F$200,MATCH(F1864,マスター!$E$5:$E$200,0)),"※マスター未登録"))</f>
        <v/>
      </c>
      <c r="F1864" s="27"/>
      <c r="G1864" s="27"/>
      <c r="H1864" s="27"/>
      <c r="I1864" s="27"/>
      <c r="J1864" s="27"/>
      <c r="K1864" s="27"/>
    </row>
    <row r="1865" spans="1:11" x14ac:dyDescent="0.2">
      <c r="A1865" s="26"/>
      <c r="B1865" s="14" t="str">
        <f>IF(A1865="","",CHOOSE(WEEKDAY(A1865),"日","月","火","水","木","金","土"))</f>
        <v/>
      </c>
      <c r="C1865" s="27"/>
      <c r="D1865" s="27"/>
      <c r="E1865" s="14" t="str">
        <f>IF(F1865="","",IFERROR(INDEX(マスター!$F$5:$F$200,MATCH(F1865,マスター!$E$5:$E$200,0)),"※マスター未登録"))</f>
        <v/>
      </c>
      <c r="F1865" s="27"/>
      <c r="G1865" s="27"/>
      <c r="H1865" s="27"/>
      <c r="I1865" s="27"/>
      <c r="J1865" s="27"/>
      <c r="K1865" s="27"/>
    </row>
    <row r="1866" spans="1:11" x14ac:dyDescent="0.2">
      <c r="A1866" s="26"/>
      <c r="B1866" s="14" t="str">
        <f>IF(A1866="","",CHOOSE(WEEKDAY(A1866),"日","月","火","水","木","金","土"))</f>
        <v/>
      </c>
      <c r="C1866" s="27"/>
      <c r="D1866" s="27"/>
      <c r="E1866" s="14" t="str">
        <f>IF(F1866="","",IFERROR(INDEX(マスター!$F$5:$F$200,MATCH(F1866,マスター!$E$5:$E$200,0)),"※マスター未登録"))</f>
        <v/>
      </c>
      <c r="F1866" s="27"/>
      <c r="G1866" s="27"/>
      <c r="H1866" s="27"/>
      <c r="I1866" s="27"/>
      <c r="J1866" s="27"/>
      <c r="K1866" s="27"/>
    </row>
    <row r="1867" spans="1:11" x14ac:dyDescent="0.2">
      <c r="A1867" s="26"/>
      <c r="B1867" s="14" t="str">
        <f>IF(A1867="","",CHOOSE(WEEKDAY(A1867),"日","月","火","水","木","金","土"))</f>
        <v/>
      </c>
      <c r="C1867" s="27"/>
      <c r="D1867" s="27"/>
      <c r="E1867" s="14" t="str">
        <f>IF(F1867="","",IFERROR(INDEX(マスター!$F$5:$F$200,MATCH(F1867,マスター!$E$5:$E$200,0)),"※マスター未登録"))</f>
        <v/>
      </c>
      <c r="F1867" s="27"/>
      <c r="G1867" s="27"/>
      <c r="H1867" s="27"/>
      <c r="I1867" s="27"/>
      <c r="J1867" s="27"/>
      <c r="K1867" s="27"/>
    </row>
    <row r="1868" spans="1:11" x14ac:dyDescent="0.2">
      <c r="A1868" s="26"/>
      <c r="B1868" s="14" t="str">
        <f>IF(A1868="","",CHOOSE(WEEKDAY(A1868),"日","月","火","水","木","金","土"))</f>
        <v/>
      </c>
      <c r="C1868" s="27"/>
      <c r="D1868" s="27"/>
      <c r="E1868" s="14" t="str">
        <f>IF(F1868="","",IFERROR(INDEX(マスター!$F$5:$F$200,MATCH(F1868,マスター!$E$5:$E$200,0)),"※マスター未登録"))</f>
        <v/>
      </c>
      <c r="F1868" s="27"/>
      <c r="G1868" s="27"/>
      <c r="H1868" s="27"/>
      <c r="I1868" s="27"/>
      <c r="J1868" s="27"/>
      <c r="K1868" s="27"/>
    </row>
    <row r="1869" spans="1:11" x14ac:dyDescent="0.2">
      <c r="A1869" s="26"/>
      <c r="B1869" s="14" t="str">
        <f>IF(A1869="","",CHOOSE(WEEKDAY(A1869),"日","月","火","水","木","金","土"))</f>
        <v/>
      </c>
      <c r="C1869" s="27"/>
      <c r="D1869" s="27"/>
      <c r="E1869" s="14" t="str">
        <f>IF(F1869="","",IFERROR(INDEX(マスター!$F$5:$F$200,MATCH(F1869,マスター!$E$5:$E$200,0)),"※マスター未登録"))</f>
        <v/>
      </c>
      <c r="F1869" s="27"/>
      <c r="G1869" s="27"/>
      <c r="H1869" s="27"/>
      <c r="I1869" s="27"/>
      <c r="J1869" s="27"/>
      <c r="K1869" s="27"/>
    </row>
    <row r="1870" spans="1:11" x14ac:dyDescent="0.2">
      <c r="A1870" s="26"/>
      <c r="B1870" s="14" t="str">
        <f>IF(A1870="","",CHOOSE(WEEKDAY(A1870),"日","月","火","水","木","金","土"))</f>
        <v/>
      </c>
      <c r="C1870" s="27"/>
      <c r="D1870" s="27"/>
      <c r="E1870" s="14" t="str">
        <f>IF(F1870="","",IFERROR(INDEX(マスター!$F$5:$F$200,MATCH(F1870,マスター!$E$5:$E$200,0)),"※マスター未登録"))</f>
        <v/>
      </c>
      <c r="F1870" s="27"/>
      <c r="G1870" s="27"/>
      <c r="H1870" s="27"/>
      <c r="I1870" s="27"/>
      <c r="J1870" s="27"/>
      <c r="K1870" s="27"/>
    </row>
    <row r="1871" spans="1:11" x14ac:dyDescent="0.2">
      <c r="A1871" s="26"/>
      <c r="B1871" s="14" t="str">
        <f>IF(A1871="","",CHOOSE(WEEKDAY(A1871),"日","月","火","水","木","金","土"))</f>
        <v/>
      </c>
      <c r="C1871" s="27"/>
      <c r="D1871" s="27"/>
      <c r="E1871" s="14" t="str">
        <f>IF(F1871="","",IFERROR(INDEX(マスター!$F$5:$F$200,MATCH(F1871,マスター!$E$5:$E$200,0)),"※マスター未登録"))</f>
        <v/>
      </c>
      <c r="F1871" s="27"/>
      <c r="G1871" s="27"/>
      <c r="H1871" s="27"/>
      <c r="I1871" s="27"/>
      <c r="J1871" s="27"/>
      <c r="K1871" s="27"/>
    </row>
    <row r="1872" spans="1:11" x14ac:dyDescent="0.2">
      <c r="A1872" s="26"/>
      <c r="B1872" s="14" t="str">
        <f>IF(A1872="","",CHOOSE(WEEKDAY(A1872),"日","月","火","水","木","金","土"))</f>
        <v/>
      </c>
      <c r="C1872" s="27"/>
      <c r="D1872" s="27"/>
      <c r="E1872" s="14" t="str">
        <f>IF(F1872="","",IFERROR(INDEX(マスター!$F$5:$F$200,MATCH(F1872,マスター!$E$5:$E$200,0)),"※マスター未登録"))</f>
        <v/>
      </c>
      <c r="F1872" s="27"/>
      <c r="G1872" s="27"/>
      <c r="H1872" s="27"/>
      <c r="I1872" s="27"/>
      <c r="J1872" s="27"/>
      <c r="K1872" s="27"/>
    </row>
    <row r="1873" spans="1:11" x14ac:dyDescent="0.2">
      <c r="A1873" s="26"/>
      <c r="B1873" s="14" t="str">
        <f>IF(A1873="","",CHOOSE(WEEKDAY(A1873),"日","月","火","水","木","金","土"))</f>
        <v/>
      </c>
      <c r="C1873" s="27"/>
      <c r="D1873" s="27"/>
      <c r="E1873" s="14" t="str">
        <f>IF(F1873="","",IFERROR(INDEX(マスター!$F$5:$F$200,MATCH(F1873,マスター!$E$5:$E$200,0)),"※マスター未登録"))</f>
        <v/>
      </c>
      <c r="F1873" s="27"/>
      <c r="G1873" s="27"/>
      <c r="H1873" s="27"/>
      <c r="I1873" s="27"/>
      <c r="J1873" s="27"/>
      <c r="K1873" s="27"/>
    </row>
    <row r="1874" spans="1:11" x14ac:dyDescent="0.2">
      <c r="A1874" s="26"/>
      <c r="B1874" s="14" t="str">
        <f>IF(A1874="","",CHOOSE(WEEKDAY(A1874),"日","月","火","水","木","金","土"))</f>
        <v/>
      </c>
      <c r="C1874" s="27"/>
      <c r="D1874" s="27"/>
      <c r="E1874" s="14" t="str">
        <f>IF(F1874="","",IFERROR(INDEX(マスター!$F$5:$F$200,MATCH(F1874,マスター!$E$5:$E$200,0)),"※マスター未登録"))</f>
        <v/>
      </c>
      <c r="F1874" s="27"/>
      <c r="G1874" s="27"/>
      <c r="H1874" s="27"/>
      <c r="I1874" s="27"/>
      <c r="J1874" s="27"/>
      <c r="K1874" s="27"/>
    </row>
    <row r="1875" spans="1:11" x14ac:dyDescent="0.2">
      <c r="A1875" s="26"/>
      <c r="B1875" s="14" t="str">
        <f>IF(A1875="","",CHOOSE(WEEKDAY(A1875),"日","月","火","水","木","金","土"))</f>
        <v/>
      </c>
      <c r="C1875" s="27"/>
      <c r="D1875" s="27"/>
      <c r="E1875" s="14" t="str">
        <f>IF(F1875="","",IFERROR(INDEX(マスター!$F$5:$F$200,MATCH(F1875,マスター!$E$5:$E$200,0)),"※マスター未登録"))</f>
        <v/>
      </c>
      <c r="F1875" s="27"/>
      <c r="G1875" s="27"/>
      <c r="H1875" s="27"/>
      <c r="I1875" s="27"/>
      <c r="J1875" s="27"/>
      <c r="K1875" s="27"/>
    </row>
    <row r="1876" spans="1:11" x14ac:dyDescent="0.2">
      <c r="A1876" s="26"/>
      <c r="B1876" s="14" t="str">
        <f>IF(A1876="","",CHOOSE(WEEKDAY(A1876),"日","月","火","水","木","金","土"))</f>
        <v/>
      </c>
      <c r="C1876" s="27"/>
      <c r="D1876" s="27"/>
      <c r="E1876" s="14" t="str">
        <f>IF(F1876="","",IFERROR(INDEX(マスター!$F$5:$F$200,MATCH(F1876,マスター!$E$5:$E$200,0)),"※マスター未登録"))</f>
        <v/>
      </c>
      <c r="F1876" s="27"/>
      <c r="G1876" s="27"/>
      <c r="H1876" s="27"/>
      <c r="I1876" s="27"/>
      <c r="J1876" s="27"/>
      <c r="K1876" s="27"/>
    </row>
    <row r="1877" spans="1:11" x14ac:dyDescent="0.2">
      <c r="A1877" s="26"/>
      <c r="B1877" s="14" t="str">
        <f>IF(A1877="","",CHOOSE(WEEKDAY(A1877),"日","月","火","水","木","金","土"))</f>
        <v/>
      </c>
      <c r="C1877" s="27"/>
      <c r="D1877" s="27"/>
      <c r="E1877" s="14" t="str">
        <f>IF(F1877="","",IFERROR(INDEX(マスター!$F$5:$F$200,MATCH(F1877,マスター!$E$5:$E$200,0)),"※マスター未登録"))</f>
        <v/>
      </c>
      <c r="F1877" s="27"/>
      <c r="G1877" s="27"/>
      <c r="H1877" s="27"/>
      <c r="I1877" s="27"/>
      <c r="J1877" s="27"/>
      <c r="K1877" s="27"/>
    </row>
    <row r="1878" spans="1:11" x14ac:dyDescent="0.2">
      <c r="A1878" s="26"/>
      <c r="B1878" s="14" t="str">
        <f>IF(A1878="","",CHOOSE(WEEKDAY(A1878),"日","月","火","水","木","金","土"))</f>
        <v/>
      </c>
      <c r="C1878" s="27"/>
      <c r="D1878" s="27"/>
      <c r="E1878" s="14" t="str">
        <f>IF(F1878="","",IFERROR(INDEX(マスター!$F$5:$F$200,MATCH(F1878,マスター!$E$5:$E$200,0)),"※マスター未登録"))</f>
        <v/>
      </c>
      <c r="F1878" s="27"/>
      <c r="G1878" s="27"/>
      <c r="H1878" s="27"/>
      <c r="I1878" s="27"/>
      <c r="J1878" s="27"/>
      <c r="K1878" s="27"/>
    </row>
    <row r="1879" spans="1:11" x14ac:dyDescent="0.2">
      <c r="A1879" s="26"/>
      <c r="B1879" s="14" t="str">
        <f>IF(A1879="","",CHOOSE(WEEKDAY(A1879),"日","月","火","水","木","金","土"))</f>
        <v/>
      </c>
      <c r="C1879" s="27"/>
      <c r="D1879" s="27"/>
      <c r="E1879" s="14" t="str">
        <f>IF(F1879="","",IFERROR(INDEX(マスター!$F$5:$F$200,MATCH(F1879,マスター!$E$5:$E$200,0)),"※マスター未登録"))</f>
        <v/>
      </c>
      <c r="F1879" s="27"/>
      <c r="G1879" s="27"/>
      <c r="H1879" s="27"/>
      <c r="I1879" s="27"/>
      <c r="J1879" s="27"/>
      <c r="K1879" s="27"/>
    </row>
    <row r="1880" spans="1:11" x14ac:dyDescent="0.2">
      <c r="A1880" s="26"/>
      <c r="B1880" s="14" t="str">
        <f>IF(A1880="","",CHOOSE(WEEKDAY(A1880),"日","月","火","水","木","金","土"))</f>
        <v/>
      </c>
      <c r="C1880" s="27"/>
      <c r="D1880" s="27"/>
      <c r="E1880" s="14" t="str">
        <f>IF(F1880="","",IFERROR(INDEX(マスター!$F$5:$F$200,MATCH(F1880,マスター!$E$5:$E$200,0)),"※マスター未登録"))</f>
        <v/>
      </c>
      <c r="F1880" s="27"/>
      <c r="G1880" s="27"/>
      <c r="H1880" s="27"/>
      <c r="I1880" s="27"/>
      <c r="J1880" s="27"/>
      <c r="K1880" s="27"/>
    </row>
    <row r="1881" spans="1:11" x14ac:dyDescent="0.2">
      <c r="A1881" s="26"/>
      <c r="B1881" s="14" t="str">
        <f>IF(A1881="","",CHOOSE(WEEKDAY(A1881),"日","月","火","水","木","金","土"))</f>
        <v/>
      </c>
      <c r="C1881" s="27"/>
      <c r="D1881" s="27"/>
      <c r="E1881" s="14" t="str">
        <f>IF(F1881="","",IFERROR(INDEX(マスター!$F$5:$F$200,MATCH(F1881,マスター!$E$5:$E$200,0)),"※マスター未登録"))</f>
        <v/>
      </c>
      <c r="F1881" s="27"/>
      <c r="G1881" s="27"/>
      <c r="H1881" s="27"/>
      <c r="I1881" s="27"/>
      <c r="J1881" s="27"/>
      <c r="K1881" s="27"/>
    </row>
    <row r="1882" spans="1:11" x14ac:dyDescent="0.2">
      <c r="A1882" s="26"/>
      <c r="B1882" s="14" t="str">
        <f>IF(A1882="","",CHOOSE(WEEKDAY(A1882),"日","月","火","水","木","金","土"))</f>
        <v/>
      </c>
      <c r="C1882" s="27"/>
      <c r="D1882" s="27"/>
      <c r="E1882" s="14" t="str">
        <f>IF(F1882="","",IFERROR(INDEX(マスター!$F$5:$F$200,MATCH(F1882,マスター!$E$5:$E$200,0)),"※マスター未登録"))</f>
        <v/>
      </c>
      <c r="F1882" s="27"/>
      <c r="G1882" s="27"/>
      <c r="H1882" s="27"/>
      <c r="I1882" s="27"/>
      <c r="J1882" s="27"/>
      <c r="K1882" s="27"/>
    </row>
    <row r="1883" spans="1:11" x14ac:dyDescent="0.2">
      <c r="A1883" s="26"/>
      <c r="B1883" s="14" t="str">
        <f>IF(A1883="","",CHOOSE(WEEKDAY(A1883),"日","月","火","水","木","金","土"))</f>
        <v/>
      </c>
      <c r="C1883" s="27"/>
      <c r="D1883" s="27"/>
      <c r="E1883" s="14" t="str">
        <f>IF(F1883="","",IFERROR(INDEX(マスター!$F$5:$F$200,MATCH(F1883,マスター!$E$5:$E$200,0)),"※マスター未登録"))</f>
        <v/>
      </c>
      <c r="F1883" s="27"/>
      <c r="G1883" s="27"/>
      <c r="H1883" s="27"/>
      <c r="I1883" s="27"/>
      <c r="J1883" s="27"/>
      <c r="K1883" s="27"/>
    </row>
    <row r="1884" spans="1:11" x14ac:dyDescent="0.2">
      <c r="A1884" s="26"/>
      <c r="B1884" s="14" t="str">
        <f>IF(A1884="","",CHOOSE(WEEKDAY(A1884),"日","月","火","水","木","金","土"))</f>
        <v/>
      </c>
      <c r="C1884" s="27"/>
      <c r="D1884" s="27"/>
      <c r="E1884" s="14" t="str">
        <f>IF(F1884="","",IFERROR(INDEX(マスター!$F$5:$F$200,MATCH(F1884,マスター!$E$5:$E$200,0)),"※マスター未登録"))</f>
        <v/>
      </c>
      <c r="F1884" s="27"/>
      <c r="G1884" s="27"/>
      <c r="H1884" s="27"/>
      <c r="I1884" s="27"/>
      <c r="J1884" s="27"/>
      <c r="K1884" s="27"/>
    </row>
    <row r="1885" spans="1:11" x14ac:dyDescent="0.2">
      <c r="A1885" s="26"/>
      <c r="B1885" s="14" t="str">
        <f>IF(A1885="","",CHOOSE(WEEKDAY(A1885),"日","月","火","水","木","金","土"))</f>
        <v/>
      </c>
      <c r="C1885" s="27"/>
      <c r="D1885" s="27"/>
      <c r="E1885" s="14" t="str">
        <f>IF(F1885="","",IFERROR(INDEX(マスター!$F$5:$F$200,MATCH(F1885,マスター!$E$5:$E$200,0)),"※マスター未登録"))</f>
        <v/>
      </c>
      <c r="F1885" s="27"/>
      <c r="G1885" s="27"/>
      <c r="H1885" s="27"/>
      <c r="I1885" s="27"/>
      <c r="J1885" s="27"/>
      <c r="K1885" s="27"/>
    </row>
    <row r="1886" spans="1:11" x14ac:dyDescent="0.2">
      <c r="A1886" s="26"/>
      <c r="B1886" s="14" t="str">
        <f>IF(A1886="","",CHOOSE(WEEKDAY(A1886),"日","月","火","水","木","金","土"))</f>
        <v/>
      </c>
      <c r="C1886" s="27"/>
      <c r="D1886" s="27"/>
      <c r="E1886" s="14" t="str">
        <f>IF(F1886="","",IFERROR(INDEX(マスター!$F$5:$F$200,MATCH(F1886,マスター!$E$5:$E$200,0)),"※マスター未登録"))</f>
        <v/>
      </c>
      <c r="F1886" s="27"/>
      <c r="G1886" s="27"/>
      <c r="H1886" s="27"/>
      <c r="I1886" s="27"/>
      <c r="J1886" s="27"/>
      <c r="K1886" s="27"/>
    </row>
    <row r="1887" spans="1:11" x14ac:dyDescent="0.2">
      <c r="A1887" s="26"/>
      <c r="B1887" s="14" t="str">
        <f>IF(A1887="","",CHOOSE(WEEKDAY(A1887),"日","月","火","水","木","金","土"))</f>
        <v/>
      </c>
      <c r="C1887" s="27"/>
      <c r="D1887" s="27"/>
      <c r="E1887" s="14" t="str">
        <f>IF(F1887="","",IFERROR(INDEX(マスター!$F$5:$F$200,MATCH(F1887,マスター!$E$5:$E$200,0)),"※マスター未登録"))</f>
        <v/>
      </c>
      <c r="F1887" s="27"/>
      <c r="G1887" s="27"/>
      <c r="H1887" s="27"/>
      <c r="I1887" s="27"/>
      <c r="J1887" s="27"/>
      <c r="K1887" s="27"/>
    </row>
    <row r="1888" spans="1:11" x14ac:dyDescent="0.2">
      <c r="A1888" s="26"/>
      <c r="B1888" s="14" t="str">
        <f>IF(A1888="","",CHOOSE(WEEKDAY(A1888),"日","月","火","水","木","金","土"))</f>
        <v/>
      </c>
      <c r="C1888" s="27"/>
      <c r="D1888" s="27"/>
      <c r="E1888" s="14" t="str">
        <f>IF(F1888="","",IFERROR(INDEX(マスター!$F$5:$F$200,MATCH(F1888,マスター!$E$5:$E$200,0)),"※マスター未登録"))</f>
        <v/>
      </c>
      <c r="F1888" s="27"/>
      <c r="G1888" s="27"/>
      <c r="H1888" s="27"/>
      <c r="I1888" s="27"/>
      <c r="J1888" s="27"/>
      <c r="K1888" s="27"/>
    </row>
    <row r="1889" spans="1:11" x14ac:dyDescent="0.2">
      <c r="A1889" s="26"/>
      <c r="B1889" s="14" t="str">
        <f>IF(A1889="","",CHOOSE(WEEKDAY(A1889),"日","月","火","水","木","金","土"))</f>
        <v/>
      </c>
      <c r="C1889" s="27"/>
      <c r="D1889" s="27"/>
      <c r="E1889" s="14" t="str">
        <f>IF(F1889="","",IFERROR(INDEX(マスター!$F$5:$F$200,MATCH(F1889,マスター!$E$5:$E$200,0)),"※マスター未登録"))</f>
        <v/>
      </c>
      <c r="F1889" s="27"/>
      <c r="G1889" s="27"/>
      <c r="H1889" s="27"/>
      <c r="I1889" s="27"/>
      <c r="J1889" s="27"/>
      <c r="K1889" s="27"/>
    </row>
    <row r="1890" spans="1:11" x14ac:dyDescent="0.2">
      <c r="A1890" s="26"/>
      <c r="B1890" s="14" t="str">
        <f>IF(A1890="","",CHOOSE(WEEKDAY(A1890),"日","月","火","水","木","金","土"))</f>
        <v/>
      </c>
      <c r="C1890" s="27"/>
      <c r="D1890" s="27"/>
      <c r="E1890" s="14" t="str">
        <f>IF(F1890="","",IFERROR(INDEX(マスター!$F$5:$F$200,MATCH(F1890,マスター!$E$5:$E$200,0)),"※マスター未登録"))</f>
        <v/>
      </c>
      <c r="F1890" s="27"/>
      <c r="G1890" s="27"/>
      <c r="H1890" s="27"/>
      <c r="I1890" s="27"/>
      <c r="J1890" s="27"/>
      <c r="K1890" s="27"/>
    </row>
    <row r="1891" spans="1:11" x14ac:dyDescent="0.2">
      <c r="A1891" s="26"/>
      <c r="B1891" s="14" t="str">
        <f>IF(A1891="","",CHOOSE(WEEKDAY(A1891),"日","月","火","水","木","金","土"))</f>
        <v/>
      </c>
      <c r="C1891" s="27"/>
      <c r="D1891" s="27"/>
      <c r="E1891" s="14" t="str">
        <f>IF(F1891="","",IFERROR(INDEX(マスター!$F$5:$F$200,MATCH(F1891,マスター!$E$5:$E$200,0)),"※マスター未登録"))</f>
        <v/>
      </c>
      <c r="F1891" s="27"/>
      <c r="G1891" s="27"/>
      <c r="H1891" s="27"/>
      <c r="I1891" s="27"/>
      <c r="J1891" s="27"/>
      <c r="K1891" s="27"/>
    </row>
    <row r="1892" spans="1:11" x14ac:dyDescent="0.2">
      <c r="A1892" s="26"/>
      <c r="B1892" s="14" t="str">
        <f>IF(A1892="","",CHOOSE(WEEKDAY(A1892),"日","月","火","水","木","金","土"))</f>
        <v/>
      </c>
      <c r="C1892" s="27"/>
      <c r="D1892" s="27"/>
      <c r="E1892" s="14" t="str">
        <f>IF(F1892="","",IFERROR(INDEX(マスター!$F$5:$F$200,MATCH(F1892,マスター!$E$5:$E$200,0)),"※マスター未登録"))</f>
        <v/>
      </c>
      <c r="F1892" s="27"/>
      <c r="G1892" s="27"/>
      <c r="H1892" s="27"/>
      <c r="I1892" s="27"/>
      <c r="J1892" s="27"/>
      <c r="K1892" s="27"/>
    </row>
    <row r="1893" spans="1:11" x14ac:dyDescent="0.2">
      <c r="A1893" s="26"/>
      <c r="B1893" s="14" t="str">
        <f>IF(A1893="","",CHOOSE(WEEKDAY(A1893),"日","月","火","水","木","金","土"))</f>
        <v/>
      </c>
      <c r="C1893" s="27"/>
      <c r="D1893" s="27"/>
      <c r="E1893" s="14" t="str">
        <f>IF(F1893="","",IFERROR(INDEX(マスター!$F$5:$F$200,MATCH(F1893,マスター!$E$5:$E$200,0)),"※マスター未登録"))</f>
        <v/>
      </c>
      <c r="F1893" s="27"/>
      <c r="G1893" s="27"/>
      <c r="H1893" s="27"/>
      <c r="I1893" s="27"/>
      <c r="J1893" s="27"/>
      <c r="K1893" s="27"/>
    </row>
    <row r="1894" spans="1:11" x14ac:dyDescent="0.2">
      <c r="A1894" s="26"/>
      <c r="B1894" s="14" t="str">
        <f>IF(A1894="","",CHOOSE(WEEKDAY(A1894),"日","月","火","水","木","金","土"))</f>
        <v/>
      </c>
      <c r="C1894" s="27"/>
      <c r="D1894" s="27"/>
      <c r="E1894" s="14" t="str">
        <f>IF(F1894="","",IFERROR(INDEX(マスター!$F$5:$F$200,MATCH(F1894,マスター!$E$5:$E$200,0)),"※マスター未登録"))</f>
        <v/>
      </c>
      <c r="F1894" s="27"/>
      <c r="G1894" s="27"/>
      <c r="H1894" s="27"/>
      <c r="I1894" s="27"/>
      <c r="J1894" s="27"/>
      <c r="K1894" s="27"/>
    </row>
    <row r="1895" spans="1:11" x14ac:dyDescent="0.2">
      <c r="A1895" s="26"/>
      <c r="B1895" s="14" t="str">
        <f>IF(A1895="","",CHOOSE(WEEKDAY(A1895),"日","月","火","水","木","金","土"))</f>
        <v/>
      </c>
      <c r="C1895" s="27"/>
      <c r="D1895" s="27"/>
      <c r="E1895" s="14" t="str">
        <f>IF(F1895="","",IFERROR(INDEX(マスター!$F$5:$F$200,MATCH(F1895,マスター!$E$5:$E$200,0)),"※マスター未登録"))</f>
        <v/>
      </c>
      <c r="F1895" s="27"/>
      <c r="G1895" s="27"/>
      <c r="H1895" s="27"/>
      <c r="I1895" s="27"/>
      <c r="J1895" s="27"/>
      <c r="K1895" s="27"/>
    </row>
    <row r="1896" spans="1:11" x14ac:dyDescent="0.2">
      <c r="A1896" s="26"/>
      <c r="B1896" s="14" t="str">
        <f>IF(A1896="","",CHOOSE(WEEKDAY(A1896),"日","月","火","水","木","金","土"))</f>
        <v/>
      </c>
      <c r="C1896" s="27"/>
      <c r="D1896" s="27"/>
      <c r="E1896" s="14" t="str">
        <f>IF(F1896="","",IFERROR(INDEX(マスター!$F$5:$F$200,MATCH(F1896,マスター!$E$5:$E$200,0)),"※マスター未登録"))</f>
        <v/>
      </c>
      <c r="F1896" s="27"/>
      <c r="G1896" s="27"/>
      <c r="H1896" s="27"/>
      <c r="I1896" s="27"/>
      <c r="J1896" s="27"/>
      <c r="K1896" s="27"/>
    </row>
    <row r="1897" spans="1:11" x14ac:dyDescent="0.2">
      <c r="A1897" s="26"/>
      <c r="B1897" s="14" t="str">
        <f>IF(A1897="","",CHOOSE(WEEKDAY(A1897),"日","月","火","水","木","金","土"))</f>
        <v/>
      </c>
      <c r="C1897" s="27"/>
      <c r="D1897" s="27"/>
      <c r="E1897" s="14" t="str">
        <f>IF(F1897="","",IFERROR(INDEX(マスター!$F$5:$F$200,MATCH(F1897,マスター!$E$5:$E$200,0)),"※マスター未登録"))</f>
        <v/>
      </c>
      <c r="F1897" s="27"/>
      <c r="G1897" s="27"/>
      <c r="H1897" s="27"/>
      <c r="I1897" s="27"/>
      <c r="J1897" s="27"/>
      <c r="K1897" s="27"/>
    </row>
    <row r="1898" spans="1:11" x14ac:dyDescent="0.2">
      <c r="A1898" s="26"/>
      <c r="B1898" s="14" t="str">
        <f>IF(A1898="","",CHOOSE(WEEKDAY(A1898),"日","月","火","水","木","金","土"))</f>
        <v/>
      </c>
      <c r="C1898" s="27"/>
      <c r="D1898" s="27"/>
      <c r="E1898" s="14" t="str">
        <f>IF(F1898="","",IFERROR(INDEX(マスター!$F$5:$F$200,MATCH(F1898,マスター!$E$5:$E$200,0)),"※マスター未登録"))</f>
        <v/>
      </c>
      <c r="F1898" s="27"/>
      <c r="G1898" s="27"/>
      <c r="H1898" s="27"/>
      <c r="I1898" s="27"/>
      <c r="J1898" s="27"/>
      <c r="K1898" s="27"/>
    </row>
    <row r="1899" spans="1:11" x14ac:dyDescent="0.2">
      <c r="A1899" s="26"/>
      <c r="B1899" s="14" t="str">
        <f>IF(A1899="","",CHOOSE(WEEKDAY(A1899),"日","月","火","水","木","金","土"))</f>
        <v/>
      </c>
      <c r="C1899" s="27"/>
      <c r="D1899" s="27"/>
      <c r="E1899" s="14" t="str">
        <f>IF(F1899="","",IFERROR(INDEX(マスター!$F$5:$F$200,MATCH(F1899,マスター!$E$5:$E$200,0)),"※マスター未登録"))</f>
        <v/>
      </c>
      <c r="F1899" s="27"/>
      <c r="G1899" s="27"/>
      <c r="H1899" s="27"/>
      <c r="I1899" s="27"/>
      <c r="J1899" s="27"/>
      <c r="K1899" s="27"/>
    </row>
    <row r="1900" spans="1:11" x14ac:dyDescent="0.2">
      <c r="A1900" s="26"/>
      <c r="B1900" s="14" t="str">
        <f>IF(A1900="","",CHOOSE(WEEKDAY(A1900),"日","月","火","水","木","金","土"))</f>
        <v/>
      </c>
      <c r="C1900" s="27"/>
      <c r="D1900" s="27"/>
      <c r="E1900" s="14" t="str">
        <f>IF(F1900="","",IFERROR(INDEX(マスター!$F$5:$F$200,MATCH(F1900,マスター!$E$5:$E$200,0)),"※マスター未登録"))</f>
        <v/>
      </c>
      <c r="F1900" s="27"/>
      <c r="G1900" s="27"/>
      <c r="H1900" s="27"/>
      <c r="I1900" s="27"/>
      <c r="J1900" s="27"/>
      <c r="K1900" s="27"/>
    </row>
    <row r="1901" spans="1:11" x14ac:dyDescent="0.2">
      <c r="A1901" s="26"/>
      <c r="B1901" s="14" t="str">
        <f>IF(A1901="","",CHOOSE(WEEKDAY(A1901),"日","月","火","水","木","金","土"))</f>
        <v/>
      </c>
      <c r="C1901" s="27"/>
      <c r="D1901" s="27"/>
      <c r="E1901" s="14" t="str">
        <f>IF(F1901="","",IFERROR(INDEX(マスター!$F$5:$F$200,MATCH(F1901,マスター!$E$5:$E$200,0)),"※マスター未登録"))</f>
        <v/>
      </c>
      <c r="F1901" s="27"/>
      <c r="G1901" s="27"/>
      <c r="H1901" s="27"/>
      <c r="I1901" s="27"/>
      <c r="J1901" s="27"/>
      <c r="K1901" s="27"/>
    </row>
    <row r="1902" spans="1:11" x14ac:dyDescent="0.2">
      <c r="A1902" s="26"/>
      <c r="B1902" s="14" t="str">
        <f>IF(A1902="","",CHOOSE(WEEKDAY(A1902),"日","月","火","水","木","金","土"))</f>
        <v/>
      </c>
      <c r="C1902" s="27"/>
      <c r="D1902" s="27"/>
      <c r="E1902" s="14" t="str">
        <f>IF(F1902="","",IFERROR(INDEX(マスター!$F$5:$F$200,MATCH(F1902,マスター!$E$5:$E$200,0)),"※マスター未登録"))</f>
        <v/>
      </c>
      <c r="F1902" s="27"/>
      <c r="G1902" s="27"/>
      <c r="H1902" s="27"/>
      <c r="I1902" s="27"/>
      <c r="J1902" s="27"/>
      <c r="K1902" s="27"/>
    </row>
    <row r="1903" spans="1:11" x14ac:dyDescent="0.2">
      <c r="A1903" s="26"/>
      <c r="B1903" s="14" t="str">
        <f>IF(A1903="","",CHOOSE(WEEKDAY(A1903),"日","月","火","水","木","金","土"))</f>
        <v/>
      </c>
      <c r="C1903" s="27"/>
      <c r="D1903" s="27"/>
      <c r="E1903" s="14" t="str">
        <f>IF(F1903="","",IFERROR(INDEX(マスター!$F$5:$F$200,MATCH(F1903,マスター!$E$5:$E$200,0)),"※マスター未登録"))</f>
        <v/>
      </c>
      <c r="F1903" s="27"/>
      <c r="G1903" s="27"/>
      <c r="H1903" s="27"/>
      <c r="I1903" s="27"/>
      <c r="J1903" s="27"/>
      <c r="K1903" s="27"/>
    </row>
    <row r="1904" spans="1:11" x14ac:dyDescent="0.2">
      <c r="A1904" s="26"/>
      <c r="B1904" s="14" t="str">
        <f>IF(A1904="","",CHOOSE(WEEKDAY(A1904),"日","月","火","水","木","金","土"))</f>
        <v/>
      </c>
      <c r="C1904" s="27"/>
      <c r="D1904" s="27"/>
      <c r="E1904" s="14" t="str">
        <f>IF(F1904="","",IFERROR(INDEX(マスター!$F$5:$F$200,MATCH(F1904,マスター!$E$5:$E$200,0)),"※マスター未登録"))</f>
        <v/>
      </c>
      <c r="F1904" s="27"/>
      <c r="G1904" s="27"/>
      <c r="H1904" s="27"/>
      <c r="I1904" s="27"/>
      <c r="J1904" s="27"/>
      <c r="K1904" s="27"/>
    </row>
    <row r="1905" spans="1:11" x14ac:dyDescent="0.2">
      <c r="A1905" s="26"/>
      <c r="B1905" s="14" t="str">
        <f>IF(A1905="","",CHOOSE(WEEKDAY(A1905),"日","月","火","水","木","金","土"))</f>
        <v/>
      </c>
      <c r="C1905" s="27"/>
      <c r="D1905" s="27"/>
      <c r="E1905" s="14" t="str">
        <f>IF(F1905="","",IFERROR(INDEX(マスター!$F$5:$F$200,MATCH(F1905,マスター!$E$5:$E$200,0)),"※マスター未登録"))</f>
        <v/>
      </c>
      <c r="F1905" s="27"/>
      <c r="G1905" s="27"/>
      <c r="H1905" s="27"/>
      <c r="I1905" s="27"/>
      <c r="J1905" s="27"/>
      <c r="K1905" s="27"/>
    </row>
    <row r="1906" spans="1:11" x14ac:dyDescent="0.2">
      <c r="A1906" s="26"/>
      <c r="B1906" s="14" t="str">
        <f>IF(A1906="","",CHOOSE(WEEKDAY(A1906),"日","月","火","水","木","金","土"))</f>
        <v/>
      </c>
      <c r="C1906" s="27"/>
      <c r="D1906" s="27"/>
      <c r="E1906" s="14" t="str">
        <f>IF(F1906="","",IFERROR(INDEX(マスター!$F$5:$F$200,MATCH(F1906,マスター!$E$5:$E$200,0)),"※マスター未登録"))</f>
        <v/>
      </c>
      <c r="F1906" s="27"/>
      <c r="G1906" s="27"/>
      <c r="H1906" s="27"/>
      <c r="I1906" s="27"/>
      <c r="J1906" s="27"/>
      <c r="K1906" s="27"/>
    </row>
    <row r="1907" spans="1:11" x14ac:dyDescent="0.2">
      <c r="A1907" s="26"/>
      <c r="B1907" s="14" t="str">
        <f>IF(A1907="","",CHOOSE(WEEKDAY(A1907),"日","月","火","水","木","金","土"))</f>
        <v/>
      </c>
      <c r="C1907" s="27"/>
      <c r="D1907" s="27"/>
      <c r="E1907" s="14" t="str">
        <f>IF(F1907="","",IFERROR(INDEX(マスター!$F$5:$F$200,MATCH(F1907,マスター!$E$5:$E$200,0)),"※マスター未登録"))</f>
        <v/>
      </c>
      <c r="F1907" s="27"/>
      <c r="G1907" s="27"/>
      <c r="H1907" s="27"/>
      <c r="I1907" s="27"/>
      <c r="J1907" s="27"/>
      <c r="K1907" s="27"/>
    </row>
    <row r="1908" spans="1:11" x14ac:dyDescent="0.2">
      <c r="A1908" s="26"/>
      <c r="B1908" s="14" t="str">
        <f>IF(A1908="","",CHOOSE(WEEKDAY(A1908),"日","月","火","水","木","金","土"))</f>
        <v/>
      </c>
      <c r="C1908" s="27"/>
      <c r="D1908" s="27"/>
      <c r="E1908" s="14" t="str">
        <f>IF(F1908="","",IFERROR(INDEX(マスター!$F$5:$F$200,MATCH(F1908,マスター!$E$5:$E$200,0)),"※マスター未登録"))</f>
        <v/>
      </c>
      <c r="F1908" s="27"/>
      <c r="G1908" s="27"/>
      <c r="H1908" s="27"/>
      <c r="I1908" s="27"/>
      <c r="J1908" s="27"/>
      <c r="K1908" s="27"/>
    </row>
    <row r="1909" spans="1:11" x14ac:dyDescent="0.2">
      <c r="A1909" s="26"/>
      <c r="B1909" s="14" t="str">
        <f>IF(A1909="","",CHOOSE(WEEKDAY(A1909),"日","月","火","水","木","金","土"))</f>
        <v/>
      </c>
      <c r="C1909" s="27"/>
      <c r="D1909" s="27"/>
      <c r="E1909" s="14" t="str">
        <f>IF(F1909="","",IFERROR(INDEX(マスター!$F$5:$F$200,MATCH(F1909,マスター!$E$5:$E$200,0)),"※マスター未登録"))</f>
        <v/>
      </c>
      <c r="F1909" s="27"/>
      <c r="G1909" s="27"/>
      <c r="H1909" s="27"/>
      <c r="I1909" s="27"/>
      <c r="J1909" s="27"/>
      <c r="K1909" s="27"/>
    </row>
    <row r="1910" spans="1:11" x14ac:dyDescent="0.2">
      <c r="A1910" s="26"/>
      <c r="B1910" s="14" t="str">
        <f>IF(A1910="","",CHOOSE(WEEKDAY(A1910),"日","月","火","水","木","金","土"))</f>
        <v/>
      </c>
      <c r="C1910" s="27"/>
      <c r="D1910" s="27"/>
      <c r="E1910" s="14" t="str">
        <f>IF(F1910="","",IFERROR(INDEX(マスター!$F$5:$F$200,MATCH(F1910,マスター!$E$5:$E$200,0)),"※マスター未登録"))</f>
        <v/>
      </c>
      <c r="F1910" s="27"/>
      <c r="G1910" s="27"/>
      <c r="H1910" s="27"/>
      <c r="I1910" s="27"/>
      <c r="J1910" s="27"/>
      <c r="K1910" s="27"/>
    </row>
    <row r="1911" spans="1:11" x14ac:dyDescent="0.2">
      <c r="A1911" s="26"/>
      <c r="B1911" s="14" t="str">
        <f>IF(A1911="","",CHOOSE(WEEKDAY(A1911),"日","月","火","水","木","金","土"))</f>
        <v/>
      </c>
      <c r="C1911" s="27"/>
      <c r="D1911" s="27"/>
      <c r="E1911" s="14" t="str">
        <f>IF(F1911="","",IFERROR(INDEX(マスター!$F$5:$F$200,MATCH(F1911,マスター!$E$5:$E$200,0)),"※マスター未登録"))</f>
        <v/>
      </c>
      <c r="F1911" s="27"/>
      <c r="G1911" s="27"/>
      <c r="H1911" s="27"/>
      <c r="I1911" s="27"/>
      <c r="J1911" s="27"/>
      <c r="K1911" s="27"/>
    </row>
    <row r="1912" spans="1:11" x14ac:dyDescent="0.2">
      <c r="A1912" s="26"/>
      <c r="B1912" s="14" t="str">
        <f>IF(A1912="","",CHOOSE(WEEKDAY(A1912),"日","月","火","水","木","金","土"))</f>
        <v/>
      </c>
      <c r="C1912" s="27"/>
      <c r="D1912" s="27"/>
      <c r="E1912" s="14" t="str">
        <f>IF(F1912="","",IFERROR(INDEX(マスター!$F$5:$F$200,MATCH(F1912,マスター!$E$5:$E$200,0)),"※マスター未登録"))</f>
        <v/>
      </c>
      <c r="F1912" s="27"/>
      <c r="G1912" s="27"/>
      <c r="H1912" s="27"/>
      <c r="I1912" s="27"/>
      <c r="J1912" s="27"/>
      <c r="K1912" s="27"/>
    </row>
    <row r="1913" spans="1:11" x14ac:dyDescent="0.2">
      <c r="A1913" s="26"/>
      <c r="B1913" s="14" t="str">
        <f>IF(A1913="","",CHOOSE(WEEKDAY(A1913),"日","月","火","水","木","金","土"))</f>
        <v/>
      </c>
      <c r="C1913" s="27"/>
      <c r="D1913" s="27"/>
      <c r="E1913" s="14" t="str">
        <f>IF(F1913="","",IFERROR(INDEX(マスター!$F$5:$F$200,MATCH(F1913,マスター!$E$5:$E$200,0)),"※マスター未登録"))</f>
        <v/>
      </c>
      <c r="F1913" s="27"/>
      <c r="G1913" s="27"/>
      <c r="H1913" s="27"/>
      <c r="I1913" s="27"/>
      <c r="J1913" s="27"/>
      <c r="K1913" s="27"/>
    </row>
    <row r="1914" spans="1:11" x14ac:dyDescent="0.2">
      <c r="A1914" s="26"/>
      <c r="B1914" s="14" t="str">
        <f>IF(A1914="","",CHOOSE(WEEKDAY(A1914),"日","月","火","水","木","金","土"))</f>
        <v/>
      </c>
      <c r="C1914" s="27"/>
      <c r="D1914" s="27"/>
      <c r="E1914" s="14" t="str">
        <f>IF(F1914="","",IFERROR(INDEX(マスター!$F$5:$F$200,MATCH(F1914,マスター!$E$5:$E$200,0)),"※マスター未登録"))</f>
        <v/>
      </c>
      <c r="F1914" s="27"/>
      <c r="G1914" s="27"/>
      <c r="H1914" s="27"/>
      <c r="I1914" s="27"/>
      <c r="J1914" s="27"/>
      <c r="K1914" s="27"/>
    </row>
    <row r="1915" spans="1:11" x14ac:dyDescent="0.2">
      <c r="A1915" s="26"/>
      <c r="B1915" s="14" t="str">
        <f>IF(A1915="","",CHOOSE(WEEKDAY(A1915),"日","月","火","水","木","金","土"))</f>
        <v/>
      </c>
      <c r="C1915" s="27"/>
      <c r="D1915" s="27"/>
      <c r="E1915" s="14" t="str">
        <f>IF(F1915="","",IFERROR(INDEX(マスター!$F$5:$F$200,MATCH(F1915,マスター!$E$5:$E$200,0)),"※マスター未登録"))</f>
        <v/>
      </c>
      <c r="F1915" s="27"/>
      <c r="G1915" s="27"/>
      <c r="H1915" s="27"/>
      <c r="I1915" s="27"/>
      <c r="J1915" s="27"/>
      <c r="K1915" s="27"/>
    </row>
    <row r="1916" spans="1:11" x14ac:dyDescent="0.2">
      <c r="A1916" s="26"/>
      <c r="B1916" s="14" t="str">
        <f>IF(A1916="","",CHOOSE(WEEKDAY(A1916),"日","月","火","水","木","金","土"))</f>
        <v/>
      </c>
      <c r="C1916" s="27"/>
      <c r="D1916" s="27"/>
      <c r="E1916" s="14" t="str">
        <f>IF(F1916="","",IFERROR(INDEX(マスター!$F$5:$F$200,MATCH(F1916,マスター!$E$5:$E$200,0)),"※マスター未登録"))</f>
        <v/>
      </c>
      <c r="F1916" s="27"/>
      <c r="G1916" s="27"/>
      <c r="H1916" s="27"/>
      <c r="I1916" s="27"/>
      <c r="J1916" s="27"/>
      <c r="K1916" s="27"/>
    </row>
    <row r="1917" spans="1:11" x14ac:dyDescent="0.2">
      <c r="A1917" s="26"/>
      <c r="B1917" s="14" t="str">
        <f>IF(A1917="","",CHOOSE(WEEKDAY(A1917),"日","月","火","水","木","金","土"))</f>
        <v/>
      </c>
      <c r="C1917" s="27"/>
      <c r="D1917" s="27"/>
      <c r="E1917" s="14" t="str">
        <f>IF(F1917="","",IFERROR(INDEX(マスター!$F$5:$F$200,MATCH(F1917,マスター!$E$5:$E$200,0)),"※マスター未登録"))</f>
        <v/>
      </c>
      <c r="F1917" s="27"/>
      <c r="G1917" s="27"/>
      <c r="H1917" s="27"/>
      <c r="I1917" s="27"/>
      <c r="J1917" s="27"/>
      <c r="K1917" s="27"/>
    </row>
    <row r="1918" spans="1:11" x14ac:dyDescent="0.2">
      <c r="A1918" s="26"/>
      <c r="B1918" s="14" t="str">
        <f>IF(A1918="","",CHOOSE(WEEKDAY(A1918),"日","月","火","水","木","金","土"))</f>
        <v/>
      </c>
      <c r="C1918" s="27"/>
      <c r="D1918" s="27"/>
      <c r="E1918" s="14" t="str">
        <f>IF(F1918="","",IFERROR(INDEX(マスター!$F$5:$F$200,MATCH(F1918,マスター!$E$5:$E$200,0)),"※マスター未登録"))</f>
        <v/>
      </c>
      <c r="F1918" s="27"/>
      <c r="G1918" s="27"/>
      <c r="H1918" s="27"/>
      <c r="I1918" s="27"/>
      <c r="J1918" s="27"/>
      <c r="K1918" s="27"/>
    </row>
    <row r="1919" spans="1:11" x14ac:dyDescent="0.2">
      <c r="A1919" s="26"/>
      <c r="B1919" s="14" t="str">
        <f>IF(A1919="","",CHOOSE(WEEKDAY(A1919),"日","月","火","水","木","金","土"))</f>
        <v/>
      </c>
      <c r="C1919" s="27"/>
      <c r="D1919" s="27"/>
      <c r="E1919" s="14" t="str">
        <f>IF(F1919="","",IFERROR(INDEX(マスター!$F$5:$F$200,MATCH(F1919,マスター!$E$5:$E$200,0)),"※マスター未登録"))</f>
        <v/>
      </c>
      <c r="F1919" s="27"/>
      <c r="G1919" s="27"/>
      <c r="H1919" s="27"/>
      <c r="I1919" s="27"/>
      <c r="J1919" s="27"/>
      <c r="K1919" s="27"/>
    </row>
    <row r="1920" spans="1:11" x14ac:dyDescent="0.2">
      <c r="A1920" s="26"/>
      <c r="B1920" s="14" t="str">
        <f>IF(A1920="","",CHOOSE(WEEKDAY(A1920),"日","月","火","水","木","金","土"))</f>
        <v/>
      </c>
      <c r="C1920" s="27"/>
      <c r="D1920" s="27"/>
      <c r="E1920" s="14" t="str">
        <f>IF(F1920="","",IFERROR(INDEX(マスター!$F$5:$F$200,MATCH(F1920,マスター!$E$5:$E$200,0)),"※マスター未登録"))</f>
        <v/>
      </c>
      <c r="F1920" s="27"/>
      <c r="G1920" s="27"/>
      <c r="H1920" s="27"/>
      <c r="I1920" s="27"/>
      <c r="J1920" s="27"/>
      <c r="K1920" s="27"/>
    </row>
    <row r="1921" spans="1:11" x14ac:dyDescent="0.2">
      <c r="A1921" s="26"/>
      <c r="B1921" s="14" t="str">
        <f>IF(A1921="","",CHOOSE(WEEKDAY(A1921),"日","月","火","水","木","金","土"))</f>
        <v/>
      </c>
      <c r="C1921" s="27"/>
      <c r="D1921" s="27"/>
      <c r="E1921" s="14" t="str">
        <f>IF(F1921="","",IFERROR(INDEX(マスター!$F$5:$F$200,MATCH(F1921,マスター!$E$5:$E$200,0)),"※マスター未登録"))</f>
        <v/>
      </c>
      <c r="F1921" s="27"/>
      <c r="G1921" s="27"/>
      <c r="H1921" s="27"/>
      <c r="I1921" s="27"/>
      <c r="J1921" s="27"/>
      <c r="K1921" s="27"/>
    </row>
    <row r="1922" spans="1:11" x14ac:dyDescent="0.2">
      <c r="A1922" s="26"/>
      <c r="B1922" s="14" t="str">
        <f>IF(A1922="","",CHOOSE(WEEKDAY(A1922),"日","月","火","水","木","金","土"))</f>
        <v/>
      </c>
      <c r="C1922" s="27"/>
      <c r="D1922" s="27"/>
      <c r="E1922" s="14" t="str">
        <f>IF(F1922="","",IFERROR(INDEX(マスター!$F$5:$F$200,MATCH(F1922,マスター!$E$5:$E$200,0)),"※マスター未登録"))</f>
        <v/>
      </c>
      <c r="F1922" s="27"/>
      <c r="G1922" s="27"/>
      <c r="H1922" s="27"/>
      <c r="I1922" s="27"/>
      <c r="J1922" s="27"/>
      <c r="K1922" s="27"/>
    </row>
    <row r="1923" spans="1:11" x14ac:dyDescent="0.2">
      <c r="A1923" s="26"/>
      <c r="B1923" s="14" t="str">
        <f>IF(A1923="","",CHOOSE(WEEKDAY(A1923),"日","月","火","水","木","金","土"))</f>
        <v/>
      </c>
      <c r="C1923" s="27"/>
      <c r="D1923" s="27"/>
      <c r="E1923" s="14" t="str">
        <f>IF(F1923="","",IFERROR(INDEX(マスター!$F$5:$F$200,MATCH(F1923,マスター!$E$5:$E$200,0)),"※マスター未登録"))</f>
        <v/>
      </c>
      <c r="F1923" s="27"/>
      <c r="G1923" s="27"/>
      <c r="H1923" s="27"/>
      <c r="I1923" s="27"/>
      <c r="J1923" s="27"/>
      <c r="K1923" s="27"/>
    </row>
    <row r="1924" spans="1:11" x14ac:dyDescent="0.2">
      <c r="A1924" s="26"/>
      <c r="B1924" s="14" t="str">
        <f>IF(A1924="","",CHOOSE(WEEKDAY(A1924),"日","月","火","水","木","金","土"))</f>
        <v/>
      </c>
      <c r="C1924" s="27"/>
      <c r="D1924" s="27"/>
      <c r="E1924" s="14" t="str">
        <f>IF(F1924="","",IFERROR(INDEX(マスター!$F$5:$F$200,MATCH(F1924,マスター!$E$5:$E$200,0)),"※マスター未登録"))</f>
        <v/>
      </c>
      <c r="F1924" s="27"/>
      <c r="G1924" s="27"/>
      <c r="H1924" s="27"/>
      <c r="I1924" s="27"/>
      <c r="J1924" s="27"/>
      <c r="K1924" s="27"/>
    </row>
    <row r="1925" spans="1:11" x14ac:dyDescent="0.2">
      <c r="A1925" s="26"/>
      <c r="B1925" s="14" t="str">
        <f>IF(A1925="","",CHOOSE(WEEKDAY(A1925),"日","月","火","水","木","金","土"))</f>
        <v/>
      </c>
      <c r="C1925" s="27"/>
      <c r="D1925" s="27"/>
      <c r="E1925" s="14" t="str">
        <f>IF(F1925="","",IFERROR(INDEX(マスター!$F$5:$F$200,MATCH(F1925,マスター!$E$5:$E$200,0)),"※マスター未登録"))</f>
        <v/>
      </c>
      <c r="F1925" s="27"/>
      <c r="G1925" s="27"/>
      <c r="H1925" s="27"/>
      <c r="I1925" s="27"/>
      <c r="J1925" s="27"/>
      <c r="K1925" s="27"/>
    </row>
    <row r="1926" spans="1:11" x14ac:dyDescent="0.2">
      <c r="A1926" s="26"/>
      <c r="B1926" s="14" t="str">
        <f>IF(A1926="","",CHOOSE(WEEKDAY(A1926),"日","月","火","水","木","金","土"))</f>
        <v/>
      </c>
      <c r="C1926" s="27"/>
      <c r="D1926" s="27"/>
      <c r="E1926" s="14" t="str">
        <f>IF(F1926="","",IFERROR(INDEX(マスター!$F$5:$F$200,MATCH(F1926,マスター!$E$5:$E$200,0)),"※マスター未登録"))</f>
        <v/>
      </c>
      <c r="F1926" s="27"/>
      <c r="G1926" s="27"/>
      <c r="H1926" s="27"/>
      <c r="I1926" s="27"/>
      <c r="J1926" s="27"/>
      <c r="K1926" s="27"/>
    </row>
    <row r="1927" spans="1:11" x14ac:dyDescent="0.2">
      <c r="A1927" s="26"/>
      <c r="B1927" s="14" t="str">
        <f>IF(A1927="","",CHOOSE(WEEKDAY(A1927),"日","月","火","水","木","金","土"))</f>
        <v/>
      </c>
      <c r="C1927" s="27"/>
      <c r="D1927" s="27"/>
      <c r="E1927" s="14" t="str">
        <f>IF(F1927="","",IFERROR(INDEX(マスター!$F$5:$F$200,MATCH(F1927,マスター!$E$5:$E$200,0)),"※マスター未登録"))</f>
        <v/>
      </c>
      <c r="F1927" s="27"/>
      <c r="G1927" s="27"/>
      <c r="H1927" s="27"/>
      <c r="I1927" s="27"/>
      <c r="J1927" s="27"/>
      <c r="K1927" s="27"/>
    </row>
    <row r="1928" spans="1:11" x14ac:dyDescent="0.2">
      <c r="A1928" s="26"/>
      <c r="B1928" s="14" t="str">
        <f>IF(A1928="","",CHOOSE(WEEKDAY(A1928),"日","月","火","水","木","金","土"))</f>
        <v/>
      </c>
      <c r="C1928" s="27"/>
      <c r="D1928" s="27"/>
      <c r="E1928" s="14" t="str">
        <f>IF(F1928="","",IFERROR(INDEX(マスター!$F$5:$F$200,MATCH(F1928,マスター!$E$5:$E$200,0)),"※マスター未登録"))</f>
        <v/>
      </c>
      <c r="F1928" s="27"/>
      <c r="G1928" s="27"/>
      <c r="H1928" s="27"/>
      <c r="I1928" s="27"/>
      <c r="J1928" s="27"/>
      <c r="K1928" s="27"/>
    </row>
    <row r="1929" spans="1:11" x14ac:dyDescent="0.2">
      <c r="A1929" s="26"/>
      <c r="B1929" s="14" t="str">
        <f>IF(A1929="","",CHOOSE(WEEKDAY(A1929),"日","月","火","水","木","金","土"))</f>
        <v/>
      </c>
      <c r="C1929" s="27"/>
      <c r="D1929" s="27"/>
      <c r="E1929" s="14" t="str">
        <f>IF(F1929="","",IFERROR(INDEX(マスター!$F$5:$F$200,MATCH(F1929,マスター!$E$5:$E$200,0)),"※マスター未登録"))</f>
        <v/>
      </c>
      <c r="F1929" s="27"/>
      <c r="G1929" s="27"/>
      <c r="H1929" s="27"/>
      <c r="I1929" s="27"/>
      <c r="J1929" s="27"/>
      <c r="K1929" s="27"/>
    </row>
    <row r="1930" spans="1:11" x14ac:dyDescent="0.2">
      <c r="A1930" s="26"/>
      <c r="B1930" s="14" t="str">
        <f>IF(A1930="","",CHOOSE(WEEKDAY(A1930),"日","月","火","水","木","金","土"))</f>
        <v/>
      </c>
      <c r="C1930" s="27"/>
      <c r="D1930" s="27"/>
      <c r="E1930" s="14" t="str">
        <f>IF(F1930="","",IFERROR(INDEX(マスター!$F$5:$F$200,MATCH(F1930,マスター!$E$5:$E$200,0)),"※マスター未登録"))</f>
        <v/>
      </c>
      <c r="F1930" s="27"/>
      <c r="G1930" s="27"/>
      <c r="H1930" s="27"/>
      <c r="I1930" s="27"/>
      <c r="J1930" s="27"/>
      <c r="K1930" s="27"/>
    </row>
    <row r="1931" spans="1:11" x14ac:dyDescent="0.2">
      <c r="A1931" s="26"/>
      <c r="B1931" s="14" t="str">
        <f>IF(A1931="","",CHOOSE(WEEKDAY(A1931),"日","月","火","水","木","金","土"))</f>
        <v/>
      </c>
      <c r="C1931" s="27"/>
      <c r="D1931" s="27"/>
      <c r="E1931" s="14" t="str">
        <f>IF(F1931="","",IFERROR(INDEX(マスター!$F$5:$F$200,MATCH(F1931,マスター!$E$5:$E$200,0)),"※マスター未登録"))</f>
        <v/>
      </c>
      <c r="F1931" s="27"/>
      <c r="G1931" s="27"/>
      <c r="H1931" s="27"/>
      <c r="I1931" s="27"/>
      <c r="J1931" s="27"/>
      <c r="K1931" s="27"/>
    </row>
    <row r="1932" spans="1:11" x14ac:dyDescent="0.2">
      <c r="A1932" s="26"/>
      <c r="B1932" s="14" t="str">
        <f>IF(A1932="","",CHOOSE(WEEKDAY(A1932),"日","月","火","水","木","金","土"))</f>
        <v/>
      </c>
      <c r="C1932" s="27"/>
      <c r="D1932" s="27"/>
      <c r="E1932" s="14" t="str">
        <f>IF(F1932="","",IFERROR(INDEX(マスター!$F$5:$F$200,MATCH(F1932,マスター!$E$5:$E$200,0)),"※マスター未登録"))</f>
        <v/>
      </c>
      <c r="F1932" s="27"/>
      <c r="G1932" s="27"/>
      <c r="H1932" s="27"/>
      <c r="I1932" s="27"/>
      <c r="J1932" s="27"/>
      <c r="K1932" s="27"/>
    </row>
    <row r="1933" spans="1:11" x14ac:dyDescent="0.2">
      <c r="A1933" s="26"/>
      <c r="B1933" s="14" t="str">
        <f>IF(A1933="","",CHOOSE(WEEKDAY(A1933),"日","月","火","水","木","金","土"))</f>
        <v/>
      </c>
      <c r="C1933" s="27"/>
      <c r="D1933" s="27"/>
      <c r="E1933" s="14" t="str">
        <f>IF(F1933="","",IFERROR(INDEX(マスター!$F$5:$F$200,MATCH(F1933,マスター!$E$5:$E$200,0)),"※マスター未登録"))</f>
        <v/>
      </c>
      <c r="F1933" s="27"/>
      <c r="G1933" s="27"/>
      <c r="H1933" s="27"/>
      <c r="I1933" s="27"/>
      <c r="J1933" s="27"/>
      <c r="K1933" s="27"/>
    </row>
    <row r="1934" spans="1:11" x14ac:dyDescent="0.2">
      <c r="A1934" s="26"/>
      <c r="B1934" s="14" t="str">
        <f>IF(A1934="","",CHOOSE(WEEKDAY(A1934),"日","月","火","水","木","金","土"))</f>
        <v/>
      </c>
      <c r="C1934" s="27"/>
      <c r="D1934" s="27"/>
      <c r="E1934" s="14" t="str">
        <f>IF(F1934="","",IFERROR(INDEX(マスター!$F$5:$F$200,MATCH(F1934,マスター!$E$5:$E$200,0)),"※マスター未登録"))</f>
        <v/>
      </c>
      <c r="F1934" s="27"/>
      <c r="G1934" s="27"/>
      <c r="H1934" s="27"/>
      <c r="I1934" s="27"/>
      <c r="J1934" s="27"/>
      <c r="K1934" s="27"/>
    </row>
    <row r="1935" spans="1:11" x14ac:dyDescent="0.2">
      <c r="A1935" s="26"/>
      <c r="B1935" s="14" t="str">
        <f>IF(A1935="","",CHOOSE(WEEKDAY(A1935),"日","月","火","水","木","金","土"))</f>
        <v/>
      </c>
      <c r="C1935" s="27"/>
      <c r="D1935" s="27"/>
      <c r="E1935" s="14" t="str">
        <f>IF(F1935="","",IFERROR(INDEX(マスター!$F$5:$F$200,MATCH(F1935,マスター!$E$5:$E$200,0)),"※マスター未登録"))</f>
        <v/>
      </c>
      <c r="F1935" s="27"/>
      <c r="G1935" s="27"/>
      <c r="H1935" s="27"/>
      <c r="I1935" s="27"/>
      <c r="J1935" s="27"/>
      <c r="K1935" s="27"/>
    </row>
    <row r="1936" spans="1:11" x14ac:dyDescent="0.2">
      <c r="A1936" s="26"/>
      <c r="B1936" s="14" t="str">
        <f>IF(A1936="","",CHOOSE(WEEKDAY(A1936),"日","月","火","水","木","金","土"))</f>
        <v/>
      </c>
      <c r="C1936" s="27"/>
      <c r="D1936" s="27"/>
      <c r="E1936" s="14" t="str">
        <f>IF(F1936="","",IFERROR(INDEX(マスター!$F$5:$F$200,MATCH(F1936,マスター!$E$5:$E$200,0)),"※マスター未登録"))</f>
        <v/>
      </c>
      <c r="F1936" s="27"/>
      <c r="G1936" s="27"/>
      <c r="H1936" s="27"/>
      <c r="I1936" s="27"/>
      <c r="J1936" s="27"/>
      <c r="K1936" s="27"/>
    </row>
    <row r="1937" spans="1:11" x14ac:dyDescent="0.2">
      <c r="A1937" s="26"/>
      <c r="B1937" s="14" t="str">
        <f>IF(A1937="","",CHOOSE(WEEKDAY(A1937),"日","月","火","水","木","金","土"))</f>
        <v/>
      </c>
      <c r="C1937" s="27"/>
      <c r="D1937" s="27"/>
      <c r="E1937" s="14" t="str">
        <f>IF(F1937="","",IFERROR(INDEX(マスター!$F$5:$F$200,MATCH(F1937,マスター!$E$5:$E$200,0)),"※マスター未登録"))</f>
        <v/>
      </c>
      <c r="F1937" s="27"/>
      <c r="G1937" s="27"/>
      <c r="H1937" s="27"/>
      <c r="I1937" s="27"/>
      <c r="J1937" s="27"/>
      <c r="K1937" s="27"/>
    </row>
    <row r="1938" spans="1:11" x14ac:dyDescent="0.2">
      <c r="A1938" s="26"/>
      <c r="B1938" s="14" t="str">
        <f>IF(A1938="","",CHOOSE(WEEKDAY(A1938),"日","月","火","水","木","金","土"))</f>
        <v/>
      </c>
      <c r="C1938" s="27"/>
      <c r="D1938" s="27"/>
      <c r="E1938" s="14" t="str">
        <f>IF(F1938="","",IFERROR(INDEX(マスター!$F$5:$F$200,MATCH(F1938,マスター!$E$5:$E$200,0)),"※マスター未登録"))</f>
        <v/>
      </c>
      <c r="F1938" s="27"/>
      <c r="G1938" s="27"/>
      <c r="H1938" s="27"/>
      <c r="I1938" s="27"/>
      <c r="J1938" s="27"/>
      <c r="K1938" s="27"/>
    </row>
    <row r="1939" spans="1:11" x14ac:dyDescent="0.2">
      <c r="A1939" s="26"/>
      <c r="B1939" s="14" t="str">
        <f>IF(A1939="","",CHOOSE(WEEKDAY(A1939),"日","月","火","水","木","金","土"))</f>
        <v/>
      </c>
      <c r="C1939" s="27"/>
      <c r="D1939" s="27"/>
      <c r="E1939" s="14" t="str">
        <f>IF(F1939="","",IFERROR(INDEX(マスター!$F$5:$F$200,MATCH(F1939,マスター!$E$5:$E$200,0)),"※マスター未登録"))</f>
        <v/>
      </c>
      <c r="F1939" s="27"/>
      <c r="G1939" s="27"/>
      <c r="H1939" s="27"/>
      <c r="I1939" s="27"/>
      <c r="J1939" s="27"/>
      <c r="K1939" s="27"/>
    </row>
    <row r="1940" spans="1:11" x14ac:dyDescent="0.2">
      <c r="A1940" s="26"/>
      <c r="B1940" s="14" t="str">
        <f>IF(A1940="","",CHOOSE(WEEKDAY(A1940),"日","月","火","水","木","金","土"))</f>
        <v/>
      </c>
      <c r="C1940" s="27"/>
      <c r="D1940" s="27"/>
      <c r="E1940" s="14" t="str">
        <f>IF(F1940="","",IFERROR(INDEX(マスター!$F$5:$F$200,MATCH(F1940,マスター!$E$5:$E$200,0)),"※マスター未登録"))</f>
        <v/>
      </c>
      <c r="F1940" s="27"/>
      <c r="G1940" s="27"/>
      <c r="H1940" s="27"/>
      <c r="I1940" s="27"/>
      <c r="J1940" s="27"/>
      <c r="K1940" s="27"/>
    </row>
    <row r="1941" spans="1:11" x14ac:dyDescent="0.2">
      <c r="A1941" s="26"/>
      <c r="B1941" s="14" t="str">
        <f>IF(A1941="","",CHOOSE(WEEKDAY(A1941),"日","月","火","水","木","金","土"))</f>
        <v/>
      </c>
      <c r="C1941" s="27"/>
      <c r="D1941" s="27"/>
      <c r="E1941" s="14" t="str">
        <f>IF(F1941="","",IFERROR(INDEX(マスター!$F$5:$F$200,MATCH(F1941,マスター!$E$5:$E$200,0)),"※マスター未登録"))</f>
        <v/>
      </c>
      <c r="F1941" s="27"/>
      <c r="G1941" s="27"/>
      <c r="H1941" s="27"/>
      <c r="I1941" s="27"/>
      <c r="J1941" s="27"/>
      <c r="K1941" s="27"/>
    </row>
    <row r="1942" spans="1:11" x14ac:dyDescent="0.2">
      <c r="A1942" s="26"/>
      <c r="B1942" s="14" t="str">
        <f>IF(A1942="","",CHOOSE(WEEKDAY(A1942),"日","月","火","水","木","金","土"))</f>
        <v/>
      </c>
      <c r="C1942" s="27"/>
      <c r="D1942" s="27"/>
      <c r="E1942" s="14" t="str">
        <f>IF(F1942="","",IFERROR(INDEX(マスター!$F$5:$F$200,MATCH(F1942,マスター!$E$5:$E$200,0)),"※マスター未登録"))</f>
        <v/>
      </c>
      <c r="F1942" s="27"/>
      <c r="G1942" s="27"/>
      <c r="H1942" s="27"/>
      <c r="I1942" s="27"/>
      <c r="J1942" s="27"/>
      <c r="K1942" s="27"/>
    </row>
    <row r="1943" spans="1:11" x14ac:dyDescent="0.2">
      <c r="A1943" s="26"/>
      <c r="B1943" s="14" t="str">
        <f>IF(A1943="","",CHOOSE(WEEKDAY(A1943),"日","月","火","水","木","金","土"))</f>
        <v/>
      </c>
      <c r="C1943" s="27"/>
      <c r="D1943" s="27"/>
      <c r="E1943" s="14" t="str">
        <f>IF(F1943="","",IFERROR(INDEX(マスター!$F$5:$F$200,MATCH(F1943,マスター!$E$5:$E$200,0)),"※マスター未登録"))</f>
        <v/>
      </c>
      <c r="F1943" s="27"/>
      <c r="G1943" s="27"/>
      <c r="H1943" s="27"/>
      <c r="I1943" s="27"/>
      <c r="J1943" s="27"/>
      <c r="K1943" s="27"/>
    </row>
    <row r="1944" spans="1:11" x14ac:dyDescent="0.2">
      <c r="A1944" s="26"/>
      <c r="B1944" s="14" t="str">
        <f>IF(A1944="","",CHOOSE(WEEKDAY(A1944),"日","月","火","水","木","金","土"))</f>
        <v/>
      </c>
      <c r="C1944" s="27"/>
      <c r="D1944" s="27"/>
      <c r="E1944" s="14" t="str">
        <f>IF(F1944="","",IFERROR(INDEX(マスター!$F$5:$F$200,MATCH(F1944,マスター!$E$5:$E$200,0)),"※マスター未登録"))</f>
        <v/>
      </c>
      <c r="F1944" s="27"/>
      <c r="G1944" s="27"/>
      <c r="H1944" s="27"/>
      <c r="I1944" s="27"/>
      <c r="J1944" s="27"/>
      <c r="K1944" s="27"/>
    </row>
    <row r="1945" spans="1:11" x14ac:dyDescent="0.2">
      <c r="A1945" s="26"/>
      <c r="B1945" s="14" t="str">
        <f>IF(A1945="","",CHOOSE(WEEKDAY(A1945),"日","月","火","水","木","金","土"))</f>
        <v/>
      </c>
      <c r="C1945" s="27"/>
      <c r="D1945" s="27"/>
      <c r="E1945" s="14" t="str">
        <f>IF(F1945="","",IFERROR(INDEX(マスター!$F$5:$F$200,MATCH(F1945,マスター!$E$5:$E$200,0)),"※マスター未登録"))</f>
        <v/>
      </c>
      <c r="F1945" s="27"/>
      <c r="G1945" s="27"/>
      <c r="H1945" s="27"/>
      <c r="I1945" s="27"/>
      <c r="J1945" s="27"/>
      <c r="K1945" s="27"/>
    </row>
    <row r="1946" spans="1:11" x14ac:dyDescent="0.2">
      <c r="A1946" s="26"/>
      <c r="B1946" s="14" t="str">
        <f>IF(A1946="","",CHOOSE(WEEKDAY(A1946),"日","月","火","水","木","金","土"))</f>
        <v/>
      </c>
      <c r="C1946" s="27"/>
      <c r="D1946" s="27"/>
      <c r="E1946" s="14" t="str">
        <f>IF(F1946="","",IFERROR(INDEX(マスター!$F$5:$F$200,MATCH(F1946,マスター!$E$5:$E$200,0)),"※マスター未登録"))</f>
        <v/>
      </c>
      <c r="F1946" s="27"/>
      <c r="G1946" s="27"/>
      <c r="H1946" s="27"/>
      <c r="I1946" s="27"/>
      <c r="J1946" s="27"/>
      <c r="K1946" s="27"/>
    </row>
    <row r="1947" spans="1:11" x14ac:dyDescent="0.2">
      <c r="A1947" s="26"/>
      <c r="B1947" s="14" t="str">
        <f>IF(A1947="","",CHOOSE(WEEKDAY(A1947),"日","月","火","水","木","金","土"))</f>
        <v/>
      </c>
      <c r="C1947" s="27"/>
      <c r="D1947" s="27"/>
      <c r="E1947" s="14" t="str">
        <f>IF(F1947="","",IFERROR(INDEX(マスター!$F$5:$F$200,MATCH(F1947,マスター!$E$5:$E$200,0)),"※マスター未登録"))</f>
        <v/>
      </c>
      <c r="F1947" s="27"/>
      <c r="G1947" s="27"/>
      <c r="H1947" s="27"/>
      <c r="I1947" s="27"/>
      <c r="J1947" s="27"/>
      <c r="K1947" s="27"/>
    </row>
    <row r="1948" spans="1:11" x14ac:dyDescent="0.2">
      <c r="A1948" s="26"/>
      <c r="B1948" s="14" t="str">
        <f>IF(A1948="","",CHOOSE(WEEKDAY(A1948),"日","月","火","水","木","金","土"))</f>
        <v/>
      </c>
      <c r="C1948" s="27"/>
      <c r="D1948" s="27"/>
      <c r="E1948" s="14" t="str">
        <f>IF(F1948="","",IFERROR(INDEX(マスター!$F$5:$F$200,MATCH(F1948,マスター!$E$5:$E$200,0)),"※マスター未登録"))</f>
        <v/>
      </c>
      <c r="F1948" s="27"/>
      <c r="G1948" s="27"/>
      <c r="H1948" s="27"/>
      <c r="I1948" s="27"/>
      <c r="J1948" s="27"/>
      <c r="K1948" s="27"/>
    </row>
    <row r="1949" spans="1:11" x14ac:dyDescent="0.2">
      <c r="A1949" s="26"/>
      <c r="B1949" s="14" t="str">
        <f>IF(A1949="","",CHOOSE(WEEKDAY(A1949),"日","月","火","水","木","金","土"))</f>
        <v/>
      </c>
      <c r="C1949" s="27"/>
      <c r="D1949" s="27"/>
      <c r="E1949" s="14" t="str">
        <f>IF(F1949="","",IFERROR(INDEX(マスター!$F$5:$F$200,MATCH(F1949,マスター!$E$5:$E$200,0)),"※マスター未登録"))</f>
        <v/>
      </c>
      <c r="F1949" s="27"/>
      <c r="G1949" s="27"/>
      <c r="H1949" s="27"/>
      <c r="I1949" s="27"/>
      <c r="J1949" s="27"/>
      <c r="K1949" s="27"/>
    </row>
    <row r="1950" spans="1:11" x14ac:dyDescent="0.2">
      <c r="A1950" s="26"/>
      <c r="B1950" s="14" t="str">
        <f>IF(A1950="","",CHOOSE(WEEKDAY(A1950),"日","月","火","水","木","金","土"))</f>
        <v/>
      </c>
      <c r="C1950" s="27"/>
      <c r="D1950" s="27"/>
      <c r="E1950" s="14" t="str">
        <f>IF(F1950="","",IFERROR(INDEX(マスター!$F$5:$F$200,MATCH(F1950,マスター!$E$5:$E$200,0)),"※マスター未登録"))</f>
        <v/>
      </c>
      <c r="F1950" s="27"/>
      <c r="G1950" s="27"/>
      <c r="H1950" s="27"/>
      <c r="I1950" s="27"/>
      <c r="J1950" s="27"/>
      <c r="K1950" s="27"/>
    </row>
    <row r="1951" spans="1:11" x14ac:dyDescent="0.2">
      <c r="A1951" s="26"/>
      <c r="B1951" s="14" t="str">
        <f>IF(A1951="","",CHOOSE(WEEKDAY(A1951),"日","月","火","水","木","金","土"))</f>
        <v/>
      </c>
      <c r="C1951" s="27"/>
      <c r="D1951" s="27"/>
      <c r="E1951" s="14" t="str">
        <f>IF(F1951="","",IFERROR(INDEX(マスター!$F$5:$F$200,MATCH(F1951,マスター!$E$5:$E$200,0)),"※マスター未登録"))</f>
        <v/>
      </c>
      <c r="F1951" s="27"/>
      <c r="G1951" s="27"/>
      <c r="H1951" s="27"/>
      <c r="I1951" s="27"/>
      <c r="J1951" s="27"/>
      <c r="K1951" s="27"/>
    </row>
    <row r="1952" spans="1:11" x14ac:dyDescent="0.2">
      <c r="A1952" s="26"/>
      <c r="B1952" s="14" t="str">
        <f>IF(A1952="","",CHOOSE(WEEKDAY(A1952),"日","月","火","水","木","金","土"))</f>
        <v/>
      </c>
      <c r="C1952" s="27"/>
      <c r="D1952" s="27"/>
      <c r="E1952" s="14" t="str">
        <f>IF(F1952="","",IFERROR(INDEX(マスター!$F$5:$F$200,MATCH(F1952,マスター!$E$5:$E$200,0)),"※マスター未登録"))</f>
        <v/>
      </c>
      <c r="F1952" s="27"/>
      <c r="G1952" s="27"/>
      <c r="H1952" s="27"/>
      <c r="I1952" s="27"/>
      <c r="J1952" s="27"/>
      <c r="K1952" s="27"/>
    </row>
    <row r="1953" spans="1:11" x14ac:dyDescent="0.2">
      <c r="A1953" s="26"/>
      <c r="B1953" s="14" t="str">
        <f>IF(A1953="","",CHOOSE(WEEKDAY(A1953),"日","月","火","水","木","金","土"))</f>
        <v/>
      </c>
      <c r="C1953" s="27"/>
      <c r="D1953" s="27"/>
      <c r="E1953" s="14" t="str">
        <f>IF(F1953="","",IFERROR(INDEX(マスター!$F$5:$F$200,MATCH(F1953,マスター!$E$5:$E$200,0)),"※マスター未登録"))</f>
        <v/>
      </c>
      <c r="F1953" s="27"/>
      <c r="G1953" s="27"/>
      <c r="H1953" s="27"/>
      <c r="I1953" s="27"/>
      <c r="J1953" s="27"/>
      <c r="K1953" s="27"/>
    </row>
    <row r="1954" spans="1:11" x14ac:dyDescent="0.2">
      <c r="A1954" s="26"/>
      <c r="B1954" s="14" t="str">
        <f>IF(A1954="","",CHOOSE(WEEKDAY(A1954),"日","月","火","水","木","金","土"))</f>
        <v/>
      </c>
      <c r="C1954" s="27"/>
      <c r="D1954" s="27"/>
      <c r="E1954" s="14" t="str">
        <f>IF(F1954="","",IFERROR(INDEX(マスター!$F$5:$F$200,MATCH(F1954,マスター!$E$5:$E$200,0)),"※マスター未登録"))</f>
        <v/>
      </c>
      <c r="F1954" s="27"/>
      <c r="G1954" s="27"/>
      <c r="H1954" s="27"/>
      <c r="I1954" s="27"/>
      <c r="J1954" s="27"/>
      <c r="K1954" s="27"/>
    </row>
    <row r="1955" spans="1:11" x14ac:dyDescent="0.2">
      <c r="A1955" s="26"/>
      <c r="B1955" s="14" t="str">
        <f>IF(A1955="","",CHOOSE(WEEKDAY(A1955),"日","月","火","水","木","金","土"))</f>
        <v/>
      </c>
      <c r="C1955" s="27"/>
      <c r="D1955" s="27"/>
      <c r="E1955" s="14" t="str">
        <f>IF(F1955="","",IFERROR(INDEX(マスター!$F$5:$F$200,MATCH(F1955,マスター!$E$5:$E$200,0)),"※マスター未登録"))</f>
        <v/>
      </c>
      <c r="F1955" s="27"/>
      <c r="G1955" s="27"/>
      <c r="H1955" s="27"/>
      <c r="I1955" s="27"/>
      <c r="J1955" s="27"/>
      <c r="K1955" s="27"/>
    </row>
    <row r="1956" spans="1:11" x14ac:dyDescent="0.2">
      <c r="A1956" s="26"/>
      <c r="B1956" s="14" t="str">
        <f>IF(A1956="","",CHOOSE(WEEKDAY(A1956),"日","月","火","水","木","金","土"))</f>
        <v/>
      </c>
      <c r="C1956" s="27"/>
      <c r="D1956" s="27"/>
      <c r="E1956" s="14" t="str">
        <f>IF(F1956="","",IFERROR(INDEX(マスター!$F$5:$F$200,MATCH(F1956,マスター!$E$5:$E$200,0)),"※マスター未登録"))</f>
        <v/>
      </c>
      <c r="F1956" s="27"/>
      <c r="G1956" s="27"/>
      <c r="H1956" s="27"/>
      <c r="I1956" s="27"/>
      <c r="J1956" s="27"/>
      <c r="K1956" s="27"/>
    </row>
    <row r="1957" spans="1:11" x14ac:dyDescent="0.2">
      <c r="A1957" s="26"/>
      <c r="B1957" s="14" t="str">
        <f>IF(A1957="","",CHOOSE(WEEKDAY(A1957),"日","月","火","水","木","金","土"))</f>
        <v/>
      </c>
      <c r="C1957" s="27"/>
      <c r="D1957" s="27"/>
      <c r="E1957" s="14" t="str">
        <f>IF(F1957="","",IFERROR(INDEX(マスター!$F$5:$F$200,MATCH(F1957,マスター!$E$5:$E$200,0)),"※マスター未登録"))</f>
        <v/>
      </c>
      <c r="F1957" s="27"/>
      <c r="G1957" s="27"/>
      <c r="H1957" s="27"/>
      <c r="I1957" s="27"/>
      <c r="J1957" s="27"/>
      <c r="K1957" s="27"/>
    </row>
    <row r="1958" spans="1:11" x14ac:dyDescent="0.2">
      <c r="A1958" s="26"/>
      <c r="B1958" s="14" t="str">
        <f>IF(A1958="","",CHOOSE(WEEKDAY(A1958),"日","月","火","水","木","金","土"))</f>
        <v/>
      </c>
      <c r="C1958" s="27"/>
      <c r="D1958" s="27"/>
      <c r="E1958" s="14" t="str">
        <f>IF(F1958="","",IFERROR(INDEX(マスター!$F$5:$F$200,MATCH(F1958,マスター!$E$5:$E$200,0)),"※マスター未登録"))</f>
        <v/>
      </c>
      <c r="F1958" s="27"/>
      <c r="G1958" s="27"/>
      <c r="H1958" s="27"/>
      <c r="I1958" s="27"/>
      <c r="J1958" s="27"/>
      <c r="K1958" s="27"/>
    </row>
    <row r="1959" spans="1:11" x14ac:dyDescent="0.2">
      <c r="A1959" s="26"/>
      <c r="B1959" s="14" t="str">
        <f>IF(A1959="","",CHOOSE(WEEKDAY(A1959),"日","月","火","水","木","金","土"))</f>
        <v/>
      </c>
      <c r="C1959" s="27"/>
      <c r="D1959" s="27"/>
      <c r="E1959" s="14" t="str">
        <f>IF(F1959="","",IFERROR(INDEX(マスター!$F$5:$F$200,MATCH(F1959,マスター!$E$5:$E$200,0)),"※マスター未登録"))</f>
        <v/>
      </c>
      <c r="F1959" s="27"/>
      <c r="G1959" s="27"/>
      <c r="H1959" s="27"/>
      <c r="I1959" s="27"/>
      <c r="J1959" s="27"/>
      <c r="K1959" s="27"/>
    </row>
    <row r="1960" spans="1:11" x14ac:dyDescent="0.2">
      <c r="A1960" s="26"/>
      <c r="B1960" s="14" t="str">
        <f>IF(A1960="","",CHOOSE(WEEKDAY(A1960),"日","月","火","水","木","金","土"))</f>
        <v/>
      </c>
      <c r="C1960" s="27"/>
      <c r="D1960" s="27"/>
      <c r="E1960" s="14" t="str">
        <f>IF(F1960="","",IFERROR(INDEX(マスター!$F$5:$F$200,MATCH(F1960,マスター!$E$5:$E$200,0)),"※マスター未登録"))</f>
        <v/>
      </c>
      <c r="F1960" s="27"/>
      <c r="G1960" s="27"/>
      <c r="H1960" s="27"/>
      <c r="I1960" s="27"/>
      <c r="J1960" s="27"/>
      <c r="K1960" s="27"/>
    </row>
    <row r="1961" spans="1:11" x14ac:dyDescent="0.2">
      <c r="A1961" s="26"/>
      <c r="B1961" s="14" t="str">
        <f>IF(A1961="","",CHOOSE(WEEKDAY(A1961),"日","月","火","水","木","金","土"))</f>
        <v/>
      </c>
      <c r="C1961" s="27"/>
      <c r="D1961" s="27"/>
      <c r="E1961" s="14" t="str">
        <f>IF(F1961="","",IFERROR(INDEX(マスター!$F$5:$F$200,MATCH(F1961,マスター!$E$5:$E$200,0)),"※マスター未登録"))</f>
        <v/>
      </c>
      <c r="F1961" s="27"/>
      <c r="G1961" s="27"/>
      <c r="H1961" s="27"/>
      <c r="I1961" s="27"/>
      <c r="J1961" s="27"/>
      <c r="K1961" s="27"/>
    </row>
    <row r="1962" spans="1:11" x14ac:dyDescent="0.2">
      <c r="A1962" s="26"/>
      <c r="B1962" s="14" t="str">
        <f>IF(A1962="","",CHOOSE(WEEKDAY(A1962),"日","月","火","水","木","金","土"))</f>
        <v/>
      </c>
      <c r="C1962" s="27"/>
      <c r="D1962" s="27"/>
      <c r="E1962" s="14" t="str">
        <f>IF(F1962="","",IFERROR(INDEX(マスター!$F$5:$F$200,MATCH(F1962,マスター!$E$5:$E$200,0)),"※マスター未登録"))</f>
        <v/>
      </c>
      <c r="F1962" s="27"/>
      <c r="G1962" s="27"/>
      <c r="H1962" s="27"/>
      <c r="I1962" s="27"/>
      <c r="J1962" s="27"/>
      <c r="K1962" s="27"/>
    </row>
    <row r="1963" spans="1:11" x14ac:dyDescent="0.2">
      <c r="A1963" s="26"/>
      <c r="B1963" s="14" t="str">
        <f>IF(A1963="","",CHOOSE(WEEKDAY(A1963),"日","月","火","水","木","金","土"))</f>
        <v/>
      </c>
      <c r="C1963" s="27"/>
      <c r="D1963" s="27"/>
      <c r="E1963" s="14" t="str">
        <f>IF(F1963="","",IFERROR(INDEX(マスター!$F$5:$F$200,MATCH(F1963,マスター!$E$5:$E$200,0)),"※マスター未登録"))</f>
        <v/>
      </c>
      <c r="F1963" s="27"/>
      <c r="G1963" s="27"/>
      <c r="H1963" s="27"/>
      <c r="I1963" s="27"/>
      <c r="J1963" s="27"/>
      <c r="K1963" s="27"/>
    </row>
    <row r="1964" spans="1:11" x14ac:dyDescent="0.2">
      <c r="A1964" s="26"/>
      <c r="B1964" s="14" t="str">
        <f>IF(A1964="","",CHOOSE(WEEKDAY(A1964),"日","月","火","水","木","金","土"))</f>
        <v/>
      </c>
      <c r="C1964" s="27"/>
      <c r="D1964" s="27"/>
      <c r="E1964" s="14" t="str">
        <f>IF(F1964="","",IFERROR(INDEX(マスター!$F$5:$F$200,MATCH(F1964,マスター!$E$5:$E$200,0)),"※マスター未登録"))</f>
        <v/>
      </c>
      <c r="F1964" s="27"/>
      <c r="G1964" s="27"/>
      <c r="H1964" s="27"/>
      <c r="I1964" s="27"/>
      <c r="J1964" s="27"/>
      <c r="K1964" s="27"/>
    </row>
    <row r="1965" spans="1:11" x14ac:dyDescent="0.2">
      <c r="A1965" s="26"/>
      <c r="B1965" s="14" t="str">
        <f>IF(A1965="","",CHOOSE(WEEKDAY(A1965),"日","月","火","水","木","金","土"))</f>
        <v/>
      </c>
      <c r="C1965" s="27"/>
      <c r="D1965" s="27"/>
      <c r="E1965" s="14" t="str">
        <f>IF(F1965="","",IFERROR(INDEX(マスター!$F$5:$F$200,MATCH(F1965,マスター!$E$5:$E$200,0)),"※マスター未登録"))</f>
        <v/>
      </c>
      <c r="F1965" s="27"/>
      <c r="G1965" s="27"/>
      <c r="H1965" s="27"/>
      <c r="I1965" s="27"/>
      <c r="J1965" s="27"/>
      <c r="K1965" s="27"/>
    </row>
    <row r="1966" spans="1:11" x14ac:dyDescent="0.2">
      <c r="A1966" s="26"/>
      <c r="B1966" s="14" t="str">
        <f>IF(A1966="","",CHOOSE(WEEKDAY(A1966),"日","月","火","水","木","金","土"))</f>
        <v/>
      </c>
      <c r="C1966" s="27"/>
      <c r="D1966" s="27"/>
      <c r="E1966" s="14" t="str">
        <f>IF(F1966="","",IFERROR(INDEX(マスター!$F$5:$F$200,MATCH(F1966,マスター!$E$5:$E$200,0)),"※マスター未登録"))</f>
        <v/>
      </c>
      <c r="F1966" s="27"/>
      <c r="G1966" s="27"/>
      <c r="H1966" s="27"/>
      <c r="I1966" s="27"/>
      <c r="J1966" s="27"/>
      <c r="K1966" s="27"/>
    </row>
    <row r="1967" spans="1:11" x14ac:dyDescent="0.2">
      <c r="A1967" s="26"/>
      <c r="B1967" s="14" t="str">
        <f>IF(A1967="","",CHOOSE(WEEKDAY(A1967),"日","月","火","水","木","金","土"))</f>
        <v/>
      </c>
      <c r="C1967" s="27"/>
      <c r="D1967" s="27"/>
      <c r="E1967" s="14" t="str">
        <f>IF(F1967="","",IFERROR(INDEX(マスター!$F$5:$F$200,MATCH(F1967,マスター!$E$5:$E$200,0)),"※マスター未登録"))</f>
        <v/>
      </c>
      <c r="F1967" s="27"/>
      <c r="G1967" s="27"/>
      <c r="H1967" s="27"/>
      <c r="I1967" s="27"/>
      <c r="J1967" s="27"/>
      <c r="K1967" s="27"/>
    </row>
    <row r="1968" spans="1:11" x14ac:dyDescent="0.2">
      <c r="A1968" s="26"/>
      <c r="B1968" s="14" t="str">
        <f>IF(A1968="","",CHOOSE(WEEKDAY(A1968),"日","月","火","水","木","金","土"))</f>
        <v/>
      </c>
      <c r="C1968" s="27"/>
      <c r="D1968" s="27"/>
      <c r="E1968" s="14" t="str">
        <f>IF(F1968="","",IFERROR(INDEX(マスター!$F$5:$F$200,MATCH(F1968,マスター!$E$5:$E$200,0)),"※マスター未登録"))</f>
        <v/>
      </c>
      <c r="F1968" s="27"/>
      <c r="G1968" s="27"/>
      <c r="H1968" s="27"/>
      <c r="I1968" s="27"/>
      <c r="J1968" s="27"/>
      <c r="K1968" s="27"/>
    </row>
    <row r="1969" spans="1:11" x14ac:dyDescent="0.2">
      <c r="A1969" s="26"/>
      <c r="B1969" s="14" t="str">
        <f>IF(A1969="","",CHOOSE(WEEKDAY(A1969),"日","月","火","水","木","金","土"))</f>
        <v/>
      </c>
      <c r="C1969" s="27"/>
      <c r="D1969" s="27"/>
      <c r="E1969" s="14" t="str">
        <f>IF(F1969="","",IFERROR(INDEX(マスター!$F$5:$F$200,MATCH(F1969,マスター!$E$5:$E$200,0)),"※マスター未登録"))</f>
        <v/>
      </c>
      <c r="F1969" s="27"/>
      <c r="G1969" s="27"/>
      <c r="H1969" s="27"/>
      <c r="I1969" s="27"/>
      <c r="J1969" s="27"/>
      <c r="K1969" s="27"/>
    </row>
    <row r="1970" spans="1:11" x14ac:dyDescent="0.2">
      <c r="A1970" s="26"/>
      <c r="B1970" s="14" t="str">
        <f>IF(A1970="","",CHOOSE(WEEKDAY(A1970),"日","月","火","水","木","金","土"))</f>
        <v/>
      </c>
      <c r="C1970" s="27"/>
      <c r="D1970" s="27"/>
      <c r="E1970" s="14" t="str">
        <f>IF(F1970="","",IFERROR(INDEX(マスター!$F$5:$F$200,MATCH(F1970,マスター!$E$5:$E$200,0)),"※マスター未登録"))</f>
        <v/>
      </c>
      <c r="F1970" s="27"/>
      <c r="G1970" s="27"/>
      <c r="H1970" s="27"/>
      <c r="I1970" s="27"/>
      <c r="J1970" s="27"/>
      <c r="K1970" s="27"/>
    </row>
    <row r="1971" spans="1:11" x14ac:dyDescent="0.2">
      <c r="A1971" s="26"/>
      <c r="B1971" s="14" t="str">
        <f>IF(A1971="","",CHOOSE(WEEKDAY(A1971),"日","月","火","水","木","金","土"))</f>
        <v/>
      </c>
      <c r="C1971" s="27"/>
      <c r="D1971" s="27"/>
      <c r="E1971" s="14" t="str">
        <f>IF(F1971="","",IFERROR(INDEX(マスター!$F$5:$F$200,MATCH(F1971,マスター!$E$5:$E$200,0)),"※マスター未登録"))</f>
        <v/>
      </c>
      <c r="F1971" s="27"/>
      <c r="G1971" s="27"/>
      <c r="H1971" s="27"/>
      <c r="I1971" s="27"/>
      <c r="J1971" s="27"/>
      <c r="K1971" s="27"/>
    </row>
    <row r="1972" spans="1:11" x14ac:dyDescent="0.2">
      <c r="A1972" s="26"/>
      <c r="B1972" s="14" t="str">
        <f>IF(A1972="","",CHOOSE(WEEKDAY(A1972),"日","月","火","水","木","金","土"))</f>
        <v/>
      </c>
      <c r="C1972" s="27"/>
      <c r="D1972" s="27"/>
      <c r="E1972" s="14" t="str">
        <f>IF(F1972="","",IFERROR(INDEX(マスター!$F$5:$F$200,MATCH(F1972,マスター!$E$5:$E$200,0)),"※マスター未登録"))</f>
        <v/>
      </c>
      <c r="F1972" s="27"/>
      <c r="G1972" s="27"/>
      <c r="H1972" s="27"/>
      <c r="I1972" s="27"/>
      <c r="J1972" s="27"/>
      <c r="K1972" s="27"/>
    </row>
    <row r="1973" spans="1:11" x14ac:dyDescent="0.2">
      <c r="A1973" s="26"/>
      <c r="B1973" s="14" t="str">
        <f>IF(A1973="","",CHOOSE(WEEKDAY(A1973),"日","月","火","水","木","金","土"))</f>
        <v/>
      </c>
      <c r="C1973" s="27"/>
      <c r="D1973" s="27"/>
      <c r="E1973" s="14" t="str">
        <f>IF(F1973="","",IFERROR(INDEX(マスター!$F$5:$F$200,MATCH(F1973,マスター!$E$5:$E$200,0)),"※マスター未登録"))</f>
        <v/>
      </c>
      <c r="F1973" s="27"/>
      <c r="G1973" s="27"/>
      <c r="H1973" s="27"/>
      <c r="I1973" s="27"/>
      <c r="J1973" s="27"/>
      <c r="K1973" s="27"/>
    </row>
    <row r="1974" spans="1:11" x14ac:dyDescent="0.2">
      <c r="A1974" s="26"/>
      <c r="B1974" s="14" t="str">
        <f>IF(A1974="","",CHOOSE(WEEKDAY(A1974),"日","月","火","水","木","金","土"))</f>
        <v/>
      </c>
      <c r="C1974" s="27"/>
      <c r="D1974" s="27"/>
      <c r="E1974" s="14" t="str">
        <f>IF(F1974="","",IFERROR(INDEX(マスター!$F$5:$F$200,MATCH(F1974,マスター!$E$5:$E$200,0)),"※マスター未登録"))</f>
        <v/>
      </c>
      <c r="F1974" s="27"/>
      <c r="G1974" s="27"/>
      <c r="H1974" s="27"/>
      <c r="I1974" s="27"/>
      <c r="J1974" s="27"/>
      <c r="K1974" s="27"/>
    </row>
    <row r="1975" spans="1:11" x14ac:dyDescent="0.2">
      <c r="A1975" s="26"/>
      <c r="B1975" s="14" t="str">
        <f>IF(A1975="","",CHOOSE(WEEKDAY(A1975),"日","月","火","水","木","金","土"))</f>
        <v/>
      </c>
      <c r="C1975" s="27"/>
      <c r="D1975" s="27"/>
      <c r="E1975" s="14" t="str">
        <f>IF(F1975="","",IFERROR(INDEX(マスター!$F$5:$F$200,MATCH(F1975,マスター!$E$5:$E$200,0)),"※マスター未登録"))</f>
        <v/>
      </c>
      <c r="F1975" s="27"/>
      <c r="G1975" s="27"/>
      <c r="H1975" s="27"/>
      <c r="I1975" s="27"/>
      <c r="J1975" s="27"/>
      <c r="K1975" s="27"/>
    </row>
    <row r="1976" spans="1:11" x14ac:dyDescent="0.2">
      <c r="A1976" s="26"/>
      <c r="B1976" s="14" t="str">
        <f>IF(A1976="","",CHOOSE(WEEKDAY(A1976),"日","月","火","水","木","金","土"))</f>
        <v/>
      </c>
      <c r="C1976" s="27"/>
      <c r="D1976" s="27"/>
      <c r="E1976" s="14" t="str">
        <f>IF(F1976="","",IFERROR(INDEX(マスター!$F$5:$F$200,MATCH(F1976,マスター!$E$5:$E$200,0)),"※マスター未登録"))</f>
        <v/>
      </c>
      <c r="F1976" s="27"/>
      <c r="G1976" s="27"/>
      <c r="H1976" s="27"/>
      <c r="I1976" s="27"/>
      <c r="J1976" s="27"/>
      <c r="K1976" s="27"/>
    </row>
    <row r="1977" spans="1:11" x14ac:dyDescent="0.2">
      <c r="A1977" s="26"/>
      <c r="B1977" s="14" t="str">
        <f>IF(A1977="","",CHOOSE(WEEKDAY(A1977),"日","月","火","水","木","金","土"))</f>
        <v/>
      </c>
      <c r="C1977" s="27"/>
      <c r="D1977" s="27"/>
      <c r="E1977" s="14" t="str">
        <f>IF(F1977="","",IFERROR(INDEX(マスター!$F$5:$F$200,MATCH(F1977,マスター!$E$5:$E$200,0)),"※マスター未登録"))</f>
        <v/>
      </c>
      <c r="F1977" s="27"/>
      <c r="G1977" s="27"/>
      <c r="H1977" s="27"/>
      <c r="I1977" s="27"/>
      <c r="J1977" s="27"/>
      <c r="K1977" s="27"/>
    </row>
    <row r="1978" spans="1:11" x14ac:dyDescent="0.2">
      <c r="A1978" s="26"/>
      <c r="B1978" s="14" t="str">
        <f>IF(A1978="","",CHOOSE(WEEKDAY(A1978),"日","月","火","水","木","金","土"))</f>
        <v/>
      </c>
      <c r="C1978" s="27"/>
      <c r="D1978" s="27"/>
      <c r="E1978" s="14" t="str">
        <f>IF(F1978="","",IFERROR(INDEX(マスター!$F$5:$F$200,MATCH(F1978,マスター!$E$5:$E$200,0)),"※マスター未登録"))</f>
        <v/>
      </c>
      <c r="F1978" s="27"/>
      <c r="G1978" s="27"/>
      <c r="H1978" s="27"/>
      <c r="I1978" s="27"/>
      <c r="J1978" s="27"/>
      <c r="K1978" s="27"/>
    </row>
    <row r="1979" spans="1:11" x14ac:dyDescent="0.2">
      <c r="A1979" s="26"/>
      <c r="B1979" s="14" t="str">
        <f>IF(A1979="","",CHOOSE(WEEKDAY(A1979),"日","月","火","水","木","金","土"))</f>
        <v/>
      </c>
      <c r="C1979" s="27"/>
      <c r="D1979" s="27"/>
      <c r="E1979" s="14" t="str">
        <f>IF(F1979="","",IFERROR(INDEX(マスター!$F$5:$F$200,MATCH(F1979,マスター!$E$5:$E$200,0)),"※マスター未登録"))</f>
        <v/>
      </c>
      <c r="F1979" s="27"/>
      <c r="G1979" s="27"/>
      <c r="H1979" s="27"/>
      <c r="I1979" s="27"/>
      <c r="J1979" s="27"/>
      <c r="K1979" s="27"/>
    </row>
    <row r="1980" spans="1:11" x14ac:dyDescent="0.2">
      <c r="A1980" s="26"/>
      <c r="B1980" s="14" t="str">
        <f>IF(A1980="","",CHOOSE(WEEKDAY(A1980),"日","月","火","水","木","金","土"))</f>
        <v/>
      </c>
      <c r="C1980" s="27"/>
      <c r="D1980" s="27"/>
      <c r="E1980" s="14" t="str">
        <f>IF(F1980="","",IFERROR(INDEX(マスター!$F$5:$F$200,MATCH(F1980,マスター!$E$5:$E$200,0)),"※マスター未登録"))</f>
        <v/>
      </c>
      <c r="F1980" s="27"/>
      <c r="G1980" s="27"/>
      <c r="H1980" s="27"/>
      <c r="I1980" s="27"/>
      <c r="J1980" s="27"/>
      <c r="K1980" s="27"/>
    </row>
    <row r="1981" spans="1:11" x14ac:dyDescent="0.2">
      <c r="A1981" s="26"/>
      <c r="B1981" s="14" t="str">
        <f>IF(A1981="","",CHOOSE(WEEKDAY(A1981),"日","月","火","水","木","金","土"))</f>
        <v/>
      </c>
      <c r="C1981" s="27"/>
      <c r="D1981" s="27"/>
      <c r="E1981" s="14" t="str">
        <f>IF(F1981="","",IFERROR(INDEX(マスター!$F$5:$F$200,MATCH(F1981,マスター!$E$5:$E$200,0)),"※マスター未登録"))</f>
        <v/>
      </c>
      <c r="F1981" s="27"/>
      <c r="G1981" s="27"/>
      <c r="H1981" s="27"/>
      <c r="I1981" s="27"/>
      <c r="J1981" s="27"/>
      <c r="K1981" s="27"/>
    </row>
    <row r="1982" spans="1:11" x14ac:dyDescent="0.2">
      <c r="A1982" s="26"/>
      <c r="B1982" s="14" t="str">
        <f>IF(A1982="","",CHOOSE(WEEKDAY(A1982),"日","月","火","水","木","金","土"))</f>
        <v/>
      </c>
      <c r="C1982" s="27"/>
      <c r="D1982" s="27"/>
      <c r="E1982" s="14" t="str">
        <f>IF(F1982="","",IFERROR(INDEX(マスター!$F$5:$F$200,MATCH(F1982,マスター!$E$5:$E$200,0)),"※マスター未登録"))</f>
        <v/>
      </c>
      <c r="F1982" s="27"/>
      <c r="G1982" s="27"/>
      <c r="H1982" s="27"/>
      <c r="I1982" s="27"/>
      <c r="J1982" s="27"/>
      <c r="K1982" s="27"/>
    </row>
    <row r="1983" spans="1:11" x14ac:dyDescent="0.2">
      <c r="A1983" s="26"/>
      <c r="B1983" s="14" t="str">
        <f>IF(A1983="","",CHOOSE(WEEKDAY(A1983),"日","月","火","水","木","金","土"))</f>
        <v/>
      </c>
      <c r="C1983" s="27"/>
      <c r="D1983" s="27"/>
      <c r="E1983" s="14" t="str">
        <f>IF(F1983="","",IFERROR(INDEX(マスター!$F$5:$F$200,MATCH(F1983,マスター!$E$5:$E$200,0)),"※マスター未登録"))</f>
        <v/>
      </c>
      <c r="F1983" s="27"/>
      <c r="G1983" s="27"/>
      <c r="H1983" s="27"/>
      <c r="I1983" s="27"/>
      <c r="J1983" s="27"/>
      <c r="K1983" s="27"/>
    </row>
    <row r="1984" spans="1:11" x14ac:dyDescent="0.2">
      <c r="A1984" s="26"/>
      <c r="B1984" s="14" t="str">
        <f>IF(A1984="","",CHOOSE(WEEKDAY(A1984),"日","月","火","水","木","金","土"))</f>
        <v/>
      </c>
      <c r="C1984" s="27"/>
      <c r="D1984" s="27"/>
      <c r="E1984" s="14" t="str">
        <f>IF(F1984="","",IFERROR(INDEX(マスター!$F$5:$F$200,MATCH(F1984,マスター!$E$5:$E$200,0)),"※マスター未登録"))</f>
        <v/>
      </c>
      <c r="F1984" s="27"/>
      <c r="G1984" s="27"/>
      <c r="H1984" s="27"/>
      <c r="I1984" s="27"/>
      <c r="J1984" s="27"/>
      <c r="K1984" s="27"/>
    </row>
    <row r="1985" spans="1:11" x14ac:dyDescent="0.2">
      <c r="A1985" s="26"/>
      <c r="B1985" s="14" t="str">
        <f>IF(A1985="","",CHOOSE(WEEKDAY(A1985),"日","月","火","水","木","金","土"))</f>
        <v/>
      </c>
      <c r="C1985" s="27"/>
      <c r="D1985" s="27"/>
      <c r="E1985" s="14" t="str">
        <f>IF(F1985="","",IFERROR(INDEX(マスター!$F$5:$F$200,MATCH(F1985,マスター!$E$5:$E$200,0)),"※マスター未登録"))</f>
        <v/>
      </c>
      <c r="F1985" s="27"/>
      <c r="G1985" s="27"/>
      <c r="H1985" s="27"/>
      <c r="I1985" s="27"/>
      <c r="J1985" s="27"/>
      <c r="K1985" s="27"/>
    </row>
    <row r="1986" spans="1:11" x14ac:dyDescent="0.2">
      <c r="A1986" s="26"/>
      <c r="B1986" s="14" t="str">
        <f>IF(A1986="","",CHOOSE(WEEKDAY(A1986),"日","月","火","水","木","金","土"))</f>
        <v/>
      </c>
      <c r="C1986" s="27"/>
      <c r="D1986" s="27"/>
      <c r="E1986" s="14" t="str">
        <f>IF(F1986="","",IFERROR(INDEX(マスター!$F$5:$F$200,MATCH(F1986,マスター!$E$5:$E$200,0)),"※マスター未登録"))</f>
        <v/>
      </c>
      <c r="F1986" s="27"/>
      <c r="G1986" s="27"/>
      <c r="H1986" s="27"/>
      <c r="I1986" s="27"/>
      <c r="J1986" s="27"/>
      <c r="K1986" s="27"/>
    </row>
    <row r="1987" spans="1:11" x14ac:dyDescent="0.2">
      <c r="A1987" s="26"/>
      <c r="B1987" s="14" t="str">
        <f>IF(A1987="","",CHOOSE(WEEKDAY(A1987),"日","月","火","水","木","金","土"))</f>
        <v/>
      </c>
      <c r="C1987" s="27"/>
      <c r="D1987" s="27"/>
      <c r="E1987" s="14" t="str">
        <f>IF(F1987="","",IFERROR(INDEX(マスター!$F$5:$F$200,MATCH(F1987,マスター!$E$5:$E$200,0)),"※マスター未登録"))</f>
        <v/>
      </c>
      <c r="F1987" s="27"/>
      <c r="G1987" s="27"/>
      <c r="H1987" s="27"/>
      <c r="I1987" s="27"/>
      <c r="J1987" s="27"/>
      <c r="K1987" s="27"/>
    </row>
    <row r="1988" spans="1:11" x14ac:dyDescent="0.2">
      <c r="A1988" s="26"/>
      <c r="B1988" s="14" t="str">
        <f>IF(A1988="","",CHOOSE(WEEKDAY(A1988),"日","月","火","水","木","金","土"))</f>
        <v/>
      </c>
      <c r="C1988" s="27"/>
      <c r="D1988" s="27"/>
      <c r="E1988" s="14" t="str">
        <f>IF(F1988="","",IFERROR(INDEX(マスター!$F$5:$F$200,MATCH(F1988,マスター!$E$5:$E$200,0)),"※マスター未登録"))</f>
        <v/>
      </c>
      <c r="F1988" s="27"/>
      <c r="G1988" s="27"/>
      <c r="H1988" s="27"/>
      <c r="I1988" s="27"/>
      <c r="J1988" s="27"/>
      <c r="K1988" s="27"/>
    </row>
    <row r="1989" spans="1:11" x14ac:dyDescent="0.2">
      <c r="A1989" s="26"/>
      <c r="B1989" s="14" t="str">
        <f>IF(A1989="","",CHOOSE(WEEKDAY(A1989),"日","月","火","水","木","金","土"))</f>
        <v/>
      </c>
      <c r="C1989" s="27"/>
      <c r="D1989" s="27"/>
      <c r="E1989" s="14" t="str">
        <f>IF(F1989="","",IFERROR(INDEX(マスター!$F$5:$F$200,MATCH(F1989,マスター!$E$5:$E$200,0)),"※マスター未登録"))</f>
        <v/>
      </c>
      <c r="F1989" s="27"/>
      <c r="G1989" s="27"/>
      <c r="H1989" s="27"/>
      <c r="I1989" s="27"/>
      <c r="J1989" s="27"/>
      <c r="K1989" s="27"/>
    </row>
    <row r="1990" spans="1:11" x14ac:dyDescent="0.2">
      <c r="A1990" s="26"/>
      <c r="B1990" s="14" t="str">
        <f>IF(A1990="","",CHOOSE(WEEKDAY(A1990),"日","月","火","水","木","金","土"))</f>
        <v/>
      </c>
      <c r="C1990" s="27"/>
      <c r="D1990" s="27"/>
      <c r="E1990" s="14" t="str">
        <f>IF(F1990="","",IFERROR(INDEX(マスター!$F$5:$F$200,MATCH(F1990,マスター!$E$5:$E$200,0)),"※マスター未登録"))</f>
        <v/>
      </c>
      <c r="F1990" s="27"/>
      <c r="G1990" s="27"/>
      <c r="H1990" s="27"/>
      <c r="I1990" s="27"/>
      <c r="J1990" s="27"/>
      <c r="K1990" s="27"/>
    </row>
    <row r="1991" spans="1:11" x14ac:dyDescent="0.2">
      <c r="A1991" s="26"/>
      <c r="B1991" s="14" t="str">
        <f>IF(A1991="","",CHOOSE(WEEKDAY(A1991),"日","月","火","水","木","金","土"))</f>
        <v/>
      </c>
      <c r="C1991" s="27"/>
      <c r="D1991" s="27"/>
      <c r="E1991" s="14" t="str">
        <f>IF(F1991="","",IFERROR(INDEX(マスター!$F$5:$F$200,MATCH(F1991,マスター!$E$5:$E$200,0)),"※マスター未登録"))</f>
        <v/>
      </c>
      <c r="F1991" s="27"/>
      <c r="G1991" s="27"/>
      <c r="H1991" s="27"/>
      <c r="I1991" s="27"/>
      <c r="J1991" s="27"/>
      <c r="K1991" s="27"/>
    </row>
    <row r="1992" spans="1:11" x14ac:dyDescent="0.2">
      <c r="A1992" s="26"/>
      <c r="B1992" s="14" t="str">
        <f>IF(A1992="","",CHOOSE(WEEKDAY(A1992),"日","月","火","水","木","金","土"))</f>
        <v/>
      </c>
      <c r="C1992" s="27"/>
      <c r="D1992" s="27"/>
      <c r="E1992" s="14" t="str">
        <f>IF(F1992="","",IFERROR(INDEX(マスター!$F$5:$F$200,MATCH(F1992,マスター!$E$5:$E$200,0)),"※マスター未登録"))</f>
        <v/>
      </c>
      <c r="F1992" s="27"/>
      <c r="G1992" s="27"/>
      <c r="H1992" s="27"/>
      <c r="I1992" s="27"/>
      <c r="J1992" s="27"/>
      <c r="K1992" s="27"/>
    </row>
    <row r="1993" spans="1:11" x14ac:dyDescent="0.2">
      <c r="A1993" s="26"/>
      <c r="B1993" s="14" t="str">
        <f>IF(A1993="","",CHOOSE(WEEKDAY(A1993),"日","月","火","水","木","金","土"))</f>
        <v/>
      </c>
      <c r="C1993" s="27"/>
      <c r="D1993" s="27"/>
      <c r="E1993" s="14" t="str">
        <f>IF(F1993="","",IFERROR(INDEX(マスター!$F$5:$F$200,MATCH(F1993,マスター!$E$5:$E$200,0)),"※マスター未登録"))</f>
        <v/>
      </c>
      <c r="F1993" s="27"/>
      <c r="G1993" s="27"/>
      <c r="H1993" s="27"/>
      <c r="I1993" s="27"/>
      <c r="J1993" s="27"/>
      <c r="K1993" s="27"/>
    </row>
    <row r="1994" spans="1:11" x14ac:dyDescent="0.2">
      <c r="A1994" s="26"/>
      <c r="B1994" s="14" t="str">
        <f>IF(A1994="","",CHOOSE(WEEKDAY(A1994),"日","月","火","水","木","金","土"))</f>
        <v/>
      </c>
      <c r="C1994" s="27"/>
      <c r="D1994" s="27"/>
      <c r="E1994" s="14" t="str">
        <f>IF(F1994="","",IFERROR(INDEX(マスター!$F$5:$F$200,MATCH(F1994,マスター!$E$5:$E$200,0)),"※マスター未登録"))</f>
        <v/>
      </c>
      <c r="F1994" s="27"/>
      <c r="G1994" s="27"/>
      <c r="H1994" s="27"/>
      <c r="I1994" s="27"/>
      <c r="J1994" s="27"/>
      <c r="K1994" s="27"/>
    </row>
    <row r="1995" spans="1:11" x14ac:dyDescent="0.2">
      <c r="A1995" s="26"/>
      <c r="B1995" s="14" t="str">
        <f>IF(A1995="","",CHOOSE(WEEKDAY(A1995),"日","月","火","水","木","金","土"))</f>
        <v/>
      </c>
      <c r="C1995" s="27"/>
      <c r="D1995" s="27"/>
      <c r="E1995" s="14" t="str">
        <f>IF(F1995="","",IFERROR(INDEX(マスター!$F$5:$F$200,MATCH(F1995,マスター!$E$5:$E$200,0)),"※マスター未登録"))</f>
        <v/>
      </c>
      <c r="F1995" s="27"/>
      <c r="G1995" s="27"/>
      <c r="H1995" s="27"/>
      <c r="I1995" s="27"/>
      <c r="J1995" s="27"/>
      <c r="K1995" s="27"/>
    </row>
    <row r="1996" spans="1:11" x14ac:dyDescent="0.2">
      <c r="A1996" s="26"/>
      <c r="B1996" s="14" t="str">
        <f>IF(A1996="","",CHOOSE(WEEKDAY(A1996),"日","月","火","水","木","金","土"))</f>
        <v/>
      </c>
      <c r="C1996" s="27"/>
      <c r="D1996" s="27"/>
      <c r="E1996" s="14" t="str">
        <f>IF(F1996="","",IFERROR(INDEX(マスター!$F$5:$F$200,MATCH(F1996,マスター!$E$5:$E$200,0)),"※マスター未登録"))</f>
        <v/>
      </c>
      <c r="F1996" s="27"/>
      <c r="G1996" s="27"/>
      <c r="H1996" s="27"/>
      <c r="I1996" s="27"/>
      <c r="J1996" s="27"/>
      <c r="K1996" s="27"/>
    </row>
    <row r="1997" spans="1:11" x14ac:dyDescent="0.2">
      <c r="A1997" s="26"/>
      <c r="B1997" s="14" t="str">
        <f>IF(A1997="","",CHOOSE(WEEKDAY(A1997),"日","月","火","水","木","金","土"))</f>
        <v/>
      </c>
      <c r="C1997" s="27"/>
      <c r="D1997" s="27"/>
      <c r="E1997" s="14" t="str">
        <f>IF(F1997="","",IFERROR(INDEX(マスター!$F$5:$F$200,MATCH(F1997,マスター!$E$5:$E$200,0)),"※マスター未登録"))</f>
        <v/>
      </c>
      <c r="F1997" s="27"/>
      <c r="G1997" s="27"/>
      <c r="H1997" s="27"/>
      <c r="I1997" s="27"/>
      <c r="J1997" s="27"/>
      <c r="K1997" s="27"/>
    </row>
    <row r="1998" spans="1:11" x14ac:dyDescent="0.2">
      <c r="A1998" s="26"/>
      <c r="B1998" s="14" t="str">
        <f>IF(A1998="","",CHOOSE(WEEKDAY(A1998),"日","月","火","水","木","金","土"))</f>
        <v/>
      </c>
      <c r="C1998" s="27"/>
      <c r="D1998" s="27"/>
      <c r="E1998" s="14" t="str">
        <f>IF(F1998="","",IFERROR(INDEX(マスター!$F$5:$F$200,MATCH(F1998,マスター!$E$5:$E$200,0)),"※マスター未登録"))</f>
        <v/>
      </c>
      <c r="F1998" s="27"/>
      <c r="G1998" s="27"/>
      <c r="H1998" s="27"/>
      <c r="I1998" s="27"/>
      <c r="J1998" s="27"/>
      <c r="K1998" s="27"/>
    </row>
    <row r="1999" spans="1:11" x14ac:dyDescent="0.2">
      <c r="A1999" s="26"/>
      <c r="B1999" s="14" t="str">
        <f>IF(A1999="","",CHOOSE(WEEKDAY(A1999),"日","月","火","水","木","金","土"))</f>
        <v/>
      </c>
      <c r="C1999" s="27"/>
      <c r="D1999" s="27"/>
      <c r="E1999" s="14" t="str">
        <f>IF(F1999="","",IFERROR(INDEX(マスター!$F$5:$F$200,MATCH(F1999,マスター!$E$5:$E$200,0)),"※マスター未登録"))</f>
        <v/>
      </c>
      <c r="F1999" s="27"/>
      <c r="G1999" s="27"/>
      <c r="H1999" s="27"/>
      <c r="I1999" s="27"/>
      <c r="J1999" s="27"/>
      <c r="K1999" s="27"/>
    </row>
    <row r="2000" spans="1:11" x14ac:dyDescent="0.2">
      <c r="A2000" s="26"/>
      <c r="B2000" s="14" t="str">
        <f>IF(A2000="","",CHOOSE(WEEKDAY(A2000),"日","月","火","水","木","金","土"))</f>
        <v/>
      </c>
      <c r="C2000" s="27"/>
      <c r="D2000" s="27"/>
      <c r="E2000" s="14" t="str">
        <f>IF(F2000="","",IFERROR(INDEX(マスター!$F$5:$F$200,MATCH(F2000,マスター!$E$5:$E$200,0)),"※マスター未登録"))</f>
        <v/>
      </c>
      <c r="F2000" s="27"/>
      <c r="G2000" s="27"/>
      <c r="H2000" s="27"/>
      <c r="I2000" s="27"/>
      <c r="J2000" s="27"/>
      <c r="K2000" s="27"/>
    </row>
  </sheetData>
  <autoFilter ref="A1:L239" xr:uid="{00000000-0009-0000-0000-000002000000}"/>
  <printOptions horizontalCentered="1"/>
  <pageMargins left="0.4" right="0.4" top="0.5" bottom="0.5" header="0.25" footer="0.25"/>
  <pageSetup paperSize="9" fitToHeight="0" orientation="landscape" horizontalDpi="300" verticalDpi="300"/>
  <headerFooter>
    <oddHeader>&amp;R&amp;8 谷直美様住宅新築工事　現場日報</oddHeader>
    <oddFooter>&amp;C&amp;8 &amp;A　&amp;P / &amp;N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200-000000000000}">
          <x14:formula1>
            <xm:f>マスター!$A$5:$A$200</xm:f>
          </x14:formula1>
          <x14:formula2>
            <xm:f>0</xm:f>
          </x14:formula2>
          <xm:sqref>C2:C2000</xm:sqref>
        </x14:dataValidation>
        <x14:dataValidation type="list" allowBlank="1" xr:uid="{00000000-0002-0000-0200-000001000000}">
          <x14:formula1>
            <xm:f>マスター!$P$5:$P$200</xm:f>
          </x14:formula1>
          <x14:formula2>
            <xm:f>0</xm:f>
          </x14:formula2>
          <xm:sqref>D2:D2000</xm:sqref>
        </x14:dataValidation>
        <x14:dataValidation type="list" allowBlank="1" xr:uid="{00000000-0002-0000-0200-000002000000}">
          <x14:formula1>
            <xm:f>マスター!$E$5:$E$200</xm:f>
          </x14:formula1>
          <x14:formula2>
            <xm:f>0</xm:f>
          </x14:formula2>
          <xm:sqref>F2:F2000</xm:sqref>
        </x14:dataValidation>
        <x14:dataValidation type="list" allowBlank="1" xr:uid="{00000000-0002-0000-0200-000003000000}">
          <x14:formula1>
            <xm:f>マスター!$H$5:$H$200</xm:f>
          </x14:formula1>
          <x14:formula2>
            <xm:f>0</xm:f>
          </x14:formula2>
          <xm:sqref>G2:G2000</xm:sqref>
        </x14:dataValidation>
        <x14:dataValidation type="list" allowBlank="1" xr:uid="{00000000-0002-0000-0200-000004000000}">
          <x14:formula1>
            <xm:f>マスター!$N$5:$N$200</xm:f>
          </x14:formula1>
          <x14:formula2>
            <xm:f>0</xm:f>
          </x14:formula2>
          <xm:sqref>H2:H2000</xm:sqref>
        </x14:dataValidation>
        <x14:dataValidation type="list" allowBlank="1" xr:uid="{00000000-0002-0000-0200-000005000000}">
          <x14:formula1>
            <xm:f>マスター!$L$5:$L$200</xm:f>
          </x14:formula1>
          <x14:formula2>
            <xm:f>0</xm:f>
          </x14:formula2>
          <xm:sqref>J2:J2000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  <pageSetUpPr fitToPage="1"/>
  </sheetPr>
  <dimension ref="A1:P116"/>
  <sheetViews>
    <sheetView zoomScale="90" zoomScaleNormal="9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22.05859375" customWidth="1"/>
    <col min="3" max="3" width="22.05859375" customWidth="1"/>
    <col min="5" max="6" width="22.05859375" customWidth="1"/>
    <col min="8" max="8" width="22.05859375" customWidth="1"/>
    <col min="10" max="10" width="22.05859375" customWidth="1"/>
    <col min="12" max="12" width="22.05859375" customWidth="1"/>
    <col min="14" max="14" width="39.953125" customWidth="1"/>
    <col min="16" max="16" width="22.05859375" customWidth="1"/>
  </cols>
  <sheetData>
    <row r="1" spans="1:16" ht="18.75" x14ac:dyDescent="0.25">
      <c r="A1" s="3" t="s">
        <v>364</v>
      </c>
    </row>
    <row r="2" spans="1:16" ht="16.5" x14ac:dyDescent="0.3">
      <c r="A2" s="15" t="s">
        <v>365</v>
      </c>
    </row>
    <row r="4" spans="1:16" x14ac:dyDescent="0.2">
      <c r="A4" s="5" t="s">
        <v>107</v>
      </c>
      <c r="C4" s="5" t="s">
        <v>109</v>
      </c>
      <c r="E4" s="5" t="s">
        <v>91</v>
      </c>
      <c r="F4" s="5" t="s">
        <v>366</v>
      </c>
      <c r="H4" s="5" t="s">
        <v>367</v>
      </c>
      <c r="J4" s="5" t="s">
        <v>96</v>
      </c>
      <c r="L4" s="5" t="s">
        <v>112</v>
      </c>
      <c r="N4" s="5" t="s">
        <v>111</v>
      </c>
      <c r="P4" s="5" t="s">
        <v>108</v>
      </c>
    </row>
    <row r="5" spans="1:16" ht="17.25" x14ac:dyDescent="0.35">
      <c r="A5" s="28" t="s">
        <v>115</v>
      </c>
      <c r="C5" s="28" t="s">
        <v>368</v>
      </c>
      <c r="E5" s="28" t="s">
        <v>369</v>
      </c>
      <c r="F5" s="28" t="s">
        <v>368</v>
      </c>
      <c r="H5" s="28" t="s">
        <v>117</v>
      </c>
      <c r="J5" s="28" t="s">
        <v>123</v>
      </c>
      <c r="L5" s="28" t="s">
        <v>370</v>
      </c>
      <c r="N5" s="29" t="s">
        <v>371</v>
      </c>
      <c r="P5" s="28" t="s">
        <v>94</v>
      </c>
    </row>
    <row r="6" spans="1:16" ht="17.25" x14ac:dyDescent="0.35">
      <c r="C6" s="28" t="s">
        <v>372</v>
      </c>
      <c r="E6" s="28" t="s">
        <v>153</v>
      </c>
      <c r="F6" s="28" t="s">
        <v>368</v>
      </c>
      <c r="H6" s="28" t="s">
        <v>128</v>
      </c>
      <c r="J6" s="28" t="s">
        <v>129</v>
      </c>
      <c r="L6" s="28" t="s">
        <v>373</v>
      </c>
      <c r="N6" s="28" t="s">
        <v>374</v>
      </c>
      <c r="P6" s="28" t="s">
        <v>96</v>
      </c>
    </row>
    <row r="7" spans="1:16" ht="17.25" x14ac:dyDescent="0.35">
      <c r="C7" s="28" t="s">
        <v>375</v>
      </c>
      <c r="E7" s="28" t="s">
        <v>116</v>
      </c>
      <c r="F7" s="28" t="s">
        <v>372</v>
      </c>
      <c r="H7" s="28" t="s">
        <v>166</v>
      </c>
      <c r="J7" s="28" t="s">
        <v>140</v>
      </c>
      <c r="L7" s="28" t="s">
        <v>376</v>
      </c>
      <c r="N7" s="28" t="s">
        <v>315</v>
      </c>
    </row>
    <row r="8" spans="1:16" ht="17.25" x14ac:dyDescent="0.35">
      <c r="C8" s="28" t="s">
        <v>377</v>
      </c>
      <c r="E8" s="28" t="s">
        <v>122</v>
      </c>
      <c r="F8" s="28" t="s">
        <v>372</v>
      </c>
      <c r="H8" s="28" t="s">
        <v>121</v>
      </c>
      <c r="J8" s="28" t="s">
        <v>247</v>
      </c>
      <c r="L8" s="29" t="s">
        <v>378</v>
      </c>
      <c r="N8" s="28" t="s">
        <v>379</v>
      </c>
    </row>
    <row r="9" spans="1:16" x14ac:dyDescent="0.2">
      <c r="C9" s="28" t="s">
        <v>380</v>
      </c>
      <c r="E9" s="28" t="s">
        <v>135</v>
      </c>
      <c r="F9" s="28" t="s">
        <v>375</v>
      </c>
      <c r="H9" s="28" t="s">
        <v>196</v>
      </c>
      <c r="J9" s="28" t="s">
        <v>253</v>
      </c>
      <c r="L9" s="28" t="s">
        <v>381</v>
      </c>
      <c r="N9" s="28" t="s">
        <v>303</v>
      </c>
    </row>
    <row r="10" spans="1:16" ht="17.25" x14ac:dyDescent="0.35">
      <c r="C10" s="28" t="s">
        <v>382</v>
      </c>
      <c r="E10" s="28" t="s">
        <v>139</v>
      </c>
      <c r="F10" s="28" t="s">
        <v>377</v>
      </c>
      <c r="H10" s="28" t="s">
        <v>260</v>
      </c>
      <c r="J10" s="28" t="s">
        <v>256</v>
      </c>
      <c r="L10" s="29" t="s">
        <v>383</v>
      </c>
      <c r="N10" s="28" t="s">
        <v>234</v>
      </c>
    </row>
    <row r="11" spans="1:16" ht="17.25" x14ac:dyDescent="0.35">
      <c r="C11" s="28" t="s">
        <v>384</v>
      </c>
      <c r="E11" s="28" t="s">
        <v>149</v>
      </c>
      <c r="F11" s="28" t="s">
        <v>380</v>
      </c>
      <c r="H11" s="28" t="s">
        <v>285</v>
      </c>
      <c r="J11" s="28" t="s">
        <v>275</v>
      </c>
      <c r="L11" s="28" t="s">
        <v>385</v>
      </c>
      <c r="N11" s="28" t="s">
        <v>386</v>
      </c>
    </row>
    <row r="12" spans="1:16" x14ac:dyDescent="0.2">
      <c r="C12" s="28" t="s">
        <v>387</v>
      </c>
      <c r="E12" s="28" t="s">
        <v>167</v>
      </c>
      <c r="F12" s="28" t="s">
        <v>380</v>
      </c>
      <c r="J12" s="28" t="s">
        <v>185</v>
      </c>
      <c r="L12" s="28" t="s">
        <v>388</v>
      </c>
      <c r="N12" s="28" t="s">
        <v>319</v>
      </c>
    </row>
    <row r="13" spans="1:16" ht="17.25" x14ac:dyDescent="0.35">
      <c r="C13" s="28" t="s">
        <v>389</v>
      </c>
      <c r="E13" s="28" t="s">
        <v>172</v>
      </c>
      <c r="F13" s="28" t="s">
        <v>380</v>
      </c>
      <c r="J13" s="28" t="s">
        <v>188</v>
      </c>
      <c r="L13" s="29" t="s">
        <v>390</v>
      </c>
      <c r="N13" s="28" t="s">
        <v>391</v>
      </c>
    </row>
    <row r="14" spans="1:16" x14ac:dyDescent="0.2">
      <c r="C14" s="28" t="s">
        <v>392</v>
      </c>
      <c r="E14" s="28" t="s">
        <v>178</v>
      </c>
      <c r="F14" s="28" t="s">
        <v>380</v>
      </c>
      <c r="J14" s="28" t="s">
        <v>173</v>
      </c>
      <c r="L14" s="28" t="s">
        <v>393</v>
      </c>
      <c r="N14" s="28" t="s">
        <v>189</v>
      </c>
    </row>
    <row r="15" spans="1:16" ht="17.25" x14ac:dyDescent="0.35">
      <c r="C15" s="28" t="s">
        <v>394</v>
      </c>
      <c r="E15" s="28" t="s">
        <v>182</v>
      </c>
      <c r="F15" s="28" t="s">
        <v>380</v>
      </c>
      <c r="J15" s="28" t="s">
        <v>213</v>
      </c>
      <c r="L15" s="28" t="s">
        <v>395</v>
      </c>
      <c r="N15" s="28" t="s">
        <v>190</v>
      </c>
    </row>
    <row r="16" spans="1:16" ht="17.25" x14ac:dyDescent="0.35">
      <c r="C16" s="28" t="s">
        <v>396</v>
      </c>
      <c r="E16" s="28" t="s">
        <v>187</v>
      </c>
      <c r="F16" s="28" t="s">
        <v>380</v>
      </c>
      <c r="J16" s="28" t="s">
        <v>272</v>
      </c>
      <c r="L16" s="28" t="s">
        <v>190</v>
      </c>
      <c r="N16" s="28" t="s">
        <v>397</v>
      </c>
    </row>
    <row r="17" spans="5:14" x14ac:dyDescent="0.2">
      <c r="E17" s="28" t="s">
        <v>204</v>
      </c>
      <c r="F17" s="28" t="s">
        <v>380</v>
      </c>
      <c r="J17" s="28" t="s">
        <v>226</v>
      </c>
      <c r="L17" s="28" t="s">
        <v>180</v>
      </c>
      <c r="N17" s="28" t="s">
        <v>268</v>
      </c>
    </row>
    <row r="18" spans="5:14" x14ac:dyDescent="0.2">
      <c r="E18" s="28" t="s">
        <v>209</v>
      </c>
      <c r="F18" s="28" t="s">
        <v>382</v>
      </c>
      <c r="J18" s="28" t="s">
        <v>191</v>
      </c>
      <c r="N18" s="28" t="s">
        <v>154</v>
      </c>
    </row>
    <row r="19" spans="5:14" x14ac:dyDescent="0.2">
      <c r="E19" s="28" t="s">
        <v>222</v>
      </c>
      <c r="F19" s="28" t="s">
        <v>382</v>
      </c>
      <c r="J19" s="28" t="s">
        <v>298</v>
      </c>
      <c r="N19" s="28" t="s">
        <v>278</v>
      </c>
    </row>
    <row r="20" spans="5:14" x14ac:dyDescent="0.2">
      <c r="E20" s="28" t="s">
        <v>230</v>
      </c>
      <c r="F20" s="28" t="s">
        <v>382</v>
      </c>
      <c r="J20" s="28" t="s">
        <v>307</v>
      </c>
      <c r="N20" s="28" t="s">
        <v>286</v>
      </c>
    </row>
    <row r="21" spans="5:14" x14ac:dyDescent="0.2">
      <c r="E21" s="28" t="s">
        <v>233</v>
      </c>
      <c r="F21" s="28" t="s">
        <v>382</v>
      </c>
      <c r="J21" s="28" t="s">
        <v>323</v>
      </c>
      <c r="N21" s="28" t="s">
        <v>313</v>
      </c>
    </row>
    <row r="22" spans="5:14" x14ac:dyDescent="0.2">
      <c r="E22" s="28" t="s">
        <v>398</v>
      </c>
      <c r="F22" s="28" t="s">
        <v>382</v>
      </c>
      <c r="J22" s="28" t="s">
        <v>326</v>
      </c>
      <c r="N22" s="28" t="s">
        <v>249</v>
      </c>
    </row>
    <row r="23" spans="5:14" x14ac:dyDescent="0.2">
      <c r="E23" s="28" t="s">
        <v>258</v>
      </c>
      <c r="F23" s="28" t="s">
        <v>382</v>
      </c>
      <c r="J23" s="28" t="s">
        <v>329</v>
      </c>
      <c r="N23" s="28" t="s">
        <v>251</v>
      </c>
    </row>
    <row r="24" spans="5:14" ht="17.25" x14ac:dyDescent="0.35">
      <c r="E24" s="28" t="s">
        <v>283</v>
      </c>
      <c r="F24" s="28" t="s">
        <v>382</v>
      </c>
      <c r="J24" s="28" t="s">
        <v>339</v>
      </c>
      <c r="N24" s="28" t="s">
        <v>399</v>
      </c>
    </row>
    <row r="25" spans="5:14" ht="17.25" x14ac:dyDescent="0.35">
      <c r="E25" s="28" t="s">
        <v>400</v>
      </c>
      <c r="F25" s="28" t="s">
        <v>382</v>
      </c>
      <c r="J25" s="28" t="s">
        <v>353</v>
      </c>
      <c r="N25" s="28" t="s">
        <v>401</v>
      </c>
    </row>
    <row r="26" spans="5:14" ht="17.25" x14ac:dyDescent="0.35">
      <c r="E26" s="28" t="s">
        <v>322</v>
      </c>
      <c r="F26" s="28" t="s">
        <v>382</v>
      </c>
      <c r="N26" s="28" t="s">
        <v>402</v>
      </c>
    </row>
    <row r="27" spans="5:14" ht="17.25" x14ac:dyDescent="0.35">
      <c r="E27" s="28" t="s">
        <v>297</v>
      </c>
      <c r="F27" s="28" t="s">
        <v>384</v>
      </c>
      <c r="N27" s="28" t="s">
        <v>403</v>
      </c>
    </row>
    <row r="28" spans="5:14" ht="17.25" x14ac:dyDescent="0.35">
      <c r="E28" s="28" t="s">
        <v>246</v>
      </c>
      <c r="F28" s="28" t="s">
        <v>384</v>
      </c>
      <c r="N28" s="28" t="s">
        <v>404</v>
      </c>
    </row>
    <row r="29" spans="5:14" x14ac:dyDescent="0.2">
      <c r="E29" s="28" t="s">
        <v>255</v>
      </c>
      <c r="F29" s="28" t="s">
        <v>384</v>
      </c>
      <c r="N29" s="28" t="s">
        <v>351</v>
      </c>
    </row>
    <row r="30" spans="5:14" x14ac:dyDescent="0.2">
      <c r="E30" s="28" t="s">
        <v>274</v>
      </c>
      <c r="F30" s="28" t="s">
        <v>384</v>
      </c>
      <c r="N30" s="28" t="s">
        <v>311</v>
      </c>
    </row>
    <row r="31" spans="5:14" x14ac:dyDescent="0.2">
      <c r="E31" s="28" t="s">
        <v>325</v>
      </c>
      <c r="F31" s="28" t="s">
        <v>384</v>
      </c>
      <c r="N31" s="28" t="s">
        <v>163</v>
      </c>
    </row>
    <row r="32" spans="5:14" ht="17.25" x14ac:dyDescent="0.35">
      <c r="E32" s="28" t="s">
        <v>306</v>
      </c>
      <c r="F32" s="28" t="s">
        <v>387</v>
      </c>
      <c r="N32" s="28" t="s">
        <v>405</v>
      </c>
    </row>
    <row r="33" spans="5:14" x14ac:dyDescent="0.2">
      <c r="E33" s="28" t="s">
        <v>316</v>
      </c>
      <c r="F33" s="28" t="s">
        <v>387</v>
      </c>
      <c r="N33" s="28" t="s">
        <v>280</v>
      </c>
    </row>
    <row r="34" spans="5:14" ht="17.25" x14ac:dyDescent="0.35">
      <c r="E34" s="28" t="s">
        <v>352</v>
      </c>
      <c r="F34" s="28" t="s">
        <v>387</v>
      </c>
      <c r="N34" s="28" t="s">
        <v>406</v>
      </c>
    </row>
    <row r="35" spans="5:14" ht="17.25" x14ac:dyDescent="0.35">
      <c r="E35" s="28" t="s">
        <v>252</v>
      </c>
      <c r="F35" s="28" t="s">
        <v>389</v>
      </c>
      <c r="N35" s="28" t="s">
        <v>407</v>
      </c>
    </row>
    <row r="36" spans="5:14" x14ac:dyDescent="0.2">
      <c r="E36" s="28" t="s">
        <v>334</v>
      </c>
      <c r="F36" s="28" t="s">
        <v>389</v>
      </c>
      <c r="N36" s="28" t="s">
        <v>300</v>
      </c>
    </row>
    <row r="37" spans="5:14" ht="17.25" x14ac:dyDescent="0.35">
      <c r="E37" s="28" t="s">
        <v>212</v>
      </c>
      <c r="F37" s="28" t="s">
        <v>392</v>
      </c>
      <c r="N37" s="28" t="s">
        <v>408</v>
      </c>
    </row>
    <row r="38" spans="5:14" x14ac:dyDescent="0.2">
      <c r="E38" s="28" t="s">
        <v>271</v>
      </c>
      <c r="F38" s="28" t="s">
        <v>392</v>
      </c>
      <c r="N38" s="28" t="s">
        <v>335</v>
      </c>
    </row>
    <row r="39" spans="5:14" x14ac:dyDescent="0.2">
      <c r="E39" s="28" t="s">
        <v>348</v>
      </c>
      <c r="F39" s="28" t="s">
        <v>392</v>
      </c>
      <c r="N39" s="28" t="s">
        <v>349</v>
      </c>
    </row>
    <row r="40" spans="5:14" x14ac:dyDescent="0.2">
      <c r="E40" s="28" t="s">
        <v>328</v>
      </c>
      <c r="F40" s="28" t="s">
        <v>392</v>
      </c>
      <c r="N40" s="28" t="s">
        <v>183</v>
      </c>
    </row>
    <row r="41" spans="5:14" ht="17.25" x14ac:dyDescent="0.35">
      <c r="E41" s="28" t="s">
        <v>356</v>
      </c>
      <c r="F41" s="28" t="s">
        <v>394</v>
      </c>
      <c r="N41" s="28" t="s">
        <v>409</v>
      </c>
    </row>
    <row r="42" spans="5:14" x14ac:dyDescent="0.2">
      <c r="E42" s="28" t="s">
        <v>310</v>
      </c>
      <c r="F42" s="28" t="s">
        <v>394</v>
      </c>
      <c r="N42" s="28" t="s">
        <v>145</v>
      </c>
    </row>
    <row r="43" spans="5:14" x14ac:dyDescent="0.2">
      <c r="E43" s="28" t="s">
        <v>242</v>
      </c>
      <c r="F43" s="28" t="s">
        <v>396</v>
      </c>
      <c r="N43" s="28" t="s">
        <v>146</v>
      </c>
    </row>
    <row r="44" spans="5:14" x14ac:dyDescent="0.2">
      <c r="E44" s="28" t="s">
        <v>341</v>
      </c>
      <c r="F44" s="28" t="s">
        <v>396</v>
      </c>
      <c r="N44" s="28" t="s">
        <v>142</v>
      </c>
    </row>
    <row r="45" spans="5:14" x14ac:dyDescent="0.2">
      <c r="E45" s="28" t="s">
        <v>98</v>
      </c>
      <c r="F45" s="28" t="s">
        <v>396</v>
      </c>
      <c r="N45" s="28" t="s">
        <v>147</v>
      </c>
    </row>
    <row r="46" spans="5:14" x14ac:dyDescent="0.2">
      <c r="N46" s="28" t="s">
        <v>148</v>
      </c>
    </row>
    <row r="47" spans="5:14" x14ac:dyDescent="0.2">
      <c r="N47" s="28" t="s">
        <v>143</v>
      </c>
    </row>
    <row r="48" spans="5:14" x14ac:dyDescent="0.2">
      <c r="N48" s="28" t="s">
        <v>198</v>
      </c>
    </row>
    <row r="49" spans="14:14" x14ac:dyDescent="0.2">
      <c r="N49" s="28" t="s">
        <v>340</v>
      </c>
    </row>
    <row r="50" spans="14:14" ht="17.25" x14ac:dyDescent="0.35">
      <c r="N50" s="28" t="s">
        <v>410</v>
      </c>
    </row>
    <row r="51" spans="14:14" x14ac:dyDescent="0.2">
      <c r="N51" s="28" t="s">
        <v>202</v>
      </c>
    </row>
    <row r="52" spans="14:14" x14ac:dyDescent="0.2">
      <c r="N52" s="28" t="s">
        <v>206</v>
      </c>
    </row>
    <row r="53" spans="14:14" x14ac:dyDescent="0.2">
      <c r="N53" s="28" t="s">
        <v>197</v>
      </c>
    </row>
    <row r="54" spans="14:14" x14ac:dyDescent="0.2">
      <c r="N54" s="28" t="s">
        <v>205</v>
      </c>
    </row>
    <row r="55" spans="14:14" x14ac:dyDescent="0.2">
      <c r="N55" s="28" t="s">
        <v>194</v>
      </c>
    </row>
    <row r="56" spans="14:14" x14ac:dyDescent="0.2">
      <c r="N56" s="28" t="s">
        <v>170</v>
      </c>
    </row>
    <row r="57" spans="14:14" ht="17.25" x14ac:dyDescent="0.35">
      <c r="N57" s="28" t="s">
        <v>411</v>
      </c>
    </row>
    <row r="58" spans="14:14" x14ac:dyDescent="0.2">
      <c r="N58" s="28" t="s">
        <v>168</v>
      </c>
    </row>
    <row r="59" spans="14:14" x14ac:dyDescent="0.2">
      <c r="N59" s="28" t="s">
        <v>156</v>
      </c>
    </row>
    <row r="60" spans="14:14" x14ac:dyDescent="0.2">
      <c r="N60" s="28" t="s">
        <v>174</v>
      </c>
    </row>
    <row r="61" spans="14:14" x14ac:dyDescent="0.2">
      <c r="N61" s="28" t="s">
        <v>210</v>
      </c>
    </row>
    <row r="62" spans="14:14" x14ac:dyDescent="0.2">
      <c r="N62" s="28" t="s">
        <v>308</v>
      </c>
    </row>
    <row r="63" spans="14:14" x14ac:dyDescent="0.2">
      <c r="N63" s="28" t="s">
        <v>267</v>
      </c>
    </row>
    <row r="64" spans="14:14" x14ac:dyDescent="0.2">
      <c r="N64" s="28" t="s">
        <v>257</v>
      </c>
    </row>
    <row r="65" spans="14:14" x14ac:dyDescent="0.2">
      <c r="N65" s="28" t="s">
        <v>248</v>
      </c>
    </row>
    <row r="66" spans="14:14" x14ac:dyDescent="0.2">
      <c r="N66" s="28" t="s">
        <v>237</v>
      </c>
    </row>
    <row r="67" spans="14:14" x14ac:dyDescent="0.2">
      <c r="N67" s="28" t="s">
        <v>238</v>
      </c>
    </row>
    <row r="68" spans="14:14" x14ac:dyDescent="0.2">
      <c r="N68" s="28" t="s">
        <v>357</v>
      </c>
    </row>
    <row r="69" spans="14:14" ht="17.25" x14ac:dyDescent="0.35">
      <c r="N69" s="28" t="s">
        <v>412</v>
      </c>
    </row>
    <row r="70" spans="14:14" x14ac:dyDescent="0.2">
      <c r="N70" s="28" t="s">
        <v>276</v>
      </c>
    </row>
    <row r="71" spans="14:14" x14ac:dyDescent="0.2">
      <c r="N71" s="28" t="s">
        <v>330</v>
      </c>
    </row>
    <row r="72" spans="14:14" x14ac:dyDescent="0.2">
      <c r="N72" s="28" t="s">
        <v>301</v>
      </c>
    </row>
    <row r="73" spans="14:14" x14ac:dyDescent="0.2">
      <c r="N73" s="28" t="s">
        <v>302</v>
      </c>
    </row>
    <row r="74" spans="14:14" x14ac:dyDescent="0.2">
      <c r="N74" s="28" t="s">
        <v>289</v>
      </c>
    </row>
    <row r="75" spans="14:14" ht="17.25" x14ac:dyDescent="0.35">
      <c r="N75" s="28" t="s">
        <v>413</v>
      </c>
    </row>
    <row r="76" spans="14:14" x14ac:dyDescent="0.2">
      <c r="N76" s="28" t="s">
        <v>291</v>
      </c>
    </row>
    <row r="77" spans="14:14" x14ac:dyDescent="0.2">
      <c r="N77" s="28" t="s">
        <v>294</v>
      </c>
    </row>
    <row r="78" spans="14:14" x14ac:dyDescent="0.2">
      <c r="N78" s="28" t="s">
        <v>299</v>
      </c>
    </row>
    <row r="79" spans="14:14" x14ac:dyDescent="0.2">
      <c r="N79" s="28" t="s">
        <v>231</v>
      </c>
    </row>
    <row r="80" spans="14:14" x14ac:dyDescent="0.2">
      <c r="N80" s="28" t="s">
        <v>297</v>
      </c>
    </row>
    <row r="81" spans="14:14" x14ac:dyDescent="0.2">
      <c r="N81" s="28" t="s">
        <v>182</v>
      </c>
    </row>
    <row r="82" spans="14:14" x14ac:dyDescent="0.2">
      <c r="N82" s="28" t="s">
        <v>217</v>
      </c>
    </row>
    <row r="83" spans="14:14" x14ac:dyDescent="0.2">
      <c r="N83" s="28" t="s">
        <v>216</v>
      </c>
    </row>
    <row r="84" spans="14:14" x14ac:dyDescent="0.2">
      <c r="N84" s="28" t="s">
        <v>220</v>
      </c>
    </row>
    <row r="85" spans="14:14" x14ac:dyDescent="0.2">
      <c r="N85" s="28" t="s">
        <v>336</v>
      </c>
    </row>
    <row r="86" spans="14:14" x14ac:dyDescent="0.2">
      <c r="N86" s="28" t="s">
        <v>317</v>
      </c>
    </row>
    <row r="87" spans="14:14" x14ac:dyDescent="0.2">
      <c r="N87" s="28" t="s">
        <v>176</v>
      </c>
    </row>
    <row r="88" spans="14:14" x14ac:dyDescent="0.2">
      <c r="N88" s="28" t="s">
        <v>150</v>
      </c>
    </row>
    <row r="89" spans="14:14" x14ac:dyDescent="0.2">
      <c r="N89" s="28" t="s">
        <v>135</v>
      </c>
    </row>
    <row r="90" spans="14:14" ht="17.25" x14ac:dyDescent="0.35">
      <c r="N90" s="28" t="s">
        <v>414</v>
      </c>
    </row>
    <row r="91" spans="14:14" x14ac:dyDescent="0.2">
      <c r="N91" s="28" t="s">
        <v>116</v>
      </c>
    </row>
    <row r="92" spans="14:14" x14ac:dyDescent="0.2">
      <c r="N92" s="28" t="s">
        <v>133</v>
      </c>
    </row>
    <row r="93" spans="14:14" x14ac:dyDescent="0.2">
      <c r="N93" s="28" t="s">
        <v>259</v>
      </c>
    </row>
    <row r="94" spans="14:14" ht="17.25" x14ac:dyDescent="0.35">
      <c r="N94" s="28" t="s">
        <v>415</v>
      </c>
    </row>
    <row r="95" spans="14:14" ht="17.25" x14ac:dyDescent="0.35">
      <c r="N95" s="28" t="s">
        <v>416</v>
      </c>
    </row>
    <row r="96" spans="14:14" ht="17.25" x14ac:dyDescent="0.35">
      <c r="N96" s="28" t="s">
        <v>417</v>
      </c>
    </row>
    <row r="97" spans="14:14" x14ac:dyDescent="0.2">
      <c r="N97" s="28" t="s">
        <v>360</v>
      </c>
    </row>
    <row r="98" spans="14:14" x14ac:dyDescent="0.2">
      <c r="N98" s="28" t="s">
        <v>333</v>
      </c>
    </row>
    <row r="99" spans="14:14" x14ac:dyDescent="0.2">
      <c r="N99" s="28" t="s">
        <v>354</v>
      </c>
    </row>
    <row r="100" spans="14:14" x14ac:dyDescent="0.2">
      <c r="N100" s="28" t="s">
        <v>324</v>
      </c>
    </row>
    <row r="101" spans="14:14" x14ac:dyDescent="0.2">
      <c r="N101" s="28" t="s">
        <v>345</v>
      </c>
    </row>
    <row r="102" spans="14:14" x14ac:dyDescent="0.2">
      <c r="N102" s="28" t="s">
        <v>243</v>
      </c>
    </row>
    <row r="103" spans="14:14" ht="17.25" x14ac:dyDescent="0.35">
      <c r="N103" s="28" t="s">
        <v>418</v>
      </c>
    </row>
    <row r="104" spans="14:14" x14ac:dyDescent="0.2">
      <c r="N104" s="28" t="s">
        <v>304</v>
      </c>
    </row>
    <row r="105" spans="14:14" x14ac:dyDescent="0.2">
      <c r="N105" s="28" t="s">
        <v>338</v>
      </c>
    </row>
    <row r="106" spans="14:14" x14ac:dyDescent="0.2">
      <c r="N106" s="28" t="s">
        <v>214</v>
      </c>
    </row>
    <row r="107" spans="14:14" x14ac:dyDescent="0.2">
      <c r="N107" s="28" t="s">
        <v>141</v>
      </c>
    </row>
    <row r="108" spans="14:14" x14ac:dyDescent="0.2">
      <c r="N108" s="28" t="s">
        <v>327</v>
      </c>
    </row>
    <row r="109" spans="14:14" x14ac:dyDescent="0.2">
      <c r="N109" s="28" t="s">
        <v>223</v>
      </c>
    </row>
    <row r="110" spans="14:14" x14ac:dyDescent="0.2">
      <c r="N110" s="28" t="s">
        <v>264</v>
      </c>
    </row>
    <row r="111" spans="14:14" x14ac:dyDescent="0.2">
      <c r="N111" s="28" t="s">
        <v>254</v>
      </c>
    </row>
    <row r="112" spans="14:14" x14ac:dyDescent="0.2">
      <c r="N112" s="28" t="s">
        <v>284</v>
      </c>
    </row>
    <row r="113" spans="14:14" x14ac:dyDescent="0.2">
      <c r="N113" s="28" t="s">
        <v>281</v>
      </c>
    </row>
    <row r="114" spans="14:14" x14ac:dyDescent="0.2">
      <c r="N114" s="28" t="s">
        <v>232</v>
      </c>
    </row>
    <row r="115" spans="14:14" x14ac:dyDescent="0.2">
      <c r="N115" s="28" t="s">
        <v>347</v>
      </c>
    </row>
    <row r="116" spans="14:14" x14ac:dyDescent="0.2">
      <c r="N116" s="28" t="s">
        <v>296</v>
      </c>
    </row>
  </sheetData>
  <printOptions horizontalCentered="1"/>
  <pageMargins left="0.4" right="0.4" top="0.5" bottom="0.5" header="0.25" footer="0.25"/>
  <pageSetup paperSize="9" orientation="landscape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  <pageSetUpPr fitToPage="1"/>
  </sheetPr>
  <dimension ref="A1:AG141"/>
  <sheetViews>
    <sheetView zoomScale="90" zoomScaleNormal="90" workbookViewId="0">
      <pane xSplit="2" ySplit="4" topLeftCell="C5" activePane="bottomRight" state="frozen"/>
      <selection pane="bottomLeft" activeCell="A5" sqref="A5"/>
      <selection pane="topRight" activeCell="C1" sqref="C1"/>
      <selection pane="bottomRight"/>
    </sheetView>
  </sheetViews>
  <sheetFormatPr defaultColWidth="8.7421875" defaultRowHeight="15" x14ac:dyDescent="0.2"/>
  <cols>
    <col min="1" max="1" width="6.05078125" customWidth="1"/>
    <col min="2" max="2" width="3.49609375" customWidth="1"/>
    <col min="3" max="32" width="6.3203125" customWidth="1"/>
    <col min="33" max="33" width="34.03125" customWidth="1"/>
  </cols>
  <sheetData>
    <row r="1" spans="1:33" ht="18.75" x14ac:dyDescent="0.25">
      <c r="A1" s="3" t="s">
        <v>419</v>
      </c>
    </row>
    <row r="2" spans="1:33" ht="16.5" x14ac:dyDescent="0.3">
      <c r="A2" s="15" t="s">
        <v>420</v>
      </c>
    </row>
    <row r="4" spans="1:33" ht="48" customHeight="1" x14ac:dyDescent="0.2">
      <c r="A4" s="30" t="s">
        <v>105</v>
      </c>
      <c r="B4" s="30" t="s">
        <v>106</v>
      </c>
      <c r="C4" s="30" t="s">
        <v>368</v>
      </c>
      <c r="D4" s="30" t="s">
        <v>372</v>
      </c>
      <c r="E4" s="30" t="s">
        <v>375</v>
      </c>
      <c r="F4" s="30" t="s">
        <v>377</v>
      </c>
      <c r="G4" s="30" t="s">
        <v>380</v>
      </c>
      <c r="H4" s="30" t="s">
        <v>382</v>
      </c>
      <c r="I4" s="30" t="s">
        <v>384</v>
      </c>
      <c r="J4" s="30" t="s">
        <v>387</v>
      </c>
      <c r="K4" s="30" t="s">
        <v>389</v>
      </c>
      <c r="L4" s="30" t="s">
        <v>392</v>
      </c>
      <c r="M4" s="30" t="s">
        <v>394</v>
      </c>
      <c r="N4" s="30" t="s">
        <v>396</v>
      </c>
      <c r="O4" s="30" t="s">
        <v>94</v>
      </c>
      <c r="P4" s="30" t="s">
        <v>96</v>
      </c>
      <c r="Q4" s="30" t="s">
        <v>421</v>
      </c>
      <c r="R4" s="30" t="s">
        <v>422</v>
      </c>
      <c r="S4" s="30" t="s">
        <v>423</v>
      </c>
      <c r="T4" s="30" t="s">
        <v>424</v>
      </c>
      <c r="U4" s="30" t="s">
        <v>425</v>
      </c>
      <c r="V4" s="30" t="s">
        <v>426</v>
      </c>
      <c r="W4" s="30" t="s">
        <v>427</v>
      </c>
      <c r="X4" s="30" t="s">
        <v>428</v>
      </c>
      <c r="Y4" s="30" t="s">
        <v>429</v>
      </c>
      <c r="Z4" s="30" t="s">
        <v>430</v>
      </c>
      <c r="AA4" s="30" t="s">
        <v>431</v>
      </c>
      <c r="AB4" s="30" t="s">
        <v>432</v>
      </c>
      <c r="AC4" s="30" t="s">
        <v>433</v>
      </c>
      <c r="AD4" s="30" t="s">
        <v>434</v>
      </c>
      <c r="AE4" s="30" t="s">
        <v>435</v>
      </c>
      <c r="AF4" s="30" t="s">
        <v>436</v>
      </c>
      <c r="AG4" s="30" t="s">
        <v>437</v>
      </c>
    </row>
    <row r="5" spans="1:33" ht="15.75" x14ac:dyDescent="0.25">
      <c r="A5" s="31">
        <v>46132</v>
      </c>
      <c r="B5" s="32" t="str">
        <f>CHOOSE(WEEKDAY(A5),"日","月","火","水","木","金","土")</f>
        <v>月</v>
      </c>
      <c r="C5" s="33">
        <f>SUMIFS(台帳!$I$2:$I$2000,台帳!$A$2:$A$2000,$A5,台帳!$E$2:$E$2000,C$4)</f>
        <v>0</v>
      </c>
      <c r="D5" s="33">
        <f>SUMIFS(台帳!$I$2:$I$2000,台帳!$A$2:$A$2000,$A5,台帳!$E$2:$E$2000,D$4)</f>
        <v>2</v>
      </c>
      <c r="E5" s="33">
        <f>SUMIFS(台帳!$I$2:$I$2000,台帳!$A$2:$A$2000,$A5,台帳!$E$2:$E$2000,E$4)</f>
        <v>0</v>
      </c>
      <c r="F5" s="33">
        <f>SUMIFS(台帳!$I$2:$I$2000,台帳!$A$2:$A$2000,$A5,台帳!$E$2:$E$2000,F$4)</f>
        <v>0</v>
      </c>
      <c r="G5" s="33">
        <f>SUMIFS(台帳!$I$2:$I$2000,台帳!$A$2:$A$2000,$A5,台帳!$E$2:$E$2000,G$4)</f>
        <v>0</v>
      </c>
      <c r="H5" s="33">
        <f>SUMIFS(台帳!$I$2:$I$2000,台帳!$A$2:$A$2000,$A5,台帳!$E$2:$E$2000,H$4)</f>
        <v>0</v>
      </c>
      <c r="I5" s="33">
        <f>SUMIFS(台帳!$I$2:$I$2000,台帳!$A$2:$A$2000,$A5,台帳!$E$2:$E$2000,I$4)</f>
        <v>0</v>
      </c>
      <c r="J5" s="33">
        <f>SUMIFS(台帳!$I$2:$I$2000,台帳!$A$2:$A$2000,$A5,台帳!$E$2:$E$2000,J$4)</f>
        <v>0</v>
      </c>
      <c r="K5" s="33">
        <f>SUMIFS(台帳!$I$2:$I$2000,台帳!$A$2:$A$2000,$A5,台帳!$E$2:$E$2000,K$4)</f>
        <v>0</v>
      </c>
      <c r="L5" s="33">
        <f>SUMIFS(台帳!$I$2:$I$2000,台帳!$A$2:$A$2000,$A5,台帳!$E$2:$E$2000,L$4)</f>
        <v>0</v>
      </c>
      <c r="M5" s="33">
        <f>SUMIFS(台帳!$I$2:$I$2000,台帳!$A$2:$A$2000,$A5,台帳!$E$2:$E$2000,M$4)</f>
        <v>0</v>
      </c>
      <c r="N5" s="33">
        <f>SUMIFS(台帳!$I$2:$I$2000,台帳!$A$2:$A$2000,$A5,台帳!$E$2:$E$2000,N$4)</f>
        <v>0</v>
      </c>
      <c r="O5" s="33">
        <f>SUMIFS(台帳!$I$2:$I$2000,台帳!$A$2:$A$2000,$A5,台帳!$D$2:$D$2000,"自社")</f>
        <v>2</v>
      </c>
      <c r="P5" s="33">
        <f>SUMIFS(台帳!$I$2:$I$2000,台帳!$A$2:$A$2000,$A5,台帳!$D$2:$D$2000,"業者")</f>
        <v>0</v>
      </c>
      <c r="Q5" s="33">
        <f>SUM(C5:N5)</f>
        <v>2</v>
      </c>
      <c r="R5" s="33">
        <f>0+C5</f>
        <v>0</v>
      </c>
      <c r="S5" s="33">
        <f>0+D5</f>
        <v>2</v>
      </c>
      <c r="T5" s="33">
        <f>0+E5</f>
        <v>0</v>
      </c>
      <c r="U5" s="33">
        <f>0+F5</f>
        <v>0</v>
      </c>
      <c r="V5" s="33">
        <f>0+G5</f>
        <v>0</v>
      </c>
      <c r="W5" s="33">
        <f>0+H5</f>
        <v>0</v>
      </c>
      <c r="X5" s="33">
        <f>0+I5</f>
        <v>0</v>
      </c>
      <c r="Y5" s="33">
        <f>0+J5</f>
        <v>0</v>
      </c>
      <c r="Z5" s="33">
        <f>0+K5</f>
        <v>0</v>
      </c>
      <c r="AA5" s="33">
        <f>0+L5</f>
        <v>0</v>
      </c>
      <c r="AB5" s="33">
        <f>0+M5</f>
        <v>0</v>
      </c>
      <c r="AC5" s="33">
        <f>0+N5</f>
        <v>0</v>
      </c>
      <c r="AD5" s="33">
        <f>0+O5</f>
        <v>2</v>
      </c>
      <c r="AE5" s="33">
        <f>0+P5</f>
        <v>0</v>
      </c>
      <c r="AF5" s="33">
        <f>0+Q5</f>
        <v>2</v>
      </c>
      <c r="AG5" s="34" t="str">
        <f>IFERROR(INDEX(台帳!$H$2:$H$2000,MATCH($A5,台帳!$A$2:$A$2000,0)),"")</f>
        <v>敷地整地</v>
      </c>
    </row>
    <row r="6" spans="1:33" ht="15.75" x14ac:dyDescent="0.25">
      <c r="A6" s="31">
        <v>46133</v>
      </c>
      <c r="B6" s="32" t="str">
        <f>CHOOSE(WEEKDAY(A6),"日","月","火","水","木","金","土")</f>
        <v>火</v>
      </c>
      <c r="C6" s="33">
        <f>SUMIFS(台帳!$I$2:$I$2000,台帳!$A$2:$A$2000,$A6,台帳!$E$2:$E$2000,C$4)</f>
        <v>0</v>
      </c>
      <c r="D6" s="33">
        <f>SUMIFS(台帳!$I$2:$I$2000,台帳!$A$2:$A$2000,$A6,台帳!$E$2:$E$2000,D$4)</f>
        <v>2</v>
      </c>
      <c r="E6" s="33">
        <f>SUMIFS(台帳!$I$2:$I$2000,台帳!$A$2:$A$2000,$A6,台帳!$E$2:$E$2000,E$4)</f>
        <v>0</v>
      </c>
      <c r="F6" s="33">
        <f>SUMIFS(台帳!$I$2:$I$2000,台帳!$A$2:$A$2000,$A6,台帳!$E$2:$E$2000,F$4)</f>
        <v>0</v>
      </c>
      <c r="G6" s="33">
        <f>SUMIFS(台帳!$I$2:$I$2000,台帳!$A$2:$A$2000,$A6,台帳!$E$2:$E$2000,G$4)</f>
        <v>0</v>
      </c>
      <c r="H6" s="33">
        <f>SUMIFS(台帳!$I$2:$I$2000,台帳!$A$2:$A$2000,$A6,台帳!$E$2:$E$2000,H$4)</f>
        <v>0</v>
      </c>
      <c r="I6" s="33">
        <f>SUMIFS(台帳!$I$2:$I$2000,台帳!$A$2:$A$2000,$A6,台帳!$E$2:$E$2000,I$4)</f>
        <v>0</v>
      </c>
      <c r="J6" s="33">
        <f>SUMIFS(台帳!$I$2:$I$2000,台帳!$A$2:$A$2000,$A6,台帳!$E$2:$E$2000,J$4)</f>
        <v>0</v>
      </c>
      <c r="K6" s="33">
        <f>SUMIFS(台帳!$I$2:$I$2000,台帳!$A$2:$A$2000,$A6,台帳!$E$2:$E$2000,K$4)</f>
        <v>0</v>
      </c>
      <c r="L6" s="33">
        <f>SUMIFS(台帳!$I$2:$I$2000,台帳!$A$2:$A$2000,$A6,台帳!$E$2:$E$2000,L$4)</f>
        <v>0</v>
      </c>
      <c r="M6" s="33">
        <f>SUMIFS(台帳!$I$2:$I$2000,台帳!$A$2:$A$2000,$A6,台帳!$E$2:$E$2000,M$4)</f>
        <v>0</v>
      </c>
      <c r="N6" s="33">
        <f>SUMIFS(台帳!$I$2:$I$2000,台帳!$A$2:$A$2000,$A6,台帳!$E$2:$E$2000,N$4)</f>
        <v>0</v>
      </c>
      <c r="O6" s="33">
        <f>SUMIFS(台帳!$I$2:$I$2000,台帳!$A$2:$A$2000,$A6,台帳!$D$2:$D$2000,"自社")</f>
        <v>2</v>
      </c>
      <c r="P6" s="33">
        <f>SUMIFS(台帳!$I$2:$I$2000,台帳!$A$2:$A$2000,$A6,台帳!$D$2:$D$2000,"業者")</f>
        <v>0</v>
      </c>
      <c r="Q6" s="33">
        <f>SUM(C6:N6)</f>
        <v>2</v>
      </c>
      <c r="R6" s="33">
        <f>R5+C6</f>
        <v>0</v>
      </c>
      <c r="S6" s="33">
        <f>S5+D6</f>
        <v>4</v>
      </c>
      <c r="T6" s="33">
        <f>T5+E6</f>
        <v>0</v>
      </c>
      <c r="U6" s="33">
        <f>U5+F6</f>
        <v>0</v>
      </c>
      <c r="V6" s="33">
        <f>V5+G6</f>
        <v>0</v>
      </c>
      <c r="W6" s="33">
        <f>W5+H6</f>
        <v>0</v>
      </c>
      <c r="X6" s="33">
        <f>X5+I6</f>
        <v>0</v>
      </c>
      <c r="Y6" s="33">
        <f>Y5+J6</f>
        <v>0</v>
      </c>
      <c r="Z6" s="33">
        <f>Z5+K6</f>
        <v>0</v>
      </c>
      <c r="AA6" s="33">
        <f>AA5+L6</f>
        <v>0</v>
      </c>
      <c r="AB6" s="33">
        <f>AB5+M6</f>
        <v>0</v>
      </c>
      <c r="AC6" s="33">
        <f>AC5+N6</f>
        <v>0</v>
      </c>
      <c r="AD6" s="33">
        <f>AD5+O6</f>
        <v>4</v>
      </c>
      <c r="AE6" s="33">
        <f>AE5+P6</f>
        <v>0</v>
      </c>
      <c r="AF6" s="33">
        <f>AF5+Q6</f>
        <v>4</v>
      </c>
      <c r="AG6" s="34" t="str">
        <f>IFERROR(INDEX(台帳!$H$2:$H$2000,MATCH($A6,台帳!$A$2:$A$2000,0)),"")</f>
        <v>敷地整地</v>
      </c>
    </row>
    <row r="7" spans="1:33" ht="15.75" x14ac:dyDescent="0.25">
      <c r="A7" s="31">
        <v>46134</v>
      </c>
      <c r="B7" s="32" t="str">
        <f>CHOOSE(WEEKDAY(A7),"日","月","火","水","木","金","土")</f>
        <v>水</v>
      </c>
      <c r="C7" s="33">
        <f>SUMIFS(台帳!$I$2:$I$2000,台帳!$A$2:$A$2000,$A7,台帳!$E$2:$E$2000,C$4)</f>
        <v>0</v>
      </c>
      <c r="D7" s="33">
        <f>SUMIFS(台帳!$I$2:$I$2000,台帳!$A$2:$A$2000,$A7,台帳!$E$2:$E$2000,D$4)</f>
        <v>3</v>
      </c>
      <c r="E7" s="33">
        <f>SUMIFS(台帳!$I$2:$I$2000,台帳!$A$2:$A$2000,$A7,台帳!$E$2:$E$2000,E$4)</f>
        <v>0</v>
      </c>
      <c r="F7" s="33">
        <f>SUMIFS(台帳!$I$2:$I$2000,台帳!$A$2:$A$2000,$A7,台帳!$E$2:$E$2000,F$4)</f>
        <v>0</v>
      </c>
      <c r="G7" s="33">
        <f>SUMIFS(台帳!$I$2:$I$2000,台帳!$A$2:$A$2000,$A7,台帳!$E$2:$E$2000,G$4)</f>
        <v>0</v>
      </c>
      <c r="H7" s="33">
        <f>SUMIFS(台帳!$I$2:$I$2000,台帳!$A$2:$A$2000,$A7,台帳!$E$2:$E$2000,H$4)</f>
        <v>0</v>
      </c>
      <c r="I7" s="33">
        <f>SUMIFS(台帳!$I$2:$I$2000,台帳!$A$2:$A$2000,$A7,台帳!$E$2:$E$2000,I$4)</f>
        <v>0</v>
      </c>
      <c r="J7" s="33">
        <f>SUMIFS(台帳!$I$2:$I$2000,台帳!$A$2:$A$2000,$A7,台帳!$E$2:$E$2000,J$4)</f>
        <v>0</v>
      </c>
      <c r="K7" s="33">
        <f>SUMIFS(台帳!$I$2:$I$2000,台帳!$A$2:$A$2000,$A7,台帳!$E$2:$E$2000,K$4)</f>
        <v>0</v>
      </c>
      <c r="L7" s="33">
        <f>SUMIFS(台帳!$I$2:$I$2000,台帳!$A$2:$A$2000,$A7,台帳!$E$2:$E$2000,L$4)</f>
        <v>0</v>
      </c>
      <c r="M7" s="33">
        <f>SUMIFS(台帳!$I$2:$I$2000,台帳!$A$2:$A$2000,$A7,台帳!$E$2:$E$2000,M$4)</f>
        <v>0</v>
      </c>
      <c r="N7" s="33">
        <f>SUMIFS(台帳!$I$2:$I$2000,台帳!$A$2:$A$2000,$A7,台帳!$E$2:$E$2000,N$4)</f>
        <v>0</v>
      </c>
      <c r="O7" s="33">
        <f>SUMIFS(台帳!$I$2:$I$2000,台帳!$A$2:$A$2000,$A7,台帳!$D$2:$D$2000,"自社")</f>
        <v>3</v>
      </c>
      <c r="P7" s="33">
        <f>SUMIFS(台帳!$I$2:$I$2000,台帳!$A$2:$A$2000,$A7,台帳!$D$2:$D$2000,"業者")</f>
        <v>0</v>
      </c>
      <c r="Q7" s="33">
        <f>SUM(C7:N7)</f>
        <v>3</v>
      </c>
      <c r="R7" s="33">
        <f>R6+C7</f>
        <v>0</v>
      </c>
      <c r="S7" s="33">
        <f>S6+D7</f>
        <v>7</v>
      </c>
      <c r="T7" s="33">
        <f>T6+E7</f>
        <v>0</v>
      </c>
      <c r="U7" s="33">
        <f>U6+F7</f>
        <v>0</v>
      </c>
      <c r="V7" s="33">
        <f>V6+G7</f>
        <v>0</v>
      </c>
      <c r="W7" s="33">
        <f>W6+H7</f>
        <v>0</v>
      </c>
      <c r="X7" s="33">
        <f>X6+I7</f>
        <v>0</v>
      </c>
      <c r="Y7" s="33">
        <f>Y6+J7</f>
        <v>0</v>
      </c>
      <c r="Z7" s="33">
        <f>Z6+K7</f>
        <v>0</v>
      </c>
      <c r="AA7" s="33">
        <f>AA6+L7</f>
        <v>0</v>
      </c>
      <c r="AB7" s="33">
        <f>AB6+M7</f>
        <v>0</v>
      </c>
      <c r="AC7" s="33">
        <f>AC6+N7</f>
        <v>0</v>
      </c>
      <c r="AD7" s="33">
        <f>AD6+O7</f>
        <v>7</v>
      </c>
      <c r="AE7" s="33">
        <f>AE6+P7</f>
        <v>0</v>
      </c>
      <c r="AF7" s="33">
        <f>AF6+Q7</f>
        <v>7</v>
      </c>
      <c r="AG7" s="34" t="str">
        <f>IFERROR(INDEX(台帳!$H$2:$H$2000,MATCH($A7,台帳!$A$2:$A$2000,0)),"")</f>
        <v>敷地整地</v>
      </c>
    </row>
    <row r="8" spans="1:33" ht="15.75" x14ac:dyDescent="0.25">
      <c r="A8" s="31">
        <v>46135</v>
      </c>
      <c r="B8" s="32" t="str">
        <f>CHOOSE(WEEKDAY(A8),"日","月","火","水","木","金","土")</f>
        <v>木</v>
      </c>
      <c r="C8" s="33">
        <f>SUMIFS(台帳!$I$2:$I$2000,台帳!$A$2:$A$2000,$A8,台帳!$E$2:$E$2000,C$4)</f>
        <v>0</v>
      </c>
      <c r="D8" s="33">
        <f>SUMIFS(台帳!$I$2:$I$2000,台帳!$A$2:$A$2000,$A8,台帳!$E$2:$E$2000,D$4)</f>
        <v>0</v>
      </c>
      <c r="E8" s="33">
        <f>SUMIFS(台帳!$I$2:$I$2000,台帳!$A$2:$A$2000,$A8,台帳!$E$2:$E$2000,E$4)</f>
        <v>0</v>
      </c>
      <c r="F8" s="33">
        <f>SUMIFS(台帳!$I$2:$I$2000,台帳!$A$2:$A$2000,$A8,台帳!$E$2:$E$2000,F$4)</f>
        <v>0</v>
      </c>
      <c r="G8" s="33">
        <f>SUMIFS(台帳!$I$2:$I$2000,台帳!$A$2:$A$2000,$A8,台帳!$E$2:$E$2000,G$4)</f>
        <v>0</v>
      </c>
      <c r="H8" s="33">
        <f>SUMIFS(台帳!$I$2:$I$2000,台帳!$A$2:$A$2000,$A8,台帳!$E$2:$E$2000,H$4)</f>
        <v>0</v>
      </c>
      <c r="I8" s="33">
        <f>SUMIFS(台帳!$I$2:$I$2000,台帳!$A$2:$A$2000,$A8,台帳!$E$2:$E$2000,I$4)</f>
        <v>0</v>
      </c>
      <c r="J8" s="33">
        <f>SUMIFS(台帳!$I$2:$I$2000,台帳!$A$2:$A$2000,$A8,台帳!$E$2:$E$2000,J$4)</f>
        <v>0</v>
      </c>
      <c r="K8" s="33">
        <f>SUMIFS(台帳!$I$2:$I$2000,台帳!$A$2:$A$2000,$A8,台帳!$E$2:$E$2000,K$4)</f>
        <v>0</v>
      </c>
      <c r="L8" s="33">
        <f>SUMIFS(台帳!$I$2:$I$2000,台帳!$A$2:$A$2000,$A8,台帳!$E$2:$E$2000,L$4)</f>
        <v>0</v>
      </c>
      <c r="M8" s="33">
        <f>SUMIFS(台帳!$I$2:$I$2000,台帳!$A$2:$A$2000,$A8,台帳!$E$2:$E$2000,M$4)</f>
        <v>0</v>
      </c>
      <c r="N8" s="33">
        <f>SUMIFS(台帳!$I$2:$I$2000,台帳!$A$2:$A$2000,$A8,台帳!$E$2:$E$2000,N$4)</f>
        <v>0</v>
      </c>
      <c r="O8" s="33">
        <f>SUMIFS(台帳!$I$2:$I$2000,台帳!$A$2:$A$2000,$A8,台帳!$D$2:$D$2000,"自社")</f>
        <v>0</v>
      </c>
      <c r="P8" s="33">
        <f>SUMIFS(台帳!$I$2:$I$2000,台帳!$A$2:$A$2000,$A8,台帳!$D$2:$D$2000,"業者")</f>
        <v>0</v>
      </c>
      <c r="Q8" s="33">
        <f>SUM(C8:N8)</f>
        <v>0</v>
      </c>
      <c r="R8" s="33">
        <f>R7+C8</f>
        <v>0</v>
      </c>
      <c r="S8" s="33">
        <f>S7+D8</f>
        <v>7</v>
      </c>
      <c r="T8" s="33">
        <f>T7+E8</f>
        <v>0</v>
      </c>
      <c r="U8" s="33">
        <f>U7+F8</f>
        <v>0</v>
      </c>
      <c r="V8" s="33">
        <f>V7+G8</f>
        <v>0</v>
      </c>
      <c r="W8" s="33">
        <f>W7+H8</f>
        <v>0</v>
      </c>
      <c r="X8" s="33">
        <f>X7+I8</f>
        <v>0</v>
      </c>
      <c r="Y8" s="33">
        <f>Y7+J8</f>
        <v>0</v>
      </c>
      <c r="Z8" s="33">
        <f>Z7+K8</f>
        <v>0</v>
      </c>
      <c r="AA8" s="33">
        <f>AA7+L8</f>
        <v>0</v>
      </c>
      <c r="AB8" s="33">
        <f>AB7+M8</f>
        <v>0</v>
      </c>
      <c r="AC8" s="33">
        <f>AC7+N8</f>
        <v>0</v>
      </c>
      <c r="AD8" s="33">
        <f>AD7+O8</f>
        <v>7</v>
      </c>
      <c r="AE8" s="33">
        <f>AE7+P8</f>
        <v>0</v>
      </c>
      <c r="AF8" s="33">
        <f>AF7+Q8</f>
        <v>7</v>
      </c>
      <c r="AG8" s="34" t="str">
        <f>IFERROR(INDEX(台帳!$H$2:$H$2000,MATCH($A8,台帳!$A$2:$A$2000,0)),"")</f>
        <v/>
      </c>
    </row>
    <row r="9" spans="1:33" ht="15.75" x14ac:dyDescent="0.25">
      <c r="A9" s="31">
        <v>46136</v>
      </c>
      <c r="B9" s="32" t="str">
        <f>CHOOSE(WEEKDAY(A9),"日","月","火","水","木","金","土")</f>
        <v>金</v>
      </c>
      <c r="C9" s="33">
        <f>SUMIFS(台帳!$I$2:$I$2000,台帳!$A$2:$A$2000,$A9,台帳!$E$2:$E$2000,C$4)</f>
        <v>0</v>
      </c>
      <c r="D9" s="33">
        <f>SUMIFS(台帳!$I$2:$I$2000,台帳!$A$2:$A$2000,$A9,台帳!$E$2:$E$2000,D$4)</f>
        <v>0</v>
      </c>
      <c r="E9" s="33">
        <f>SUMIFS(台帳!$I$2:$I$2000,台帳!$A$2:$A$2000,$A9,台帳!$E$2:$E$2000,E$4)</f>
        <v>0</v>
      </c>
      <c r="F9" s="33">
        <f>SUMIFS(台帳!$I$2:$I$2000,台帳!$A$2:$A$2000,$A9,台帳!$E$2:$E$2000,F$4)</f>
        <v>0</v>
      </c>
      <c r="G9" s="33">
        <f>SUMIFS(台帳!$I$2:$I$2000,台帳!$A$2:$A$2000,$A9,台帳!$E$2:$E$2000,G$4)</f>
        <v>0</v>
      </c>
      <c r="H9" s="33">
        <f>SUMIFS(台帳!$I$2:$I$2000,台帳!$A$2:$A$2000,$A9,台帳!$E$2:$E$2000,H$4)</f>
        <v>0</v>
      </c>
      <c r="I9" s="33">
        <f>SUMIFS(台帳!$I$2:$I$2000,台帳!$A$2:$A$2000,$A9,台帳!$E$2:$E$2000,I$4)</f>
        <v>0</v>
      </c>
      <c r="J9" s="33">
        <f>SUMIFS(台帳!$I$2:$I$2000,台帳!$A$2:$A$2000,$A9,台帳!$E$2:$E$2000,J$4)</f>
        <v>0</v>
      </c>
      <c r="K9" s="33">
        <f>SUMIFS(台帳!$I$2:$I$2000,台帳!$A$2:$A$2000,$A9,台帳!$E$2:$E$2000,K$4)</f>
        <v>0</v>
      </c>
      <c r="L9" s="33">
        <f>SUMIFS(台帳!$I$2:$I$2000,台帳!$A$2:$A$2000,$A9,台帳!$E$2:$E$2000,L$4)</f>
        <v>0</v>
      </c>
      <c r="M9" s="33">
        <f>SUMIFS(台帳!$I$2:$I$2000,台帳!$A$2:$A$2000,$A9,台帳!$E$2:$E$2000,M$4)</f>
        <v>0</v>
      </c>
      <c r="N9" s="33">
        <f>SUMIFS(台帳!$I$2:$I$2000,台帳!$A$2:$A$2000,$A9,台帳!$E$2:$E$2000,N$4)</f>
        <v>0</v>
      </c>
      <c r="O9" s="33">
        <f>SUMIFS(台帳!$I$2:$I$2000,台帳!$A$2:$A$2000,$A9,台帳!$D$2:$D$2000,"自社")</f>
        <v>0</v>
      </c>
      <c r="P9" s="33">
        <f>SUMIFS(台帳!$I$2:$I$2000,台帳!$A$2:$A$2000,$A9,台帳!$D$2:$D$2000,"業者")</f>
        <v>0</v>
      </c>
      <c r="Q9" s="33">
        <f>SUM(C9:N9)</f>
        <v>0</v>
      </c>
      <c r="R9" s="33">
        <f>R8+C9</f>
        <v>0</v>
      </c>
      <c r="S9" s="33">
        <f>S8+D9</f>
        <v>7</v>
      </c>
      <c r="T9" s="33">
        <f>T8+E9</f>
        <v>0</v>
      </c>
      <c r="U9" s="33">
        <f>U8+F9</f>
        <v>0</v>
      </c>
      <c r="V9" s="33">
        <f>V8+G9</f>
        <v>0</v>
      </c>
      <c r="W9" s="33">
        <f>W8+H9</f>
        <v>0</v>
      </c>
      <c r="X9" s="33">
        <f>X8+I9</f>
        <v>0</v>
      </c>
      <c r="Y9" s="33">
        <f>Y8+J9</f>
        <v>0</v>
      </c>
      <c r="Z9" s="33">
        <f>Z8+K9</f>
        <v>0</v>
      </c>
      <c r="AA9" s="33">
        <f>AA8+L9</f>
        <v>0</v>
      </c>
      <c r="AB9" s="33">
        <f>AB8+M9</f>
        <v>0</v>
      </c>
      <c r="AC9" s="33">
        <f>AC8+N9</f>
        <v>0</v>
      </c>
      <c r="AD9" s="33">
        <f>AD8+O9</f>
        <v>7</v>
      </c>
      <c r="AE9" s="33">
        <f>AE8+P9</f>
        <v>0</v>
      </c>
      <c r="AF9" s="33">
        <f>AF8+Q9</f>
        <v>7</v>
      </c>
      <c r="AG9" s="34" t="str">
        <f>IFERROR(INDEX(台帳!$H$2:$H$2000,MATCH($A9,台帳!$A$2:$A$2000,0)),"")</f>
        <v/>
      </c>
    </row>
    <row r="10" spans="1:33" ht="15.75" x14ac:dyDescent="0.25">
      <c r="A10" s="35">
        <v>46137</v>
      </c>
      <c r="B10" s="36" t="str">
        <f>CHOOSE(WEEKDAY(A10),"日","月","火","水","木","金","土")</f>
        <v>土</v>
      </c>
      <c r="C10" s="37">
        <f>SUMIFS(台帳!$I$2:$I$2000,台帳!$A$2:$A$2000,$A10,台帳!$E$2:$E$2000,C$4)</f>
        <v>0</v>
      </c>
      <c r="D10" s="37">
        <f>SUMIFS(台帳!$I$2:$I$2000,台帳!$A$2:$A$2000,$A10,台帳!$E$2:$E$2000,D$4)</f>
        <v>0</v>
      </c>
      <c r="E10" s="37">
        <f>SUMIFS(台帳!$I$2:$I$2000,台帳!$A$2:$A$2000,$A10,台帳!$E$2:$E$2000,E$4)</f>
        <v>0</v>
      </c>
      <c r="F10" s="37">
        <f>SUMIFS(台帳!$I$2:$I$2000,台帳!$A$2:$A$2000,$A10,台帳!$E$2:$E$2000,F$4)</f>
        <v>0</v>
      </c>
      <c r="G10" s="37">
        <f>SUMIFS(台帳!$I$2:$I$2000,台帳!$A$2:$A$2000,$A10,台帳!$E$2:$E$2000,G$4)</f>
        <v>0</v>
      </c>
      <c r="H10" s="37">
        <f>SUMIFS(台帳!$I$2:$I$2000,台帳!$A$2:$A$2000,$A10,台帳!$E$2:$E$2000,H$4)</f>
        <v>0</v>
      </c>
      <c r="I10" s="37">
        <f>SUMIFS(台帳!$I$2:$I$2000,台帳!$A$2:$A$2000,$A10,台帳!$E$2:$E$2000,I$4)</f>
        <v>0</v>
      </c>
      <c r="J10" s="37">
        <f>SUMIFS(台帳!$I$2:$I$2000,台帳!$A$2:$A$2000,$A10,台帳!$E$2:$E$2000,J$4)</f>
        <v>0</v>
      </c>
      <c r="K10" s="37">
        <f>SUMIFS(台帳!$I$2:$I$2000,台帳!$A$2:$A$2000,$A10,台帳!$E$2:$E$2000,K$4)</f>
        <v>0</v>
      </c>
      <c r="L10" s="37">
        <f>SUMIFS(台帳!$I$2:$I$2000,台帳!$A$2:$A$2000,$A10,台帳!$E$2:$E$2000,L$4)</f>
        <v>0</v>
      </c>
      <c r="M10" s="37">
        <f>SUMIFS(台帳!$I$2:$I$2000,台帳!$A$2:$A$2000,$A10,台帳!$E$2:$E$2000,M$4)</f>
        <v>0</v>
      </c>
      <c r="N10" s="37">
        <f>SUMIFS(台帳!$I$2:$I$2000,台帳!$A$2:$A$2000,$A10,台帳!$E$2:$E$2000,N$4)</f>
        <v>0</v>
      </c>
      <c r="O10" s="37">
        <f>SUMIFS(台帳!$I$2:$I$2000,台帳!$A$2:$A$2000,$A10,台帳!$D$2:$D$2000,"自社")</f>
        <v>0</v>
      </c>
      <c r="P10" s="37">
        <f>SUMIFS(台帳!$I$2:$I$2000,台帳!$A$2:$A$2000,$A10,台帳!$D$2:$D$2000,"業者")</f>
        <v>0</v>
      </c>
      <c r="Q10" s="37">
        <f>SUM(C10:N10)</f>
        <v>0</v>
      </c>
      <c r="R10" s="37">
        <f>R9+C10</f>
        <v>0</v>
      </c>
      <c r="S10" s="37">
        <f>S9+D10</f>
        <v>7</v>
      </c>
      <c r="T10" s="37">
        <f>T9+E10</f>
        <v>0</v>
      </c>
      <c r="U10" s="37">
        <f>U9+F10</f>
        <v>0</v>
      </c>
      <c r="V10" s="37">
        <f>V9+G10</f>
        <v>0</v>
      </c>
      <c r="W10" s="37">
        <f>W9+H10</f>
        <v>0</v>
      </c>
      <c r="X10" s="37">
        <f>X9+I10</f>
        <v>0</v>
      </c>
      <c r="Y10" s="37">
        <f>Y9+J10</f>
        <v>0</v>
      </c>
      <c r="Z10" s="37">
        <f>Z9+K10</f>
        <v>0</v>
      </c>
      <c r="AA10" s="37">
        <f>AA9+L10</f>
        <v>0</v>
      </c>
      <c r="AB10" s="37">
        <f>AB9+M10</f>
        <v>0</v>
      </c>
      <c r="AC10" s="37">
        <f>AC9+N10</f>
        <v>0</v>
      </c>
      <c r="AD10" s="37">
        <f>AD9+O10</f>
        <v>7</v>
      </c>
      <c r="AE10" s="37">
        <f>AE9+P10</f>
        <v>0</v>
      </c>
      <c r="AF10" s="37">
        <f>AF9+Q10</f>
        <v>7</v>
      </c>
      <c r="AG10" s="38" t="str">
        <f>IFERROR(INDEX(台帳!$H$2:$H$2000,MATCH($A10,台帳!$A$2:$A$2000,0)),"")</f>
        <v/>
      </c>
    </row>
    <row r="11" spans="1:33" ht="15.75" x14ac:dyDescent="0.25">
      <c r="A11" s="35">
        <v>46138</v>
      </c>
      <c r="B11" s="36" t="str">
        <f>CHOOSE(WEEKDAY(A11),"日","月","火","水","木","金","土")</f>
        <v>日</v>
      </c>
      <c r="C11" s="37">
        <f>SUMIFS(台帳!$I$2:$I$2000,台帳!$A$2:$A$2000,$A11,台帳!$E$2:$E$2000,C$4)</f>
        <v>0</v>
      </c>
      <c r="D11" s="37">
        <f>SUMIFS(台帳!$I$2:$I$2000,台帳!$A$2:$A$2000,$A11,台帳!$E$2:$E$2000,D$4)</f>
        <v>0</v>
      </c>
      <c r="E11" s="37">
        <f>SUMIFS(台帳!$I$2:$I$2000,台帳!$A$2:$A$2000,$A11,台帳!$E$2:$E$2000,E$4)</f>
        <v>0</v>
      </c>
      <c r="F11" s="37">
        <f>SUMIFS(台帳!$I$2:$I$2000,台帳!$A$2:$A$2000,$A11,台帳!$E$2:$E$2000,F$4)</f>
        <v>0</v>
      </c>
      <c r="G11" s="37">
        <f>SUMIFS(台帳!$I$2:$I$2000,台帳!$A$2:$A$2000,$A11,台帳!$E$2:$E$2000,G$4)</f>
        <v>0</v>
      </c>
      <c r="H11" s="37">
        <f>SUMIFS(台帳!$I$2:$I$2000,台帳!$A$2:$A$2000,$A11,台帳!$E$2:$E$2000,H$4)</f>
        <v>0</v>
      </c>
      <c r="I11" s="37">
        <f>SUMIFS(台帳!$I$2:$I$2000,台帳!$A$2:$A$2000,$A11,台帳!$E$2:$E$2000,I$4)</f>
        <v>0</v>
      </c>
      <c r="J11" s="37">
        <f>SUMIFS(台帳!$I$2:$I$2000,台帳!$A$2:$A$2000,$A11,台帳!$E$2:$E$2000,J$4)</f>
        <v>0</v>
      </c>
      <c r="K11" s="37">
        <f>SUMIFS(台帳!$I$2:$I$2000,台帳!$A$2:$A$2000,$A11,台帳!$E$2:$E$2000,K$4)</f>
        <v>0</v>
      </c>
      <c r="L11" s="37">
        <f>SUMIFS(台帳!$I$2:$I$2000,台帳!$A$2:$A$2000,$A11,台帳!$E$2:$E$2000,L$4)</f>
        <v>0</v>
      </c>
      <c r="M11" s="37">
        <f>SUMIFS(台帳!$I$2:$I$2000,台帳!$A$2:$A$2000,$A11,台帳!$E$2:$E$2000,M$4)</f>
        <v>0</v>
      </c>
      <c r="N11" s="37">
        <f>SUMIFS(台帳!$I$2:$I$2000,台帳!$A$2:$A$2000,$A11,台帳!$E$2:$E$2000,N$4)</f>
        <v>0</v>
      </c>
      <c r="O11" s="37">
        <f>SUMIFS(台帳!$I$2:$I$2000,台帳!$A$2:$A$2000,$A11,台帳!$D$2:$D$2000,"自社")</f>
        <v>0</v>
      </c>
      <c r="P11" s="37">
        <f>SUMIFS(台帳!$I$2:$I$2000,台帳!$A$2:$A$2000,$A11,台帳!$D$2:$D$2000,"業者")</f>
        <v>0</v>
      </c>
      <c r="Q11" s="37">
        <f>SUM(C11:N11)</f>
        <v>0</v>
      </c>
      <c r="R11" s="37">
        <f>R10+C11</f>
        <v>0</v>
      </c>
      <c r="S11" s="37">
        <f>S10+D11</f>
        <v>7</v>
      </c>
      <c r="T11" s="37">
        <f>T10+E11</f>
        <v>0</v>
      </c>
      <c r="U11" s="37">
        <f>U10+F11</f>
        <v>0</v>
      </c>
      <c r="V11" s="37">
        <f>V10+G11</f>
        <v>0</v>
      </c>
      <c r="W11" s="37">
        <f>W10+H11</f>
        <v>0</v>
      </c>
      <c r="X11" s="37">
        <f>X10+I11</f>
        <v>0</v>
      </c>
      <c r="Y11" s="37">
        <f>Y10+J11</f>
        <v>0</v>
      </c>
      <c r="Z11" s="37">
        <f>Z10+K11</f>
        <v>0</v>
      </c>
      <c r="AA11" s="37">
        <f>AA10+L11</f>
        <v>0</v>
      </c>
      <c r="AB11" s="37">
        <f>AB10+M11</f>
        <v>0</v>
      </c>
      <c r="AC11" s="37">
        <f>AC10+N11</f>
        <v>0</v>
      </c>
      <c r="AD11" s="37">
        <f>AD10+O11</f>
        <v>7</v>
      </c>
      <c r="AE11" s="37">
        <f>AE10+P11</f>
        <v>0</v>
      </c>
      <c r="AF11" s="37">
        <f>AF10+Q11</f>
        <v>7</v>
      </c>
      <c r="AG11" s="38" t="str">
        <f>IFERROR(INDEX(台帳!$H$2:$H$2000,MATCH($A11,台帳!$A$2:$A$2000,0)),"")</f>
        <v/>
      </c>
    </row>
    <row r="12" spans="1:33" ht="15.75" x14ac:dyDescent="0.25">
      <c r="A12" s="31">
        <v>46139</v>
      </c>
      <c r="B12" s="32" t="str">
        <f>CHOOSE(WEEKDAY(A12),"日","月","火","水","木","金","土")</f>
        <v>月</v>
      </c>
      <c r="C12" s="33">
        <f>SUMIFS(台帳!$I$2:$I$2000,台帳!$A$2:$A$2000,$A12,台帳!$E$2:$E$2000,C$4)</f>
        <v>0</v>
      </c>
      <c r="D12" s="33">
        <f>SUMIFS(台帳!$I$2:$I$2000,台帳!$A$2:$A$2000,$A12,台帳!$E$2:$E$2000,D$4)</f>
        <v>0</v>
      </c>
      <c r="E12" s="33">
        <f>SUMIFS(台帳!$I$2:$I$2000,台帳!$A$2:$A$2000,$A12,台帳!$E$2:$E$2000,E$4)</f>
        <v>0</v>
      </c>
      <c r="F12" s="33">
        <f>SUMIFS(台帳!$I$2:$I$2000,台帳!$A$2:$A$2000,$A12,台帳!$E$2:$E$2000,F$4)</f>
        <v>0</v>
      </c>
      <c r="G12" s="33">
        <f>SUMIFS(台帳!$I$2:$I$2000,台帳!$A$2:$A$2000,$A12,台帳!$E$2:$E$2000,G$4)</f>
        <v>0</v>
      </c>
      <c r="H12" s="33">
        <f>SUMIFS(台帳!$I$2:$I$2000,台帳!$A$2:$A$2000,$A12,台帳!$E$2:$E$2000,H$4)</f>
        <v>0</v>
      </c>
      <c r="I12" s="33">
        <f>SUMIFS(台帳!$I$2:$I$2000,台帳!$A$2:$A$2000,$A12,台帳!$E$2:$E$2000,I$4)</f>
        <v>0</v>
      </c>
      <c r="J12" s="33">
        <f>SUMIFS(台帳!$I$2:$I$2000,台帳!$A$2:$A$2000,$A12,台帳!$E$2:$E$2000,J$4)</f>
        <v>0</v>
      </c>
      <c r="K12" s="33">
        <f>SUMIFS(台帳!$I$2:$I$2000,台帳!$A$2:$A$2000,$A12,台帳!$E$2:$E$2000,K$4)</f>
        <v>0</v>
      </c>
      <c r="L12" s="33">
        <f>SUMIFS(台帳!$I$2:$I$2000,台帳!$A$2:$A$2000,$A12,台帳!$E$2:$E$2000,L$4)</f>
        <v>0</v>
      </c>
      <c r="M12" s="33">
        <f>SUMIFS(台帳!$I$2:$I$2000,台帳!$A$2:$A$2000,$A12,台帳!$E$2:$E$2000,M$4)</f>
        <v>0</v>
      </c>
      <c r="N12" s="33">
        <f>SUMIFS(台帳!$I$2:$I$2000,台帳!$A$2:$A$2000,$A12,台帳!$E$2:$E$2000,N$4)</f>
        <v>0</v>
      </c>
      <c r="O12" s="33">
        <f>SUMIFS(台帳!$I$2:$I$2000,台帳!$A$2:$A$2000,$A12,台帳!$D$2:$D$2000,"自社")</f>
        <v>0</v>
      </c>
      <c r="P12" s="33">
        <f>SUMIFS(台帳!$I$2:$I$2000,台帳!$A$2:$A$2000,$A12,台帳!$D$2:$D$2000,"業者")</f>
        <v>0</v>
      </c>
      <c r="Q12" s="33">
        <f>SUM(C12:N12)</f>
        <v>0</v>
      </c>
      <c r="R12" s="33">
        <f>R11+C12</f>
        <v>0</v>
      </c>
      <c r="S12" s="33">
        <f>S11+D12</f>
        <v>7</v>
      </c>
      <c r="T12" s="33">
        <f>T11+E12</f>
        <v>0</v>
      </c>
      <c r="U12" s="33">
        <f>U11+F12</f>
        <v>0</v>
      </c>
      <c r="V12" s="33">
        <f>V11+G12</f>
        <v>0</v>
      </c>
      <c r="W12" s="33">
        <f>W11+H12</f>
        <v>0</v>
      </c>
      <c r="X12" s="33">
        <f>X11+I12</f>
        <v>0</v>
      </c>
      <c r="Y12" s="33">
        <f>Y11+J12</f>
        <v>0</v>
      </c>
      <c r="Z12" s="33">
        <f>Z11+K12</f>
        <v>0</v>
      </c>
      <c r="AA12" s="33">
        <f>AA11+L12</f>
        <v>0</v>
      </c>
      <c r="AB12" s="33">
        <f>AB11+M12</f>
        <v>0</v>
      </c>
      <c r="AC12" s="33">
        <f>AC11+N12</f>
        <v>0</v>
      </c>
      <c r="AD12" s="33">
        <f>AD11+O12</f>
        <v>7</v>
      </c>
      <c r="AE12" s="33">
        <f>AE11+P12</f>
        <v>0</v>
      </c>
      <c r="AF12" s="33">
        <f>AF11+Q12</f>
        <v>7</v>
      </c>
      <c r="AG12" s="34" t="str">
        <f>IFERROR(INDEX(台帳!$H$2:$H$2000,MATCH($A12,台帳!$A$2:$A$2000,0)),"")</f>
        <v/>
      </c>
    </row>
    <row r="13" spans="1:33" ht="15.75" x14ac:dyDescent="0.25">
      <c r="A13" s="31">
        <v>46140</v>
      </c>
      <c r="B13" s="32" t="str">
        <f>CHOOSE(WEEKDAY(A13),"日","月","火","水","木","金","土")</f>
        <v>火</v>
      </c>
      <c r="C13" s="33">
        <f>SUMIFS(台帳!$I$2:$I$2000,台帳!$A$2:$A$2000,$A13,台帳!$E$2:$E$2000,C$4)</f>
        <v>0</v>
      </c>
      <c r="D13" s="33">
        <f>SUMIFS(台帳!$I$2:$I$2000,台帳!$A$2:$A$2000,$A13,台帳!$E$2:$E$2000,D$4)</f>
        <v>0</v>
      </c>
      <c r="E13" s="33">
        <f>SUMIFS(台帳!$I$2:$I$2000,台帳!$A$2:$A$2000,$A13,台帳!$E$2:$E$2000,E$4)</f>
        <v>0</v>
      </c>
      <c r="F13" s="33">
        <f>SUMIFS(台帳!$I$2:$I$2000,台帳!$A$2:$A$2000,$A13,台帳!$E$2:$E$2000,F$4)</f>
        <v>0</v>
      </c>
      <c r="G13" s="33">
        <f>SUMIFS(台帳!$I$2:$I$2000,台帳!$A$2:$A$2000,$A13,台帳!$E$2:$E$2000,G$4)</f>
        <v>0</v>
      </c>
      <c r="H13" s="33">
        <f>SUMIFS(台帳!$I$2:$I$2000,台帳!$A$2:$A$2000,$A13,台帳!$E$2:$E$2000,H$4)</f>
        <v>0</v>
      </c>
      <c r="I13" s="33">
        <f>SUMIFS(台帳!$I$2:$I$2000,台帳!$A$2:$A$2000,$A13,台帳!$E$2:$E$2000,I$4)</f>
        <v>0</v>
      </c>
      <c r="J13" s="33">
        <f>SUMIFS(台帳!$I$2:$I$2000,台帳!$A$2:$A$2000,$A13,台帳!$E$2:$E$2000,J$4)</f>
        <v>0</v>
      </c>
      <c r="K13" s="33">
        <f>SUMIFS(台帳!$I$2:$I$2000,台帳!$A$2:$A$2000,$A13,台帳!$E$2:$E$2000,K$4)</f>
        <v>0</v>
      </c>
      <c r="L13" s="33">
        <f>SUMIFS(台帳!$I$2:$I$2000,台帳!$A$2:$A$2000,$A13,台帳!$E$2:$E$2000,L$4)</f>
        <v>0</v>
      </c>
      <c r="M13" s="33">
        <f>SUMIFS(台帳!$I$2:$I$2000,台帳!$A$2:$A$2000,$A13,台帳!$E$2:$E$2000,M$4)</f>
        <v>0</v>
      </c>
      <c r="N13" s="33">
        <f>SUMIFS(台帳!$I$2:$I$2000,台帳!$A$2:$A$2000,$A13,台帳!$E$2:$E$2000,N$4)</f>
        <v>0</v>
      </c>
      <c r="O13" s="33">
        <f>SUMIFS(台帳!$I$2:$I$2000,台帳!$A$2:$A$2000,$A13,台帳!$D$2:$D$2000,"自社")</f>
        <v>0</v>
      </c>
      <c r="P13" s="33">
        <f>SUMIFS(台帳!$I$2:$I$2000,台帳!$A$2:$A$2000,$A13,台帳!$D$2:$D$2000,"業者")</f>
        <v>0</v>
      </c>
      <c r="Q13" s="33">
        <f>SUM(C13:N13)</f>
        <v>0</v>
      </c>
      <c r="R13" s="33">
        <f>R12+C13</f>
        <v>0</v>
      </c>
      <c r="S13" s="33">
        <f>S12+D13</f>
        <v>7</v>
      </c>
      <c r="T13" s="33">
        <f>T12+E13</f>
        <v>0</v>
      </c>
      <c r="U13" s="33">
        <f>U12+F13</f>
        <v>0</v>
      </c>
      <c r="V13" s="33">
        <f>V12+G13</f>
        <v>0</v>
      </c>
      <c r="W13" s="33">
        <f>W12+H13</f>
        <v>0</v>
      </c>
      <c r="X13" s="33">
        <f>X12+I13</f>
        <v>0</v>
      </c>
      <c r="Y13" s="33">
        <f>Y12+J13</f>
        <v>0</v>
      </c>
      <c r="Z13" s="33">
        <f>Z12+K13</f>
        <v>0</v>
      </c>
      <c r="AA13" s="33">
        <f>AA12+L13</f>
        <v>0</v>
      </c>
      <c r="AB13" s="33">
        <f>AB12+M13</f>
        <v>0</v>
      </c>
      <c r="AC13" s="33">
        <f>AC12+N13</f>
        <v>0</v>
      </c>
      <c r="AD13" s="33">
        <f>AD12+O13</f>
        <v>7</v>
      </c>
      <c r="AE13" s="33">
        <f>AE12+P13</f>
        <v>0</v>
      </c>
      <c r="AF13" s="33">
        <f>AF12+Q13</f>
        <v>7</v>
      </c>
      <c r="AG13" s="34" t="str">
        <f>IFERROR(INDEX(台帳!$H$2:$H$2000,MATCH($A13,台帳!$A$2:$A$2000,0)),"")</f>
        <v/>
      </c>
    </row>
    <row r="14" spans="1:33" ht="15.75" x14ac:dyDescent="0.25">
      <c r="A14" s="31">
        <v>46141</v>
      </c>
      <c r="B14" s="32" t="str">
        <f>CHOOSE(WEEKDAY(A14),"日","月","火","水","木","金","土")</f>
        <v>水</v>
      </c>
      <c r="C14" s="33">
        <f>SUMIFS(台帳!$I$2:$I$2000,台帳!$A$2:$A$2000,$A14,台帳!$E$2:$E$2000,C$4)</f>
        <v>0</v>
      </c>
      <c r="D14" s="33">
        <f>SUMIFS(台帳!$I$2:$I$2000,台帳!$A$2:$A$2000,$A14,台帳!$E$2:$E$2000,D$4)</f>
        <v>0</v>
      </c>
      <c r="E14" s="33">
        <f>SUMIFS(台帳!$I$2:$I$2000,台帳!$A$2:$A$2000,$A14,台帳!$E$2:$E$2000,E$4)</f>
        <v>0</v>
      </c>
      <c r="F14" s="33">
        <f>SUMIFS(台帳!$I$2:$I$2000,台帳!$A$2:$A$2000,$A14,台帳!$E$2:$E$2000,F$4)</f>
        <v>0</v>
      </c>
      <c r="G14" s="33">
        <f>SUMIFS(台帳!$I$2:$I$2000,台帳!$A$2:$A$2000,$A14,台帳!$E$2:$E$2000,G$4)</f>
        <v>0</v>
      </c>
      <c r="H14" s="33">
        <f>SUMIFS(台帳!$I$2:$I$2000,台帳!$A$2:$A$2000,$A14,台帳!$E$2:$E$2000,H$4)</f>
        <v>0</v>
      </c>
      <c r="I14" s="33">
        <f>SUMIFS(台帳!$I$2:$I$2000,台帳!$A$2:$A$2000,$A14,台帳!$E$2:$E$2000,I$4)</f>
        <v>0</v>
      </c>
      <c r="J14" s="33">
        <f>SUMIFS(台帳!$I$2:$I$2000,台帳!$A$2:$A$2000,$A14,台帳!$E$2:$E$2000,J$4)</f>
        <v>0</v>
      </c>
      <c r="K14" s="33">
        <f>SUMIFS(台帳!$I$2:$I$2000,台帳!$A$2:$A$2000,$A14,台帳!$E$2:$E$2000,K$4)</f>
        <v>0</v>
      </c>
      <c r="L14" s="33">
        <f>SUMIFS(台帳!$I$2:$I$2000,台帳!$A$2:$A$2000,$A14,台帳!$E$2:$E$2000,L$4)</f>
        <v>0</v>
      </c>
      <c r="M14" s="33">
        <f>SUMIFS(台帳!$I$2:$I$2000,台帳!$A$2:$A$2000,$A14,台帳!$E$2:$E$2000,M$4)</f>
        <v>0</v>
      </c>
      <c r="N14" s="33">
        <f>SUMIFS(台帳!$I$2:$I$2000,台帳!$A$2:$A$2000,$A14,台帳!$E$2:$E$2000,N$4)</f>
        <v>0</v>
      </c>
      <c r="O14" s="33">
        <f>SUMIFS(台帳!$I$2:$I$2000,台帳!$A$2:$A$2000,$A14,台帳!$D$2:$D$2000,"自社")</f>
        <v>0</v>
      </c>
      <c r="P14" s="33">
        <f>SUMIFS(台帳!$I$2:$I$2000,台帳!$A$2:$A$2000,$A14,台帳!$D$2:$D$2000,"業者")</f>
        <v>0</v>
      </c>
      <c r="Q14" s="33">
        <f>SUM(C14:N14)</f>
        <v>0</v>
      </c>
      <c r="R14" s="33">
        <f>R13+C14</f>
        <v>0</v>
      </c>
      <c r="S14" s="33">
        <f>S13+D14</f>
        <v>7</v>
      </c>
      <c r="T14" s="33">
        <f>T13+E14</f>
        <v>0</v>
      </c>
      <c r="U14" s="33">
        <f>U13+F14</f>
        <v>0</v>
      </c>
      <c r="V14" s="33">
        <f>V13+G14</f>
        <v>0</v>
      </c>
      <c r="W14" s="33">
        <f>W13+H14</f>
        <v>0</v>
      </c>
      <c r="X14" s="33">
        <f>X13+I14</f>
        <v>0</v>
      </c>
      <c r="Y14" s="33">
        <f>Y13+J14</f>
        <v>0</v>
      </c>
      <c r="Z14" s="33">
        <f>Z13+K14</f>
        <v>0</v>
      </c>
      <c r="AA14" s="33">
        <f>AA13+L14</f>
        <v>0</v>
      </c>
      <c r="AB14" s="33">
        <f>AB13+M14</f>
        <v>0</v>
      </c>
      <c r="AC14" s="33">
        <f>AC13+N14</f>
        <v>0</v>
      </c>
      <c r="AD14" s="33">
        <f>AD13+O14</f>
        <v>7</v>
      </c>
      <c r="AE14" s="33">
        <f>AE13+P14</f>
        <v>0</v>
      </c>
      <c r="AF14" s="33">
        <f>AF13+Q14</f>
        <v>7</v>
      </c>
      <c r="AG14" s="34" t="str">
        <f>IFERROR(INDEX(台帳!$H$2:$H$2000,MATCH($A14,台帳!$A$2:$A$2000,0)),"")</f>
        <v/>
      </c>
    </row>
    <row r="15" spans="1:33" ht="15.75" x14ac:dyDescent="0.25">
      <c r="A15" s="31">
        <v>46142</v>
      </c>
      <c r="B15" s="32" t="str">
        <f>CHOOSE(WEEKDAY(A15),"日","月","火","水","木","金","土")</f>
        <v>木</v>
      </c>
      <c r="C15" s="33">
        <f>SUMIFS(台帳!$I$2:$I$2000,台帳!$A$2:$A$2000,$A15,台帳!$E$2:$E$2000,C$4)</f>
        <v>0</v>
      </c>
      <c r="D15" s="33">
        <f>SUMIFS(台帳!$I$2:$I$2000,台帳!$A$2:$A$2000,$A15,台帳!$E$2:$E$2000,D$4)</f>
        <v>0</v>
      </c>
      <c r="E15" s="33">
        <f>SUMIFS(台帳!$I$2:$I$2000,台帳!$A$2:$A$2000,$A15,台帳!$E$2:$E$2000,E$4)</f>
        <v>0</v>
      </c>
      <c r="F15" s="33">
        <f>SUMIFS(台帳!$I$2:$I$2000,台帳!$A$2:$A$2000,$A15,台帳!$E$2:$E$2000,F$4)</f>
        <v>0</v>
      </c>
      <c r="G15" s="33">
        <f>SUMIFS(台帳!$I$2:$I$2000,台帳!$A$2:$A$2000,$A15,台帳!$E$2:$E$2000,G$4)</f>
        <v>0</v>
      </c>
      <c r="H15" s="33">
        <f>SUMIFS(台帳!$I$2:$I$2000,台帳!$A$2:$A$2000,$A15,台帳!$E$2:$E$2000,H$4)</f>
        <v>0</v>
      </c>
      <c r="I15" s="33">
        <f>SUMIFS(台帳!$I$2:$I$2000,台帳!$A$2:$A$2000,$A15,台帳!$E$2:$E$2000,I$4)</f>
        <v>0</v>
      </c>
      <c r="J15" s="33">
        <f>SUMIFS(台帳!$I$2:$I$2000,台帳!$A$2:$A$2000,$A15,台帳!$E$2:$E$2000,J$4)</f>
        <v>0</v>
      </c>
      <c r="K15" s="33">
        <f>SUMIFS(台帳!$I$2:$I$2000,台帳!$A$2:$A$2000,$A15,台帳!$E$2:$E$2000,K$4)</f>
        <v>0</v>
      </c>
      <c r="L15" s="33">
        <f>SUMIFS(台帳!$I$2:$I$2000,台帳!$A$2:$A$2000,$A15,台帳!$E$2:$E$2000,L$4)</f>
        <v>0</v>
      </c>
      <c r="M15" s="33">
        <f>SUMIFS(台帳!$I$2:$I$2000,台帳!$A$2:$A$2000,$A15,台帳!$E$2:$E$2000,M$4)</f>
        <v>0</v>
      </c>
      <c r="N15" s="33">
        <f>SUMIFS(台帳!$I$2:$I$2000,台帳!$A$2:$A$2000,$A15,台帳!$E$2:$E$2000,N$4)</f>
        <v>0</v>
      </c>
      <c r="O15" s="33">
        <f>SUMIFS(台帳!$I$2:$I$2000,台帳!$A$2:$A$2000,$A15,台帳!$D$2:$D$2000,"自社")</f>
        <v>0</v>
      </c>
      <c r="P15" s="33">
        <f>SUMIFS(台帳!$I$2:$I$2000,台帳!$A$2:$A$2000,$A15,台帳!$D$2:$D$2000,"業者")</f>
        <v>0</v>
      </c>
      <c r="Q15" s="33">
        <f>SUM(C15:N15)</f>
        <v>0</v>
      </c>
      <c r="R15" s="33">
        <f>R14+C15</f>
        <v>0</v>
      </c>
      <c r="S15" s="33">
        <f>S14+D15</f>
        <v>7</v>
      </c>
      <c r="T15" s="33">
        <f>T14+E15</f>
        <v>0</v>
      </c>
      <c r="U15" s="33">
        <f>U14+F15</f>
        <v>0</v>
      </c>
      <c r="V15" s="33">
        <f>V14+G15</f>
        <v>0</v>
      </c>
      <c r="W15" s="33">
        <f>W14+H15</f>
        <v>0</v>
      </c>
      <c r="X15" s="33">
        <f>X14+I15</f>
        <v>0</v>
      </c>
      <c r="Y15" s="33">
        <f>Y14+J15</f>
        <v>0</v>
      </c>
      <c r="Z15" s="33">
        <f>Z14+K15</f>
        <v>0</v>
      </c>
      <c r="AA15" s="33">
        <f>AA14+L15</f>
        <v>0</v>
      </c>
      <c r="AB15" s="33">
        <f>AB14+M15</f>
        <v>0</v>
      </c>
      <c r="AC15" s="33">
        <f>AC14+N15</f>
        <v>0</v>
      </c>
      <c r="AD15" s="33">
        <f>AD14+O15</f>
        <v>7</v>
      </c>
      <c r="AE15" s="33">
        <f>AE14+P15</f>
        <v>0</v>
      </c>
      <c r="AF15" s="33">
        <f>AF14+Q15</f>
        <v>7</v>
      </c>
      <c r="AG15" s="34" t="str">
        <f>IFERROR(INDEX(台帳!$H$2:$H$2000,MATCH($A15,台帳!$A$2:$A$2000,0)),"")</f>
        <v/>
      </c>
    </row>
    <row r="16" spans="1:33" ht="15.75" x14ac:dyDescent="0.25">
      <c r="A16" s="31">
        <v>46143</v>
      </c>
      <c r="B16" s="32" t="str">
        <f>CHOOSE(WEEKDAY(A16),"日","月","火","水","木","金","土")</f>
        <v>金</v>
      </c>
      <c r="C16" s="33">
        <f>SUMIFS(台帳!$I$2:$I$2000,台帳!$A$2:$A$2000,$A16,台帳!$E$2:$E$2000,C$4)</f>
        <v>0</v>
      </c>
      <c r="D16" s="33">
        <f>SUMIFS(台帳!$I$2:$I$2000,台帳!$A$2:$A$2000,$A16,台帳!$E$2:$E$2000,D$4)</f>
        <v>0</v>
      </c>
      <c r="E16" s="33">
        <f>SUMIFS(台帳!$I$2:$I$2000,台帳!$A$2:$A$2000,$A16,台帳!$E$2:$E$2000,E$4)</f>
        <v>0</v>
      </c>
      <c r="F16" s="33">
        <f>SUMIFS(台帳!$I$2:$I$2000,台帳!$A$2:$A$2000,$A16,台帳!$E$2:$E$2000,F$4)</f>
        <v>0</v>
      </c>
      <c r="G16" s="33">
        <f>SUMIFS(台帳!$I$2:$I$2000,台帳!$A$2:$A$2000,$A16,台帳!$E$2:$E$2000,G$4)</f>
        <v>0</v>
      </c>
      <c r="H16" s="33">
        <f>SUMIFS(台帳!$I$2:$I$2000,台帳!$A$2:$A$2000,$A16,台帳!$E$2:$E$2000,H$4)</f>
        <v>0</v>
      </c>
      <c r="I16" s="33">
        <f>SUMIFS(台帳!$I$2:$I$2000,台帳!$A$2:$A$2000,$A16,台帳!$E$2:$E$2000,I$4)</f>
        <v>0</v>
      </c>
      <c r="J16" s="33">
        <f>SUMIFS(台帳!$I$2:$I$2000,台帳!$A$2:$A$2000,$A16,台帳!$E$2:$E$2000,J$4)</f>
        <v>0</v>
      </c>
      <c r="K16" s="33">
        <f>SUMIFS(台帳!$I$2:$I$2000,台帳!$A$2:$A$2000,$A16,台帳!$E$2:$E$2000,K$4)</f>
        <v>0</v>
      </c>
      <c r="L16" s="33">
        <f>SUMIFS(台帳!$I$2:$I$2000,台帳!$A$2:$A$2000,$A16,台帳!$E$2:$E$2000,L$4)</f>
        <v>0</v>
      </c>
      <c r="M16" s="33">
        <f>SUMIFS(台帳!$I$2:$I$2000,台帳!$A$2:$A$2000,$A16,台帳!$E$2:$E$2000,M$4)</f>
        <v>0</v>
      </c>
      <c r="N16" s="33">
        <f>SUMIFS(台帳!$I$2:$I$2000,台帳!$A$2:$A$2000,$A16,台帳!$E$2:$E$2000,N$4)</f>
        <v>0</v>
      </c>
      <c r="O16" s="33">
        <f>SUMIFS(台帳!$I$2:$I$2000,台帳!$A$2:$A$2000,$A16,台帳!$D$2:$D$2000,"自社")</f>
        <v>0</v>
      </c>
      <c r="P16" s="33">
        <f>SUMIFS(台帳!$I$2:$I$2000,台帳!$A$2:$A$2000,$A16,台帳!$D$2:$D$2000,"業者")</f>
        <v>0</v>
      </c>
      <c r="Q16" s="33">
        <f>SUM(C16:N16)</f>
        <v>0</v>
      </c>
      <c r="R16" s="33">
        <f>R15+C16</f>
        <v>0</v>
      </c>
      <c r="S16" s="33">
        <f>S15+D16</f>
        <v>7</v>
      </c>
      <c r="T16" s="33">
        <f>T15+E16</f>
        <v>0</v>
      </c>
      <c r="U16" s="33">
        <f>U15+F16</f>
        <v>0</v>
      </c>
      <c r="V16" s="33">
        <f>V15+G16</f>
        <v>0</v>
      </c>
      <c r="W16" s="33">
        <f>W15+H16</f>
        <v>0</v>
      </c>
      <c r="X16" s="33">
        <f>X15+I16</f>
        <v>0</v>
      </c>
      <c r="Y16" s="33">
        <f>Y15+J16</f>
        <v>0</v>
      </c>
      <c r="Z16" s="33">
        <f>Z15+K16</f>
        <v>0</v>
      </c>
      <c r="AA16" s="33">
        <f>AA15+L16</f>
        <v>0</v>
      </c>
      <c r="AB16" s="33">
        <f>AB15+M16</f>
        <v>0</v>
      </c>
      <c r="AC16" s="33">
        <f>AC15+N16</f>
        <v>0</v>
      </c>
      <c r="AD16" s="33">
        <f>AD15+O16</f>
        <v>7</v>
      </c>
      <c r="AE16" s="33">
        <f>AE15+P16</f>
        <v>0</v>
      </c>
      <c r="AF16" s="33">
        <f>AF15+Q16</f>
        <v>7</v>
      </c>
      <c r="AG16" s="34" t="str">
        <f>IFERROR(INDEX(台帳!$H$2:$H$2000,MATCH($A16,台帳!$A$2:$A$2000,0)),"")</f>
        <v/>
      </c>
    </row>
    <row r="17" spans="1:33" ht="15.75" x14ac:dyDescent="0.25">
      <c r="A17" s="35">
        <v>46144</v>
      </c>
      <c r="B17" s="36" t="str">
        <f>CHOOSE(WEEKDAY(A17),"日","月","火","水","木","金","土")</f>
        <v>土</v>
      </c>
      <c r="C17" s="37">
        <f>SUMIFS(台帳!$I$2:$I$2000,台帳!$A$2:$A$2000,$A17,台帳!$E$2:$E$2000,C$4)</f>
        <v>0</v>
      </c>
      <c r="D17" s="37">
        <f>SUMIFS(台帳!$I$2:$I$2000,台帳!$A$2:$A$2000,$A17,台帳!$E$2:$E$2000,D$4)</f>
        <v>0</v>
      </c>
      <c r="E17" s="37">
        <f>SUMIFS(台帳!$I$2:$I$2000,台帳!$A$2:$A$2000,$A17,台帳!$E$2:$E$2000,E$4)</f>
        <v>0</v>
      </c>
      <c r="F17" s="37">
        <f>SUMIFS(台帳!$I$2:$I$2000,台帳!$A$2:$A$2000,$A17,台帳!$E$2:$E$2000,F$4)</f>
        <v>0</v>
      </c>
      <c r="G17" s="37">
        <f>SUMIFS(台帳!$I$2:$I$2000,台帳!$A$2:$A$2000,$A17,台帳!$E$2:$E$2000,G$4)</f>
        <v>0</v>
      </c>
      <c r="H17" s="37">
        <f>SUMIFS(台帳!$I$2:$I$2000,台帳!$A$2:$A$2000,$A17,台帳!$E$2:$E$2000,H$4)</f>
        <v>0</v>
      </c>
      <c r="I17" s="37">
        <f>SUMIFS(台帳!$I$2:$I$2000,台帳!$A$2:$A$2000,$A17,台帳!$E$2:$E$2000,I$4)</f>
        <v>0</v>
      </c>
      <c r="J17" s="37">
        <f>SUMIFS(台帳!$I$2:$I$2000,台帳!$A$2:$A$2000,$A17,台帳!$E$2:$E$2000,J$4)</f>
        <v>0</v>
      </c>
      <c r="K17" s="37">
        <f>SUMIFS(台帳!$I$2:$I$2000,台帳!$A$2:$A$2000,$A17,台帳!$E$2:$E$2000,K$4)</f>
        <v>0</v>
      </c>
      <c r="L17" s="37">
        <f>SUMIFS(台帳!$I$2:$I$2000,台帳!$A$2:$A$2000,$A17,台帳!$E$2:$E$2000,L$4)</f>
        <v>0</v>
      </c>
      <c r="M17" s="37">
        <f>SUMIFS(台帳!$I$2:$I$2000,台帳!$A$2:$A$2000,$A17,台帳!$E$2:$E$2000,M$4)</f>
        <v>0</v>
      </c>
      <c r="N17" s="37">
        <f>SUMIFS(台帳!$I$2:$I$2000,台帳!$A$2:$A$2000,$A17,台帳!$E$2:$E$2000,N$4)</f>
        <v>0</v>
      </c>
      <c r="O17" s="37">
        <f>SUMIFS(台帳!$I$2:$I$2000,台帳!$A$2:$A$2000,$A17,台帳!$D$2:$D$2000,"自社")</f>
        <v>0</v>
      </c>
      <c r="P17" s="37">
        <f>SUMIFS(台帳!$I$2:$I$2000,台帳!$A$2:$A$2000,$A17,台帳!$D$2:$D$2000,"業者")</f>
        <v>0</v>
      </c>
      <c r="Q17" s="37">
        <f>SUM(C17:N17)</f>
        <v>0</v>
      </c>
      <c r="R17" s="37">
        <f>R16+C17</f>
        <v>0</v>
      </c>
      <c r="S17" s="37">
        <f>S16+D17</f>
        <v>7</v>
      </c>
      <c r="T17" s="37">
        <f>T16+E17</f>
        <v>0</v>
      </c>
      <c r="U17" s="37">
        <f>U16+F17</f>
        <v>0</v>
      </c>
      <c r="V17" s="37">
        <f>V16+G17</f>
        <v>0</v>
      </c>
      <c r="W17" s="37">
        <f>W16+H17</f>
        <v>0</v>
      </c>
      <c r="X17" s="37">
        <f>X16+I17</f>
        <v>0</v>
      </c>
      <c r="Y17" s="37">
        <f>Y16+J17</f>
        <v>0</v>
      </c>
      <c r="Z17" s="37">
        <f>Z16+K17</f>
        <v>0</v>
      </c>
      <c r="AA17" s="37">
        <f>AA16+L17</f>
        <v>0</v>
      </c>
      <c r="AB17" s="37">
        <f>AB16+M17</f>
        <v>0</v>
      </c>
      <c r="AC17" s="37">
        <f>AC16+N17</f>
        <v>0</v>
      </c>
      <c r="AD17" s="37">
        <f>AD16+O17</f>
        <v>7</v>
      </c>
      <c r="AE17" s="37">
        <f>AE16+P17</f>
        <v>0</v>
      </c>
      <c r="AF17" s="37">
        <f>AF16+Q17</f>
        <v>7</v>
      </c>
      <c r="AG17" s="38" t="str">
        <f>IFERROR(INDEX(台帳!$H$2:$H$2000,MATCH($A17,台帳!$A$2:$A$2000,0)),"")</f>
        <v/>
      </c>
    </row>
    <row r="18" spans="1:33" ht="15.75" x14ac:dyDescent="0.25">
      <c r="A18" s="35">
        <v>46145</v>
      </c>
      <c r="B18" s="36" t="str">
        <f>CHOOSE(WEEKDAY(A18),"日","月","火","水","木","金","土")</f>
        <v>日</v>
      </c>
      <c r="C18" s="37">
        <f>SUMIFS(台帳!$I$2:$I$2000,台帳!$A$2:$A$2000,$A18,台帳!$E$2:$E$2000,C$4)</f>
        <v>0</v>
      </c>
      <c r="D18" s="37">
        <f>SUMIFS(台帳!$I$2:$I$2000,台帳!$A$2:$A$2000,$A18,台帳!$E$2:$E$2000,D$4)</f>
        <v>0</v>
      </c>
      <c r="E18" s="37">
        <f>SUMIFS(台帳!$I$2:$I$2000,台帳!$A$2:$A$2000,$A18,台帳!$E$2:$E$2000,E$4)</f>
        <v>0</v>
      </c>
      <c r="F18" s="37">
        <f>SUMIFS(台帳!$I$2:$I$2000,台帳!$A$2:$A$2000,$A18,台帳!$E$2:$E$2000,F$4)</f>
        <v>0</v>
      </c>
      <c r="G18" s="37">
        <f>SUMIFS(台帳!$I$2:$I$2000,台帳!$A$2:$A$2000,$A18,台帳!$E$2:$E$2000,G$4)</f>
        <v>0</v>
      </c>
      <c r="H18" s="37">
        <f>SUMIFS(台帳!$I$2:$I$2000,台帳!$A$2:$A$2000,$A18,台帳!$E$2:$E$2000,H$4)</f>
        <v>0</v>
      </c>
      <c r="I18" s="37">
        <f>SUMIFS(台帳!$I$2:$I$2000,台帳!$A$2:$A$2000,$A18,台帳!$E$2:$E$2000,I$4)</f>
        <v>0</v>
      </c>
      <c r="J18" s="37">
        <f>SUMIFS(台帳!$I$2:$I$2000,台帳!$A$2:$A$2000,$A18,台帳!$E$2:$E$2000,J$4)</f>
        <v>0</v>
      </c>
      <c r="K18" s="37">
        <f>SUMIFS(台帳!$I$2:$I$2000,台帳!$A$2:$A$2000,$A18,台帳!$E$2:$E$2000,K$4)</f>
        <v>0</v>
      </c>
      <c r="L18" s="37">
        <f>SUMIFS(台帳!$I$2:$I$2000,台帳!$A$2:$A$2000,$A18,台帳!$E$2:$E$2000,L$4)</f>
        <v>0</v>
      </c>
      <c r="M18" s="37">
        <f>SUMIFS(台帳!$I$2:$I$2000,台帳!$A$2:$A$2000,$A18,台帳!$E$2:$E$2000,M$4)</f>
        <v>0</v>
      </c>
      <c r="N18" s="37">
        <f>SUMIFS(台帳!$I$2:$I$2000,台帳!$A$2:$A$2000,$A18,台帳!$E$2:$E$2000,N$4)</f>
        <v>0</v>
      </c>
      <c r="O18" s="37">
        <f>SUMIFS(台帳!$I$2:$I$2000,台帳!$A$2:$A$2000,$A18,台帳!$D$2:$D$2000,"自社")</f>
        <v>0</v>
      </c>
      <c r="P18" s="37">
        <f>SUMIFS(台帳!$I$2:$I$2000,台帳!$A$2:$A$2000,$A18,台帳!$D$2:$D$2000,"業者")</f>
        <v>0</v>
      </c>
      <c r="Q18" s="37">
        <f>SUM(C18:N18)</f>
        <v>0</v>
      </c>
      <c r="R18" s="37">
        <f>R17+C18</f>
        <v>0</v>
      </c>
      <c r="S18" s="37">
        <f>S17+D18</f>
        <v>7</v>
      </c>
      <c r="T18" s="37">
        <f>T17+E18</f>
        <v>0</v>
      </c>
      <c r="U18" s="37">
        <f>U17+F18</f>
        <v>0</v>
      </c>
      <c r="V18" s="37">
        <f>V17+G18</f>
        <v>0</v>
      </c>
      <c r="W18" s="37">
        <f>W17+H18</f>
        <v>0</v>
      </c>
      <c r="X18" s="37">
        <f>X17+I18</f>
        <v>0</v>
      </c>
      <c r="Y18" s="37">
        <f>Y17+J18</f>
        <v>0</v>
      </c>
      <c r="Z18" s="37">
        <f>Z17+K18</f>
        <v>0</v>
      </c>
      <c r="AA18" s="37">
        <f>AA17+L18</f>
        <v>0</v>
      </c>
      <c r="AB18" s="37">
        <f>AB17+M18</f>
        <v>0</v>
      </c>
      <c r="AC18" s="37">
        <f>AC17+N18</f>
        <v>0</v>
      </c>
      <c r="AD18" s="37">
        <f>AD17+O18</f>
        <v>7</v>
      </c>
      <c r="AE18" s="37">
        <f>AE17+P18</f>
        <v>0</v>
      </c>
      <c r="AF18" s="37">
        <f>AF17+Q18</f>
        <v>7</v>
      </c>
      <c r="AG18" s="38" t="str">
        <f>IFERROR(INDEX(台帳!$H$2:$H$2000,MATCH($A18,台帳!$A$2:$A$2000,0)),"")</f>
        <v/>
      </c>
    </row>
    <row r="19" spans="1:33" ht="15.75" x14ac:dyDescent="0.25">
      <c r="A19" s="31">
        <v>46146</v>
      </c>
      <c r="B19" s="32" t="str">
        <f>CHOOSE(WEEKDAY(A19),"日","月","火","水","木","金","土")</f>
        <v>月</v>
      </c>
      <c r="C19" s="33">
        <f>SUMIFS(台帳!$I$2:$I$2000,台帳!$A$2:$A$2000,$A19,台帳!$E$2:$E$2000,C$4)</f>
        <v>0</v>
      </c>
      <c r="D19" s="33">
        <f>SUMIFS(台帳!$I$2:$I$2000,台帳!$A$2:$A$2000,$A19,台帳!$E$2:$E$2000,D$4)</f>
        <v>0</v>
      </c>
      <c r="E19" s="33">
        <f>SUMIFS(台帳!$I$2:$I$2000,台帳!$A$2:$A$2000,$A19,台帳!$E$2:$E$2000,E$4)</f>
        <v>0</v>
      </c>
      <c r="F19" s="33">
        <f>SUMIFS(台帳!$I$2:$I$2000,台帳!$A$2:$A$2000,$A19,台帳!$E$2:$E$2000,F$4)</f>
        <v>0</v>
      </c>
      <c r="G19" s="33">
        <f>SUMIFS(台帳!$I$2:$I$2000,台帳!$A$2:$A$2000,$A19,台帳!$E$2:$E$2000,G$4)</f>
        <v>0</v>
      </c>
      <c r="H19" s="33">
        <f>SUMIFS(台帳!$I$2:$I$2000,台帳!$A$2:$A$2000,$A19,台帳!$E$2:$E$2000,H$4)</f>
        <v>0</v>
      </c>
      <c r="I19" s="33">
        <f>SUMIFS(台帳!$I$2:$I$2000,台帳!$A$2:$A$2000,$A19,台帳!$E$2:$E$2000,I$4)</f>
        <v>0</v>
      </c>
      <c r="J19" s="33">
        <f>SUMIFS(台帳!$I$2:$I$2000,台帳!$A$2:$A$2000,$A19,台帳!$E$2:$E$2000,J$4)</f>
        <v>0</v>
      </c>
      <c r="K19" s="33">
        <f>SUMIFS(台帳!$I$2:$I$2000,台帳!$A$2:$A$2000,$A19,台帳!$E$2:$E$2000,K$4)</f>
        <v>0</v>
      </c>
      <c r="L19" s="33">
        <f>SUMIFS(台帳!$I$2:$I$2000,台帳!$A$2:$A$2000,$A19,台帳!$E$2:$E$2000,L$4)</f>
        <v>0</v>
      </c>
      <c r="M19" s="33">
        <f>SUMIFS(台帳!$I$2:$I$2000,台帳!$A$2:$A$2000,$A19,台帳!$E$2:$E$2000,M$4)</f>
        <v>0</v>
      </c>
      <c r="N19" s="33">
        <f>SUMIFS(台帳!$I$2:$I$2000,台帳!$A$2:$A$2000,$A19,台帳!$E$2:$E$2000,N$4)</f>
        <v>0</v>
      </c>
      <c r="O19" s="33">
        <f>SUMIFS(台帳!$I$2:$I$2000,台帳!$A$2:$A$2000,$A19,台帳!$D$2:$D$2000,"自社")</f>
        <v>0</v>
      </c>
      <c r="P19" s="33">
        <f>SUMIFS(台帳!$I$2:$I$2000,台帳!$A$2:$A$2000,$A19,台帳!$D$2:$D$2000,"業者")</f>
        <v>0</v>
      </c>
      <c r="Q19" s="33">
        <f>SUM(C19:N19)</f>
        <v>0</v>
      </c>
      <c r="R19" s="33">
        <f>R18+C19</f>
        <v>0</v>
      </c>
      <c r="S19" s="33">
        <f>S18+D19</f>
        <v>7</v>
      </c>
      <c r="T19" s="33">
        <f>T18+E19</f>
        <v>0</v>
      </c>
      <c r="U19" s="33">
        <f>U18+F19</f>
        <v>0</v>
      </c>
      <c r="V19" s="33">
        <f>V18+G19</f>
        <v>0</v>
      </c>
      <c r="W19" s="33">
        <f>W18+H19</f>
        <v>0</v>
      </c>
      <c r="X19" s="33">
        <f>X18+I19</f>
        <v>0</v>
      </c>
      <c r="Y19" s="33">
        <f>Y18+J19</f>
        <v>0</v>
      </c>
      <c r="Z19" s="33">
        <f>Z18+K19</f>
        <v>0</v>
      </c>
      <c r="AA19" s="33">
        <f>AA18+L19</f>
        <v>0</v>
      </c>
      <c r="AB19" s="33">
        <f>AB18+M19</f>
        <v>0</v>
      </c>
      <c r="AC19" s="33">
        <f>AC18+N19</f>
        <v>0</v>
      </c>
      <c r="AD19" s="33">
        <f>AD18+O19</f>
        <v>7</v>
      </c>
      <c r="AE19" s="33">
        <f>AE18+P19</f>
        <v>0</v>
      </c>
      <c r="AF19" s="33">
        <f>AF18+Q19</f>
        <v>7</v>
      </c>
      <c r="AG19" s="34" t="str">
        <f>IFERROR(INDEX(台帳!$H$2:$H$2000,MATCH($A19,台帳!$A$2:$A$2000,0)),"")</f>
        <v/>
      </c>
    </row>
    <row r="20" spans="1:33" ht="15.75" x14ac:dyDescent="0.25">
      <c r="A20" s="31">
        <v>46147</v>
      </c>
      <c r="B20" s="32" t="str">
        <f>CHOOSE(WEEKDAY(A20),"日","月","火","水","木","金","土")</f>
        <v>火</v>
      </c>
      <c r="C20" s="33">
        <f>SUMIFS(台帳!$I$2:$I$2000,台帳!$A$2:$A$2000,$A20,台帳!$E$2:$E$2000,C$4)</f>
        <v>0</v>
      </c>
      <c r="D20" s="33">
        <f>SUMIFS(台帳!$I$2:$I$2000,台帳!$A$2:$A$2000,$A20,台帳!$E$2:$E$2000,D$4)</f>
        <v>0</v>
      </c>
      <c r="E20" s="33">
        <f>SUMIFS(台帳!$I$2:$I$2000,台帳!$A$2:$A$2000,$A20,台帳!$E$2:$E$2000,E$4)</f>
        <v>0</v>
      </c>
      <c r="F20" s="33">
        <f>SUMIFS(台帳!$I$2:$I$2000,台帳!$A$2:$A$2000,$A20,台帳!$E$2:$E$2000,F$4)</f>
        <v>0</v>
      </c>
      <c r="G20" s="33">
        <f>SUMIFS(台帳!$I$2:$I$2000,台帳!$A$2:$A$2000,$A20,台帳!$E$2:$E$2000,G$4)</f>
        <v>0</v>
      </c>
      <c r="H20" s="33">
        <f>SUMIFS(台帳!$I$2:$I$2000,台帳!$A$2:$A$2000,$A20,台帳!$E$2:$E$2000,H$4)</f>
        <v>0</v>
      </c>
      <c r="I20" s="33">
        <f>SUMIFS(台帳!$I$2:$I$2000,台帳!$A$2:$A$2000,$A20,台帳!$E$2:$E$2000,I$4)</f>
        <v>0</v>
      </c>
      <c r="J20" s="33">
        <f>SUMIFS(台帳!$I$2:$I$2000,台帳!$A$2:$A$2000,$A20,台帳!$E$2:$E$2000,J$4)</f>
        <v>0</v>
      </c>
      <c r="K20" s="33">
        <f>SUMIFS(台帳!$I$2:$I$2000,台帳!$A$2:$A$2000,$A20,台帳!$E$2:$E$2000,K$4)</f>
        <v>0</v>
      </c>
      <c r="L20" s="33">
        <f>SUMIFS(台帳!$I$2:$I$2000,台帳!$A$2:$A$2000,$A20,台帳!$E$2:$E$2000,L$4)</f>
        <v>0</v>
      </c>
      <c r="M20" s="33">
        <f>SUMIFS(台帳!$I$2:$I$2000,台帳!$A$2:$A$2000,$A20,台帳!$E$2:$E$2000,M$4)</f>
        <v>0</v>
      </c>
      <c r="N20" s="33">
        <f>SUMIFS(台帳!$I$2:$I$2000,台帳!$A$2:$A$2000,$A20,台帳!$E$2:$E$2000,N$4)</f>
        <v>0</v>
      </c>
      <c r="O20" s="33">
        <f>SUMIFS(台帳!$I$2:$I$2000,台帳!$A$2:$A$2000,$A20,台帳!$D$2:$D$2000,"自社")</f>
        <v>0</v>
      </c>
      <c r="P20" s="33">
        <f>SUMIFS(台帳!$I$2:$I$2000,台帳!$A$2:$A$2000,$A20,台帳!$D$2:$D$2000,"業者")</f>
        <v>0</v>
      </c>
      <c r="Q20" s="33">
        <f>SUM(C20:N20)</f>
        <v>0</v>
      </c>
      <c r="R20" s="33">
        <f>R19+C20</f>
        <v>0</v>
      </c>
      <c r="S20" s="33">
        <f>S19+D20</f>
        <v>7</v>
      </c>
      <c r="T20" s="33">
        <f>T19+E20</f>
        <v>0</v>
      </c>
      <c r="U20" s="33">
        <f>U19+F20</f>
        <v>0</v>
      </c>
      <c r="V20" s="33">
        <f>V19+G20</f>
        <v>0</v>
      </c>
      <c r="W20" s="33">
        <f>W19+H20</f>
        <v>0</v>
      </c>
      <c r="X20" s="33">
        <f>X19+I20</f>
        <v>0</v>
      </c>
      <c r="Y20" s="33">
        <f>Y19+J20</f>
        <v>0</v>
      </c>
      <c r="Z20" s="33">
        <f>Z19+K20</f>
        <v>0</v>
      </c>
      <c r="AA20" s="33">
        <f>AA19+L20</f>
        <v>0</v>
      </c>
      <c r="AB20" s="33">
        <f>AB19+M20</f>
        <v>0</v>
      </c>
      <c r="AC20" s="33">
        <f>AC19+N20</f>
        <v>0</v>
      </c>
      <c r="AD20" s="33">
        <f>AD19+O20</f>
        <v>7</v>
      </c>
      <c r="AE20" s="33">
        <f>AE19+P20</f>
        <v>0</v>
      </c>
      <c r="AF20" s="33">
        <f>AF19+Q20</f>
        <v>7</v>
      </c>
      <c r="AG20" s="34" t="str">
        <f>IFERROR(INDEX(台帳!$H$2:$H$2000,MATCH($A20,台帳!$A$2:$A$2000,0)),"")</f>
        <v/>
      </c>
    </row>
    <row r="21" spans="1:33" ht="15.75" x14ac:dyDescent="0.25">
      <c r="A21" s="31">
        <v>46148</v>
      </c>
      <c r="B21" s="32" t="str">
        <f>CHOOSE(WEEKDAY(A21),"日","月","火","水","木","金","土")</f>
        <v>水</v>
      </c>
      <c r="C21" s="33">
        <f>SUMIFS(台帳!$I$2:$I$2000,台帳!$A$2:$A$2000,$A21,台帳!$E$2:$E$2000,C$4)</f>
        <v>0</v>
      </c>
      <c r="D21" s="33">
        <f>SUMIFS(台帳!$I$2:$I$2000,台帳!$A$2:$A$2000,$A21,台帳!$E$2:$E$2000,D$4)</f>
        <v>0</v>
      </c>
      <c r="E21" s="33">
        <f>SUMIFS(台帳!$I$2:$I$2000,台帳!$A$2:$A$2000,$A21,台帳!$E$2:$E$2000,E$4)</f>
        <v>0</v>
      </c>
      <c r="F21" s="33">
        <f>SUMIFS(台帳!$I$2:$I$2000,台帳!$A$2:$A$2000,$A21,台帳!$E$2:$E$2000,F$4)</f>
        <v>0</v>
      </c>
      <c r="G21" s="33">
        <f>SUMIFS(台帳!$I$2:$I$2000,台帳!$A$2:$A$2000,$A21,台帳!$E$2:$E$2000,G$4)</f>
        <v>0</v>
      </c>
      <c r="H21" s="33">
        <f>SUMIFS(台帳!$I$2:$I$2000,台帳!$A$2:$A$2000,$A21,台帳!$E$2:$E$2000,H$4)</f>
        <v>0</v>
      </c>
      <c r="I21" s="33">
        <f>SUMIFS(台帳!$I$2:$I$2000,台帳!$A$2:$A$2000,$A21,台帳!$E$2:$E$2000,I$4)</f>
        <v>0</v>
      </c>
      <c r="J21" s="33">
        <f>SUMIFS(台帳!$I$2:$I$2000,台帳!$A$2:$A$2000,$A21,台帳!$E$2:$E$2000,J$4)</f>
        <v>0</v>
      </c>
      <c r="K21" s="33">
        <f>SUMIFS(台帳!$I$2:$I$2000,台帳!$A$2:$A$2000,$A21,台帳!$E$2:$E$2000,K$4)</f>
        <v>0</v>
      </c>
      <c r="L21" s="33">
        <f>SUMIFS(台帳!$I$2:$I$2000,台帳!$A$2:$A$2000,$A21,台帳!$E$2:$E$2000,L$4)</f>
        <v>0</v>
      </c>
      <c r="M21" s="33">
        <f>SUMIFS(台帳!$I$2:$I$2000,台帳!$A$2:$A$2000,$A21,台帳!$E$2:$E$2000,M$4)</f>
        <v>0</v>
      </c>
      <c r="N21" s="33">
        <f>SUMIFS(台帳!$I$2:$I$2000,台帳!$A$2:$A$2000,$A21,台帳!$E$2:$E$2000,N$4)</f>
        <v>0</v>
      </c>
      <c r="O21" s="33">
        <f>SUMIFS(台帳!$I$2:$I$2000,台帳!$A$2:$A$2000,$A21,台帳!$D$2:$D$2000,"自社")</f>
        <v>0</v>
      </c>
      <c r="P21" s="33">
        <f>SUMIFS(台帳!$I$2:$I$2000,台帳!$A$2:$A$2000,$A21,台帳!$D$2:$D$2000,"業者")</f>
        <v>0</v>
      </c>
      <c r="Q21" s="33">
        <f>SUM(C21:N21)</f>
        <v>0</v>
      </c>
      <c r="R21" s="33">
        <f>R20+C21</f>
        <v>0</v>
      </c>
      <c r="S21" s="33">
        <f>S20+D21</f>
        <v>7</v>
      </c>
      <c r="T21" s="33">
        <f>T20+E21</f>
        <v>0</v>
      </c>
      <c r="U21" s="33">
        <f>U20+F21</f>
        <v>0</v>
      </c>
      <c r="V21" s="33">
        <f>V20+G21</f>
        <v>0</v>
      </c>
      <c r="W21" s="33">
        <f>W20+H21</f>
        <v>0</v>
      </c>
      <c r="X21" s="33">
        <f>X20+I21</f>
        <v>0</v>
      </c>
      <c r="Y21" s="33">
        <f>Y20+J21</f>
        <v>0</v>
      </c>
      <c r="Z21" s="33">
        <f>Z20+K21</f>
        <v>0</v>
      </c>
      <c r="AA21" s="33">
        <f>AA20+L21</f>
        <v>0</v>
      </c>
      <c r="AB21" s="33">
        <f>AB20+M21</f>
        <v>0</v>
      </c>
      <c r="AC21" s="33">
        <f>AC20+N21</f>
        <v>0</v>
      </c>
      <c r="AD21" s="33">
        <f>AD20+O21</f>
        <v>7</v>
      </c>
      <c r="AE21" s="33">
        <f>AE20+P21</f>
        <v>0</v>
      </c>
      <c r="AF21" s="33">
        <f>AF20+Q21</f>
        <v>7</v>
      </c>
      <c r="AG21" s="34" t="str">
        <f>IFERROR(INDEX(台帳!$H$2:$H$2000,MATCH($A21,台帳!$A$2:$A$2000,0)),"")</f>
        <v/>
      </c>
    </row>
    <row r="22" spans="1:33" ht="15.75" x14ac:dyDescent="0.25">
      <c r="A22" s="31">
        <v>46149</v>
      </c>
      <c r="B22" s="32" t="str">
        <f>CHOOSE(WEEKDAY(A22),"日","月","火","水","木","金","土")</f>
        <v>木</v>
      </c>
      <c r="C22" s="33">
        <f>SUMIFS(台帳!$I$2:$I$2000,台帳!$A$2:$A$2000,$A22,台帳!$E$2:$E$2000,C$4)</f>
        <v>0</v>
      </c>
      <c r="D22" s="33">
        <f>SUMIFS(台帳!$I$2:$I$2000,台帳!$A$2:$A$2000,$A22,台帳!$E$2:$E$2000,D$4)</f>
        <v>0</v>
      </c>
      <c r="E22" s="33">
        <f>SUMIFS(台帳!$I$2:$I$2000,台帳!$A$2:$A$2000,$A22,台帳!$E$2:$E$2000,E$4)</f>
        <v>0</v>
      </c>
      <c r="F22" s="33">
        <f>SUMIFS(台帳!$I$2:$I$2000,台帳!$A$2:$A$2000,$A22,台帳!$E$2:$E$2000,F$4)</f>
        <v>0</v>
      </c>
      <c r="G22" s="33">
        <f>SUMIFS(台帳!$I$2:$I$2000,台帳!$A$2:$A$2000,$A22,台帳!$E$2:$E$2000,G$4)</f>
        <v>0</v>
      </c>
      <c r="H22" s="33">
        <f>SUMIFS(台帳!$I$2:$I$2000,台帳!$A$2:$A$2000,$A22,台帳!$E$2:$E$2000,H$4)</f>
        <v>0</v>
      </c>
      <c r="I22" s="33">
        <f>SUMIFS(台帳!$I$2:$I$2000,台帳!$A$2:$A$2000,$A22,台帳!$E$2:$E$2000,I$4)</f>
        <v>0</v>
      </c>
      <c r="J22" s="33">
        <f>SUMIFS(台帳!$I$2:$I$2000,台帳!$A$2:$A$2000,$A22,台帳!$E$2:$E$2000,J$4)</f>
        <v>0</v>
      </c>
      <c r="K22" s="33">
        <f>SUMIFS(台帳!$I$2:$I$2000,台帳!$A$2:$A$2000,$A22,台帳!$E$2:$E$2000,K$4)</f>
        <v>0</v>
      </c>
      <c r="L22" s="33">
        <f>SUMIFS(台帳!$I$2:$I$2000,台帳!$A$2:$A$2000,$A22,台帳!$E$2:$E$2000,L$4)</f>
        <v>0</v>
      </c>
      <c r="M22" s="33">
        <f>SUMIFS(台帳!$I$2:$I$2000,台帳!$A$2:$A$2000,$A22,台帳!$E$2:$E$2000,M$4)</f>
        <v>0</v>
      </c>
      <c r="N22" s="33">
        <f>SUMIFS(台帳!$I$2:$I$2000,台帳!$A$2:$A$2000,$A22,台帳!$E$2:$E$2000,N$4)</f>
        <v>0</v>
      </c>
      <c r="O22" s="33">
        <f>SUMIFS(台帳!$I$2:$I$2000,台帳!$A$2:$A$2000,$A22,台帳!$D$2:$D$2000,"自社")</f>
        <v>0</v>
      </c>
      <c r="P22" s="33">
        <f>SUMIFS(台帳!$I$2:$I$2000,台帳!$A$2:$A$2000,$A22,台帳!$D$2:$D$2000,"業者")</f>
        <v>0</v>
      </c>
      <c r="Q22" s="33">
        <f>SUM(C22:N22)</f>
        <v>0</v>
      </c>
      <c r="R22" s="33">
        <f>R21+C22</f>
        <v>0</v>
      </c>
      <c r="S22" s="33">
        <f>S21+D22</f>
        <v>7</v>
      </c>
      <c r="T22" s="33">
        <f>T21+E22</f>
        <v>0</v>
      </c>
      <c r="U22" s="33">
        <f>U21+F22</f>
        <v>0</v>
      </c>
      <c r="V22" s="33">
        <f>V21+G22</f>
        <v>0</v>
      </c>
      <c r="W22" s="33">
        <f>W21+H22</f>
        <v>0</v>
      </c>
      <c r="X22" s="33">
        <f>X21+I22</f>
        <v>0</v>
      </c>
      <c r="Y22" s="33">
        <f>Y21+J22</f>
        <v>0</v>
      </c>
      <c r="Z22" s="33">
        <f>Z21+K22</f>
        <v>0</v>
      </c>
      <c r="AA22" s="33">
        <f>AA21+L22</f>
        <v>0</v>
      </c>
      <c r="AB22" s="33">
        <f>AB21+M22</f>
        <v>0</v>
      </c>
      <c r="AC22" s="33">
        <f>AC21+N22</f>
        <v>0</v>
      </c>
      <c r="AD22" s="33">
        <f>AD21+O22</f>
        <v>7</v>
      </c>
      <c r="AE22" s="33">
        <f>AE21+P22</f>
        <v>0</v>
      </c>
      <c r="AF22" s="33">
        <f>AF21+Q22</f>
        <v>7</v>
      </c>
      <c r="AG22" s="34" t="str">
        <f>IFERROR(INDEX(台帳!$H$2:$H$2000,MATCH($A22,台帳!$A$2:$A$2000,0)),"")</f>
        <v/>
      </c>
    </row>
    <row r="23" spans="1:33" ht="15.75" x14ac:dyDescent="0.25">
      <c r="A23" s="31">
        <v>46150</v>
      </c>
      <c r="B23" s="32" t="str">
        <f>CHOOSE(WEEKDAY(A23),"日","月","火","水","木","金","土")</f>
        <v>金</v>
      </c>
      <c r="C23" s="33">
        <f>SUMIFS(台帳!$I$2:$I$2000,台帳!$A$2:$A$2000,$A23,台帳!$E$2:$E$2000,C$4)</f>
        <v>0</v>
      </c>
      <c r="D23" s="33">
        <f>SUMIFS(台帳!$I$2:$I$2000,台帳!$A$2:$A$2000,$A23,台帳!$E$2:$E$2000,D$4)</f>
        <v>0</v>
      </c>
      <c r="E23" s="33">
        <f>SUMIFS(台帳!$I$2:$I$2000,台帳!$A$2:$A$2000,$A23,台帳!$E$2:$E$2000,E$4)</f>
        <v>0</v>
      </c>
      <c r="F23" s="33">
        <f>SUMIFS(台帳!$I$2:$I$2000,台帳!$A$2:$A$2000,$A23,台帳!$E$2:$E$2000,F$4)</f>
        <v>0</v>
      </c>
      <c r="G23" s="33">
        <f>SUMIFS(台帳!$I$2:$I$2000,台帳!$A$2:$A$2000,$A23,台帳!$E$2:$E$2000,G$4)</f>
        <v>0</v>
      </c>
      <c r="H23" s="33">
        <f>SUMIFS(台帳!$I$2:$I$2000,台帳!$A$2:$A$2000,$A23,台帳!$E$2:$E$2000,H$4)</f>
        <v>0</v>
      </c>
      <c r="I23" s="33">
        <f>SUMIFS(台帳!$I$2:$I$2000,台帳!$A$2:$A$2000,$A23,台帳!$E$2:$E$2000,I$4)</f>
        <v>0</v>
      </c>
      <c r="J23" s="33">
        <f>SUMIFS(台帳!$I$2:$I$2000,台帳!$A$2:$A$2000,$A23,台帳!$E$2:$E$2000,J$4)</f>
        <v>0</v>
      </c>
      <c r="K23" s="33">
        <f>SUMIFS(台帳!$I$2:$I$2000,台帳!$A$2:$A$2000,$A23,台帳!$E$2:$E$2000,K$4)</f>
        <v>0</v>
      </c>
      <c r="L23" s="33">
        <f>SUMIFS(台帳!$I$2:$I$2000,台帳!$A$2:$A$2000,$A23,台帳!$E$2:$E$2000,L$4)</f>
        <v>0</v>
      </c>
      <c r="M23" s="33">
        <f>SUMIFS(台帳!$I$2:$I$2000,台帳!$A$2:$A$2000,$A23,台帳!$E$2:$E$2000,M$4)</f>
        <v>0</v>
      </c>
      <c r="N23" s="33">
        <f>SUMIFS(台帳!$I$2:$I$2000,台帳!$A$2:$A$2000,$A23,台帳!$E$2:$E$2000,N$4)</f>
        <v>0</v>
      </c>
      <c r="O23" s="33">
        <f>SUMIFS(台帳!$I$2:$I$2000,台帳!$A$2:$A$2000,$A23,台帳!$D$2:$D$2000,"自社")</f>
        <v>0</v>
      </c>
      <c r="P23" s="33">
        <f>SUMIFS(台帳!$I$2:$I$2000,台帳!$A$2:$A$2000,$A23,台帳!$D$2:$D$2000,"業者")</f>
        <v>0</v>
      </c>
      <c r="Q23" s="33">
        <f>SUM(C23:N23)</f>
        <v>0</v>
      </c>
      <c r="R23" s="33">
        <f>R22+C23</f>
        <v>0</v>
      </c>
      <c r="S23" s="33">
        <f>S22+D23</f>
        <v>7</v>
      </c>
      <c r="T23" s="33">
        <f>T22+E23</f>
        <v>0</v>
      </c>
      <c r="U23" s="33">
        <f>U22+F23</f>
        <v>0</v>
      </c>
      <c r="V23" s="33">
        <f>V22+G23</f>
        <v>0</v>
      </c>
      <c r="W23" s="33">
        <f>W22+H23</f>
        <v>0</v>
      </c>
      <c r="X23" s="33">
        <f>X22+I23</f>
        <v>0</v>
      </c>
      <c r="Y23" s="33">
        <f>Y22+J23</f>
        <v>0</v>
      </c>
      <c r="Z23" s="33">
        <f>Z22+K23</f>
        <v>0</v>
      </c>
      <c r="AA23" s="33">
        <f>AA22+L23</f>
        <v>0</v>
      </c>
      <c r="AB23" s="33">
        <f>AB22+M23</f>
        <v>0</v>
      </c>
      <c r="AC23" s="33">
        <f>AC22+N23</f>
        <v>0</v>
      </c>
      <c r="AD23" s="33">
        <f>AD22+O23</f>
        <v>7</v>
      </c>
      <c r="AE23" s="33">
        <f>AE22+P23</f>
        <v>0</v>
      </c>
      <c r="AF23" s="33">
        <f>AF22+Q23</f>
        <v>7</v>
      </c>
      <c r="AG23" s="34" t="str">
        <f>IFERROR(INDEX(台帳!$H$2:$H$2000,MATCH($A23,台帳!$A$2:$A$2000,0)),"")</f>
        <v/>
      </c>
    </row>
    <row r="24" spans="1:33" ht="15.75" x14ac:dyDescent="0.25">
      <c r="A24" s="35">
        <v>46151</v>
      </c>
      <c r="B24" s="36" t="str">
        <f>CHOOSE(WEEKDAY(A24),"日","月","火","水","木","金","土")</f>
        <v>土</v>
      </c>
      <c r="C24" s="37">
        <f>SUMIFS(台帳!$I$2:$I$2000,台帳!$A$2:$A$2000,$A24,台帳!$E$2:$E$2000,C$4)</f>
        <v>0</v>
      </c>
      <c r="D24" s="37">
        <f>SUMIFS(台帳!$I$2:$I$2000,台帳!$A$2:$A$2000,$A24,台帳!$E$2:$E$2000,D$4)</f>
        <v>0</v>
      </c>
      <c r="E24" s="37">
        <f>SUMIFS(台帳!$I$2:$I$2000,台帳!$A$2:$A$2000,$A24,台帳!$E$2:$E$2000,E$4)</f>
        <v>0</v>
      </c>
      <c r="F24" s="37">
        <f>SUMIFS(台帳!$I$2:$I$2000,台帳!$A$2:$A$2000,$A24,台帳!$E$2:$E$2000,F$4)</f>
        <v>0</v>
      </c>
      <c r="G24" s="37">
        <f>SUMIFS(台帳!$I$2:$I$2000,台帳!$A$2:$A$2000,$A24,台帳!$E$2:$E$2000,G$4)</f>
        <v>0</v>
      </c>
      <c r="H24" s="37">
        <f>SUMIFS(台帳!$I$2:$I$2000,台帳!$A$2:$A$2000,$A24,台帳!$E$2:$E$2000,H$4)</f>
        <v>0</v>
      </c>
      <c r="I24" s="37">
        <f>SUMIFS(台帳!$I$2:$I$2000,台帳!$A$2:$A$2000,$A24,台帳!$E$2:$E$2000,I$4)</f>
        <v>0</v>
      </c>
      <c r="J24" s="37">
        <f>SUMIFS(台帳!$I$2:$I$2000,台帳!$A$2:$A$2000,$A24,台帳!$E$2:$E$2000,J$4)</f>
        <v>0</v>
      </c>
      <c r="K24" s="37">
        <f>SUMIFS(台帳!$I$2:$I$2000,台帳!$A$2:$A$2000,$A24,台帳!$E$2:$E$2000,K$4)</f>
        <v>0</v>
      </c>
      <c r="L24" s="37">
        <f>SUMIFS(台帳!$I$2:$I$2000,台帳!$A$2:$A$2000,$A24,台帳!$E$2:$E$2000,L$4)</f>
        <v>0</v>
      </c>
      <c r="M24" s="37">
        <f>SUMIFS(台帳!$I$2:$I$2000,台帳!$A$2:$A$2000,$A24,台帳!$E$2:$E$2000,M$4)</f>
        <v>0</v>
      </c>
      <c r="N24" s="37">
        <f>SUMIFS(台帳!$I$2:$I$2000,台帳!$A$2:$A$2000,$A24,台帳!$E$2:$E$2000,N$4)</f>
        <v>0</v>
      </c>
      <c r="O24" s="37">
        <f>SUMIFS(台帳!$I$2:$I$2000,台帳!$A$2:$A$2000,$A24,台帳!$D$2:$D$2000,"自社")</f>
        <v>0</v>
      </c>
      <c r="P24" s="37">
        <f>SUMIFS(台帳!$I$2:$I$2000,台帳!$A$2:$A$2000,$A24,台帳!$D$2:$D$2000,"業者")</f>
        <v>0</v>
      </c>
      <c r="Q24" s="37">
        <f>SUM(C24:N24)</f>
        <v>0</v>
      </c>
      <c r="R24" s="37">
        <f>R23+C24</f>
        <v>0</v>
      </c>
      <c r="S24" s="37">
        <f>S23+D24</f>
        <v>7</v>
      </c>
      <c r="T24" s="37">
        <f>T23+E24</f>
        <v>0</v>
      </c>
      <c r="U24" s="37">
        <f>U23+F24</f>
        <v>0</v>
      </c>
      <c r="V24" s="37">
        <f>V23+G24</f>
        <v>0</v>
      </c>
      <c r="W24" s="37">
        <f>W23+H24</f>
        <v>0</v>
      </c>
      <c r="X24" s="37">
        <f>X23+I24</f>
        <v>0</v>
      </c>
      <c r="Y24" s="37">
        <f>Y23+J24</f>
        <v>0</v>
      </c>
      <c r="Z24" s="37">
        <f>Z23+K24</f>
        <v>0</v>
      </c>
      <c r="AA24" s="37">
        <f>AA23+L24</f>
        <v>0</v>
      </c>
      <c r="AB24" s="37">
        <f>AB23+M24</f>
        <v>0</v>
      </c>
      <c r="AC24" s="37">
        <f>AC23+N24</f>
        <v>0</v>
      </c>
      <c r="AD24" s="37">
        <f>AD23+O24</f>
        <v>7</v>
      </c>
      <c r="AE24" s="37">
        <f>AE23+P24</f>
        <v>0</v>
      </c>
      <c r="AF24" s="37">
        <f>AF23+Q24</f>
        <v>7</v>
      </c>
      <c r="AG24" s="38" t="str">
        <f>IFERROR(INDEX(台帳!$H$2:$H$2000,MATCH($A24,台帳!$A$2:$A$2000,0)),"")</f>
        <v/>
      </c>
    </row>
    <row r="25" spans="1:33" ht="15.75" x14ac:dyDescent="0.25">
      <c r="A25" s="35">
        <v>46152</v>
      </c>
      <c r="B25" s="36" t="str">
        <f>CHOOSE(WEEKDAY(A25),"日","月","火","水","木","金","土")</f>
        <v>日</v>
      </c>
      <c r="C25" s="37">
        <f>SUMIFS(台帳!$I$2:$I$2000,台帳!$A$2:$A$2000,$A25,台帳!$E$2:$E$2000,C$4)</f>
        <v>0</v>
      </c>
      <c r="D25" s="37">
        <f>SUMIFS(台帳!$I$2:$I$2000,台帳!$A$2:$A$2000,$A25,台帳!$E$2:$E$2000,D$4)</f>
        <v>0</v>
      </c>
      <c r="E25" s="37">
        <f>SUMIFS(台帳!$I$2:$I$2000,台帳!$A$2:$A$2000,$A25,台帳!$E$2:$E$2000,E$4)</f>
        <v>0</v>
      </c>
      <c r="F25" s="37">
        <f>SUMIFS(台帳!$I$2:$I$2000,台帳!$A$2:$A$2000,$A25,台帳!$E$2:$E$2000,F$4)</f>
        <v>0</v>
      </c>
      <c r="G25" s="37">
        <f>SUMIFS(台帳!$I$2:$I$2000,台帳!$A$2:$A$2000,$A25,台帳!$E$2:$E$2000,G$4)</f>
        <v>0</v>
      </c>
      <c r="H25" s="37">
        <f>SUMIFS(台帳!$I$2:$I$2000,台帳!$A$2:$A$2000,$A25,台帳!$E$2:$E$2000,H$4)</f>
        <v>0</v>
      </c>
      <c r="I25" s="37">
        <f>SUMIFS(台帳!$I$2:$I$2000,台帳!$A$2:$A$2000,$A25,台帳!$E$2:$E$2000,I$4)</f>
        <v>0</v>
      </c>
      <c r="J25" s="37">
        <f>SUMIFS(台帳!$I$2:$I$2000,台帳!$A$2:$A$2000,$A25,台帳!$E$2:$E$2000,J$4)</f>
        <v>0</v>
      </c>
      <c r="K25" s="37">
        <f>SUMIFS(台帳!$I$2:$I$2000,台帳!$A$2:$A$2000,$A25,台帳!$E$2:$E$2000,K$4)</f>
        <v>0</v>
      </c>
      <c r="L25" s="37">
        <f>SUMIFS(台帳!$I$2:$I$2000,台帳!$A$2:$A$2000,$A25,台帳!$E$2:$E$2000,L$4)</f>
        <v>0</v>
      </c>
      <c r="M25" s="37">
        <f>SUMIFS(台帳!$I$2:$I$2000,台帳!$A$2:$A$2000,$A25,台帳!$E$2:$E$2000,M$4)</f>
        <v>0</v>
      </c>
      <c r="N25" s="37">
        <f>SUMIFS(台帳!$I$2:$I$2000,台帳!$A$2:$A$2000,$A25,台帳!$E$2:$E$2000,N$4)</f>
        <v>0</v>
      </c>
      <c r="O25" s="37">
        <f>SUMIFS(台帳!$I$2:$I$2000,台帳!$A$2:$A$2000,$A25,台帳!$D$2:$D$2000,"自社")</f>
        <v>0</v>
      </c>
      <c r="P25" s="37">
        <f>SUMIFS(台帳!$I$2:$I$2000,台帳!$A$2:$A$2000,$A25,台帳!$D$2:$D$2000,"業者")</f>
        <v>0</v>
      </c>
      <c r="Q25" s="37">
        <f>SUM(C25:N25)</f>
        <v>0</v>
      </c>
      <c r="R25" s="37">
        <f>R24+C25</f>
        <v>0</v>
      </c>
      <c r="S25" s="37">
        <f>S24+D25</f>
        <v>7</v>
      </c>
      <c r="T25" s="37">
        <f>T24+E25</f>
        <v>0</v>
      </c>
      <c r="U25" s="37">
        <f>U24+F25</f>
        <v>0</v>
      </c>
      <c r="V25" s="37">
        <f>V24+G25</f>
        <v>0</v>
      </c>
      <c r="W25" s="37">
        <f>W24+H25</f>
        <v>0</v>
      </c>
      <c r="X25" s="37">
        <f>X24+I25</f>
        <v>0</v>
      </c>
      <c r="Y25" s="37">
        <f>Y24+J25</f>
        <v>0</v>
      </c>
      <c r="Z25" s="37">
        <f>Z24+K25</f>
        <v>0</v>
      </c>
      <c r="AA25" s="37">
        <f>AA24+L25</f>
        <v>0</v>
      </c>
      <c r="AB25" s="37">
        <f>AB24+M25</f>
        <v>0</v>
      </c>
      <c r="AC25" s="37">
        <f>AC24+N25</f>
        <v>0</v>
      </c>
      <c r="AD25" s="37">
        <f>AD24+O25</f>
        <v>7</v>
      </c>
      <c r="AE25" s="37">
        <f>AE24+P25</f>
        <v>0</v>
      </c>
      <c r="AF25" s="37">
        <f>AF24+Q25</f>
        <v>7</v>
      </c>
      <c r="AG25" s="38" t="str">
        <f>IFERROR(INDEX(台帳!$H$2:$H$2000,MATCH($A25,台帳!$A$2:$A$2000,0)),"")</f>
        <v/>
      </c>
    </row>
    <row r="26" spans="1:33" ht="15.75" x14ac:dyDescent="0.25">
      <c r="A26" s="31">
        <v>46153</v>
      </c>
      <c r="B26" s="32" t="str">
        <f>CHOOSE(WEEKDAY(A26),"日","月","火","水","木","金","土")</f>
        <v>月</v>
      </c>
      <c r="C26" s="33">
        <f>SUMIFS(台帳!$I$2:$I$2000,台帳!$A$2:$A$2000,$A26,台帳!$E$2:$E$2000,C$4)</f>
        <v>0</v>
      </c>
      <c r="D26" s="33">
        <f>SUMIFS(台帳!$I$2:$I$2000,台帳!$A$2:$A$2000,$A26,台帳!$E$2:$E$2000,D$4)</f>
        <v>0</v>
      </c>
      <c r="E26" s="33">
        <f>SUMIFS(台帳!$I$2:$I$2000,台帳!$A$2:$A$2000,$A26,台帳!$E$2:$E$2000,E$4)</f>
        <v>0</v>
      </c>
      <c r="F26" s="33">
        <f>SUMIFS(台帳!$I$2:$I$2000,台帳!$A$2:$A$2000,$A26,台帳!$E$2:$E$2000,F$4)</f>
        <v>0</v>
      </c>
      <c r="G26" s="33">
        <f>SUMIFS(台帳!$I$2:$I$2000,台帳!$A$2:$A$2000,$A26,台帳!$E$2:$E$2000,G$4)</f>
        <v>0</v>
      </c>
      <c r="H26" s="33">
        <f>SUMIFS(台帳!$I$2:$I$2000,台帳!$A$2:$A$2000,$A26,台帳!$E$2:$E$2000,H$4)</f>
        <v>0</v>
      </c>
      <c r="I26" s="33">
        <f>SUMIFS(台帳!$I$2:$I$2000,台帳!$A$2:$A$2000,$A26,台帳!$E$2:$E$2000,I$4)</f>
        <v>0</v>
      </c>
      <c r="J26" s="33">
        <f>SUMIFS(台帳!$I$2:$I$2000,台帳!$A$2:$A$2000,$A26,台帳!$E$2:$E$2000,J$4)</f>
        <v>0</v>
      </c>
      <c r="K26" s="33">
        <f>SUMIFS(台帳!$I$2:$I$2000,台帳!$A$2:$A$2000,$A26,台帳!$E$2:$E$2000,K$4)</f>
        <v>0</v>
      </c>
      <c r="L26" s="33">
        <f>SUMIFS(台帳!$I$2:$I$2000,台帳!$A$2:$A$2000,$A26,台帳!$E$2:$E$2000,L$4)</f>
        <v>0</v>
      </c>
      <c r="M26" s="33">
        <f>SUMIFS(台帳!$I$2:$I$2000,台帳!$A$2:$A$2000,$A26,台帳!$E$2:$E$2000,M$4)</f>
        <v>0</v>
      </c>
      <c r="N26" s="33">
        <f>SUMIFS(台帳!$I$2:$I$2000,台帳!$A$2:$A$2000,$A26,台帳!$E$2:$E$2000,N$4)</f>
        <v>0</v>
      </c>
      <c r="O26" s="33">
        <f>SUMIFS(台帳!$I$2:$I$2000,台帳!$A$2:$A$2000,$A26,台帳!$D$2:$D$2000,"自社")</f>
        <v>0</v>
      </c>
      <c r="P26" s="33">
        <f>SUMIFS(台帳!$I$2:$I$2000,台帳!$A$2:$A$2000,$A26,台帳!$D$2:$D$2000,"業者")</f>
        <v>0</v>
      </c>
      <c r="Q26" s="33">
        <f>SUM(C26:N26)</f>
        <v>0</v>
      </c>
      <c r="R26" s="33">
        <f>R25+C26</f>
        <v>0</v>
      </c>
      <c r="S26" s="33">
        <f>S25+D26</f>
        <v>7</v>
      </c>
      <c r="T26" s="33">
        <f>T25+E26</f>
        <v>0</v>
      </c>
      <c r="U26" s="33">
        <f>U25+F26</f>
        <v>0</v>
      </c>
      <c r="V26" s="33">
        <f>V25+G26</f>
        <v>0</v>
      </c>
      <c r="W26" s="33">
        <f>W25+H26</f>
        <v>0</v>
      </c>
      <c r="X26" s="33">
        <f>X25+I26</f>
        <v>0</v>
      </c>
      <c r="Y26" s="33">
        <f>Y25+J26</f>
        <v>0</v>
      </c>
      <c r="Z26" s="33">
        <f>Z25+K26</f>
        <v>0</v>
      </c>
      <c r="AA26" s="33">
        <f>AA25+L26</f>
        <v>0</v>
      </c>
      <c r="AB26" s="33">
        <f>AB25+M26</f>
        <v>0</v>
      </c>
      <c r="AC26" s="33">
        <f>AC25+N26</f>
        <v>0</v>
      </c>
      <c r="AD26" s="33">
        <f>AD25+O26</f>
        <v>7</v>
      </c>
      <c r="AE26" s="33">
        <f>AE25+P26</f>
        <v>0</v>
      </c>
      <c r="AF26" s="33">
        <f>AF25+Q26</f>
        <v>7</v>
      </c>
      <c r="AG26" s="34" t="str">
        <f>IFERROR(INDEX(台帳!$H$2:$H$2000,MATCH($A26,台帳!$A$2:$A$2000,0)),"")</f>
        <v/>
      </c>
    </row>
    <row r="27" spans="1:33" ht="15.75" x14ac:dyDescent="0.25">
      <c r="A27" s="31">
        <v>46154</v>
      </c>
      <c r="B27" s="32" t="str">
        <f>CHOOSE(WEEKDAY(A27),"日","月","火","水","木","金","土")</f>
        <v>火</v>
      </c>
      <c r="C27" s="33">
        <f>SUMIFS(台帳!$I$2:$I$2000,台帳!$A$2:$A$2000,$A27,台帳!$E$2:$E$2000,C$4)</f>
        <v>0</v>
      </c>
      <c r="D27" s="33">
        <f>SUMIFS(台帳!$I$2:$I$2000,台帳!$A$2:$A$2000,$A27,台帳!$E$2:$E$2000,D$4)</f>
        <v>0</v>
      </c>
      <c r="E27" s="33">
        <f>SUMIFS(台帳!$I$2:$I$2000,台帳!$A$2:$A$2000,$A27,台帳!$E$2:$E$2000,E$4)</f>
        <v>0</v>
      </c>
      <c r="F27" s="33">
        <f>SUMIFS(台帳!$I$2:$I$2000,台帳!$A$2:$A$2000,$A27,台帳!$E$2:$E$2000,F$4)</f>
        <v>0</v>
      </c>
      <c r="G27" s="33">
        <f>SUMIFS(台帳!$I$2:$I$2000,台帳!$A$2:$A$2000,$A27,台帳!$E$2:$E$2000,G$4)</f>
        <v>0</v>
      </c>
      <c r="H27" s="33">
        <f>SUMIFS(台帳!$I$2:$I$2000,台帳!$A$2:$A$2000,$A27,台帳!$E$2:$E$2000,H$4)</f>
        <v>0</v>
      </c>
      <c r="I27" s="33">
        <f>SUMIFS(台帳!$I$2:$I$2000,台帳!$A$2:$A$2000,$A27,台帳!$E$2:$E$2000,I$4)</f>
        <v>0</v>
      </c>
      <c r="J27" s="33">
        <f>SUMIFS(台帳!$I$2:$I$2000,台帳!$A$2:$A$2000,$A27,台帳!$E$2:$E$2000,J$4)</f>
        <v>0</v>
      </c>
      <c r="K27" s="33">
        <f>SUMIFS(台帳!$I$2:$I$2000,台帳!$A$2:$A$2000,$A27,台帳!$E$2:$E$2000,K$4)</f>
        <v>0</v>
      </c>
      <c r="L27" s="33">
        <f>SUMIFS(台帳!$I$2:$I$2000,台帳!$A$2:$A$2000,$A27,台帳!$E$2:$E$2000,L$4)</f>
        <v>0</v>
      </c>
      <c r="M27" s="33">
        <f>SUMIFS(台帳!$I$2:$I$2000,台帳!$A$2:$A$2000,$A27,台帳!$E$2:$E$2000,M$4)</f>
        <v>0</v>
      </c>
      <c r="N27" s="33">
        <f>SUMIFS(台帳!$I$2:$I$2000,台帳!$A$2:$A$2000,$A27,台帳!$E$2:$E$2000,N$4)</f>
        <v>0</v>
      </c>
      <c r="O27" s="33">
        <f>SUMIFS(台帳!$I$2:$I$2000,台帳!$A$2:$A$2000,$A27,台帳!$D$2:$D$2000,"自社")</f>
        <v>0</v>
      </c>
      <c r="P27" s="33">
        <f>SUMIFS(台帳!$I$2:$I$2000,台帳!$A$2:$A$2000,$A27,台帳!$D$2:$D$2000,"業者")</f>
        <v>0</v>
      </c>
      <c r="Q27" s="33">
        <f>SUM(C27:N27)</f>
        <v>0</v>
      </c>
      <c r="R27" s="33">
        <f>R26+C27</f>
        <v>0</v>
      </c>
      <c r="S27" s="33">
        <f>S26+D27</f>
        <v>7</v>
      </c>
      <c r="T27" s="33">
        <f>T26+E27</f>
        <v>0</v>
      </c>
      <c r="U27" s="33">
        <f>U26+F27</f>
        <v>0</v>
      </c>
      <c r="V27" s="33">
        <f>V26+G27</f>
        <v>0</v>
      </c>
      <c r="W27" s="33">
        <f>W26+H27</f>
        <v>0</v>
      </c>
      <c r="X27" s="33">
        <f>X26+I27</f>
        <v>0</v>
      </c>
      <c r="Y27" s="33">
        <f>Y26+J27</f>
        <v>0</v>
      </c>
      <c r="Z27" s="33">
        <f>Z26+K27</f>
        <v>0</v>
      </c>
      <c r="AA27" s="33">
        <f>AA26+L27</f>
        <v>0</v>
      </c>
      <c r="AB27" s="33">
        <f>AB26+M27</f>
        <v>0</v>
      </c>
      <c r="AC27" s="33">
        <f>AC26+N27</f>
        <v>0</v>
      </c>
      <c r="AD27" s="33">
        <f>AD26+O27</f>
        <v>7</v>
      </c>
      <c r="AE27" s="33">
        <f>AE26+P27</f>
        <v>0</v>
      </c>
      <c r="AF27" s="33">
        <f>AF26+Q27</f>
        <v>7</v>
      </c>
      <c r="AG27" s="34" t="str">
        <f>IFERROR(INDEX(台帳!$H$2:$H$2000,MATCH($A27,台帳!$A$2:$A$2000,0)),"")</f>
        <v/>
      </c>
    </row>
    <row r="28" spans="1:33" ht="15.75" x14ac:dyDescent="0.25">
      <c r="A28" s="31">
        <v>46155</v>
      </c>
      <c r="B28" s="32" t="str">
        <f>CHOOSE(WEEKDAY(A28),"日","月","火","水","木","金","土")</f>
        <v>水</v>
      </c>
      <c r="C28" s="33">
        <f>SUMIFS(台帳!$I$2:$I$2000,台帳!$A$2:$A$2000,$A28,台帳!$E$2:$E$2000,C$4)</f>
        <v>0</v>
      </c>
      <c r="D28" s="33">
        <f>SUMIFS(台帳!$I$2:$I$2000,台帳!$A$2:$A$2000,$A28,台帳!$E$2:$E$2000,D$4)</f>
        <v>0</v>
      </c>
      <c r="E28" s="33">
        <f>SUMIFS(台帳!$I$2:$I$2000,台帳!$A$2:$A$2000,$A28,台帳!$E$2:$E$2000,E$4)</f>
        <v>0</v>
      </c>
      <c r="F28" s="33">
        <f>SUMIFS(台帳!$I$2:$I$2000,台帳!$A$2:$A$2000,$A28,台帳!$E$2:$E$2000,F$4)</f>
        <v>0</v>
      </c>
      <c r="G28" s="33">
        <f>SUMIFS(台帳!$I$2:$I$2000,台帳!$A$2:$A$2000,$A28,台帳!$E$2:$E$2000,G$4)</f>
        <v>0</v>
      </c>
      <c r="H28" s="33">
        <f>SUMIFS(台帳!$I$2:$I$2000,台帳!$A$2:$A$2000,$A28,台帳!$E$2:$E$2000,H$4)</f>
        <v>0</v>
      </c>
      <c r="I28" s="33">
        <f>SUMIFS(台帳!$I$2:$I$2000,台帳!$A$2:$A$2000,$A28,台帳!$E$2:$E$2000,I$4)</f>
        <v>0</v>
      </c>
      <c r="J28" s="33">
        <f>SUMIFS(台帳!$I$2:$I$2000,台帳!$A$2:$A$2000,$A28,台帳!$E$2:$E$2000,J$4)</f>
        <v>0</v>
      </c>
      <c r="K28" s="33">
        <f>SUMIFS(台帳!$I$2:$I$2000,台帳!$A$2:$A$2000,$A28,台帳!$E$2:$E$2000,K$4)</f>
        <v>0</v>
      </c>
      <c r="L28" s="33">
        <f>SUMIFS(台帳!$I$2:$I$2000,台帳!$A$2:$A$2000,$A28,台帳!$E$2:$E$2000,L$4)</f>
        <v>0</v>
      </c>
      <c r="M28" s="33">
        <f>SUMIFS(台帳!$I$2:$I$2000,台帳!$A$2:$A$2000,$A28,台帳!$E$2:$E$2000,M$4)</f>
        <v>0</v>
      </c>
      <c r="N28" s="33">
        <f>SUMIFS(台帳!$I$2:$I$2000,台帳!$A$2:$A$2000,$A28,台帳!$E$2:$E$2000,N$4)</f>
        <v>0</v>
      </c>
      <c r="O28" s="33">
        <f>SUMIFS(台帳!$I$2:$I$2000,台帳!$A$2:$A$2000,$A28,台帳!$D$2:$D$2000,"自社")</f>
        <v>0</v>
      </c>
      <c r="P28" s="33">
        <f>SUMIFS(台帳!$I$2:$I$2000,台帳!$A$2:$A$2000,$A28,台帳!$D$2:$D$2000,"業者")</f>
        <v>0</v>
      </c>
      <c r="Q28" s="33">
        <f>SUM(C28:N28)</f>
        <v>0</v>
      </c>
      <c r="R28" s="33">
        <f>R27+C28</f>
        <v>0</v>
      </c>
      <c r="S28" s="33">
        <f>S27+D28</f>
        <v>7</v>
      </c>
      <c r="T28" s="33">
        <f>T27+E28</f>
        <v>0</v>
      </c>
      <c r="U28" s="33">
        <f>U27+F28</f>
        <v>0</v>
      </c>
      <c r="V28" s="33">
        <f>V27+G28</f>
        <v>0</v>
      </c>
      <c r="W28" s="33">
        <f>W27+H28</f>
        <v>0</v>
      </c>
      <c r="X28" s="33">
        <f>X27+I28</f>
        <v>0</v>
      </c>
      <c r="Y28" s="33">
        <f>Y27+J28</f>
        <v>0</v>
      </c>
      <c r="Z28" s="33">
        <f>Z27+K28</f>
        <v>0</v>
      </c>
      <c r="AA28" s="33">
        <f>AA27+L28</f>
        <v>0</v>
      </c>
      <c r="AB28" s="33">
        <f>AB27+M28</f>
        <v>0</v>
      </c>
      <c r="AC28" s="33">
        <f>AC27+N28</f>
        <v>0</v>
      </c>
      <c r="AD28" s="33">
        <f>AD27+O28</f>
        <v>7</v>
      </c>
      <c r="AE28" s="33">
        <f>AE27+P28</f>
        <v>0</v>
      </c>
      <c r="AF28" s="33">
        <f>AF27+Q28</f>
        <v>7</v>
      </c>
      <c r="AG28" s="34" t="str">
        <f>IFERROR(INDEX(台帳!$H$2:$H$2000,MATCH($A28,台帳!$A$2:$A$2000,0)),"")</f>
        <v/>
      </c>
    </row>
    <row r="29" spans="1:33" ht="15.75" x14ac:dyDescent="0.25">
      <c r="A29" s="31">
        <v>46156</v>
      </c>
      <c r="B29" s="32" t="str">
        <f>CHOOSE(WEEKDAY(A29),"日","月","火","水","木","金","土")</f>
        <v>木</v>
      </c>
      <c r="C29" s="33">
        <f>SUMIFS(台帳!$I$2:$I$2000,台帳!$A$2:$A$2000,$A29,台帳!$E$2:$E$2000,C$4)</f>
        <v>0</v>
      </c>
      <c r="D29" s="33">
        <f>SUMIFS(台帳!$I$2:$I$2000,台帳!$A$2:$A$2000,$A29,台帳!$E$2:$E$2000,D$4)</f>
        <v>0</v>
      </c>
      <c r="E29" s="33">
        <f>SUMIFS(台帳!$I$2:$I$2000,台帳!$A$2:$A$2000,$A29,台帳!$E$2:$E$2000,E$4)</f>
        <v>0</v>
      </c>
      <c r="F29" s="33">
        <f>SUMIFS(台帳!$I$2:$I$2000,台帳!$A$2:$A$2000,$A29,台帳!$E$2:$E$2000,F$4)</f>
        <v>0</v>
      </c>
      <c r="G29" s="33">
        <f>SUMIFS(台帳!$I$2:$I$2000,台帳!$A$2:$A$2000,$A29,台帳!$E$2:$E$2000,G$4)</f>
        <v>0</v>
      </c>
      <c r="H29" s="33">
        <f>SUMIFS(台帳!$I$2:$I$2000,台帳!$A$2:$A$2000,$A29,台帳!$E$2:$E$2000,H$4)</f>
        <v>0</v>
      </c>
      <c r="I29" s="33">
        <f>SUMIFS(台帳!$I$2:$I$2000,台帳!$A$2:$A$2000,$A29,台帳!$E$2:$E$2000,I$4)</f>
        <v>0</v>
      </c>
      <c r="J29" s="33">
        <f>SUMIFS(台帳!$I$2:$I$2000,台帳!$A$2:$A$2000,$A29,台帳!$E$2:$E$2000,J$4)</f>
        <v>0</v>
      </c>
      <c r="K29" s="33">
        <f>SUMIFS(台帳!$I$2:$I$2000,台帳!$A$2:$A$2000,$A29,台帳!$E$2:$E$2000,K$4)</f>
        <v>0</v>
      </c>
      <c r="L29" s="33">
        <f>SUMIFS(台帳!$I$2:$I$2000,台帳!$A$2:$A$2000,$A29,台帳!$E$2:$E$2000,L$4)</f>
        <v>0</v>
      </c>
      <c r="M29" s="33">
        <f>SUMIFS(台帳!$I$2:$I$2000,台帳!$A$2:$A$2000,$A29,台帳!$E$2:$E$2000,M$4)</f>
        <v>0</v>
      </c>
      <c r="N29" s="33">
        <f>SUMIFS(台帳!$I$2:$I$2000,台帳!$A$2:$A$2000,$A29,台帳!$E$2:$E$2000,N$4)</f>
        <v>0</v>
      </c>
      <c r="O29" s="33">
        <f>SUMIFS(台帳!$I$2:$I$2000,台帳!$A$2:$A$2000,$A29,台帳!$D$2:$D$2000,"自社")</f>
        <v>0</v>
      </c>
      <c r="P29" s="33">
        <f>SUMIFS(台帳!$I$2:$I$2000,台帳!$A$2:$A$2000,$A29,台帳!$D$2:$D$2000,"業者")</f>
        <v>0</v>
      </c>
      <c r="Q29" s="33">
        <f>SUM(C29:N29)</f>
        <v>0</v>
      </c>
      <c r="R29" s="33">
        <f>R28+C29</f>
        <v>0</v>
      </c>
      <c r="S29" s="33">
        <f>S28+D29</f>
        <v>7</v>
      </c>
      <c r="T29" s="33">
        <f>T28+E29</f>
        <v>0</v>
      </c>
      <c r="U29" s="33">
        <f>U28+F29</f>
        <v>0</v>
      </c>
      <c r="V29" s="33">
        <f>V28+G29</f>
        <v>0</v>
      </c>
      <c r="W29" s="33">
        <f>W28+H29</f>
        <v>0</v>
      </c>
      <c r="X29" s="33">
        <f>X28+I29</f>
        <v>0</v>
      </c>
      <c r="Y29" s="33">
        <f>Y28+J29</f>
        <v>0</v>
      </c>
      <c r="Z29" s="33">
        <f>Z28+K29</f>
        <v>0</v>
      </c>
      <c r="AA29" s="33">
        <f>AA28+L29</f>
        <v>0</v>
      </c>
      <c r="AB29" s="33">
        <f>AB28+M29</f>
        <v>0</v>
      </c>
      <c r="AC29" s="33">
        <f>AC28+N29</f>
        <v>0</v>
      </c>
      <c r="AD29" s="33">
        <f>AD28+O29</f>
        <v>7</v>
      </c>
      <c r="AE29" s="33">
        <f>AE28+P29</f>
        <v>0</v>
      </c>
      <c r="AF29" s="33">
        <f>AF28+Q29</f>
        <v>7</v>
      </c>
      <c r="AG29" s="34" t="str">
        <f>IFERROR(INDEX(台帳!$H$2:$H$2000,MATCH($A29,台帳!$A$2:$A$2000,0)),"")</f>
        <v/>
      </c>
    </row>
    <row r="30" spans="1:33" ht="15.75" x14ac:dyDescent="0.25">
      <c r="A30" s="31">
        <v>46157</v>
      </c>
      <c r="B30" s="32" t="str">
        <f>CHOOSE(WEEKDAY(A30),"日","月","火","水","木","金","土")</f>
        <v>金</v>
      </c>
      <c r="C30" s="33">
        <f>SUMIFS(台帳!$I$2:$I$2000,台帳!$A$2:$A$2000,$A30,台帳!$E$2:$E$2000,C$4)</f>
        <v>0</v>
      </c>
      <c r="D30" s="33">
        <f>SUMIFS(台帳!$I$2:$I$2000,台帳!$A$2:$A$2000,$A30,台帳!$E$2:$E$2000,D$4)</f>
        <v>0</v>
      </c>
      <c r="E30" s="33">
        <f>SUMIFS(台帳!$I$2:$I$2000,台帳!$A$2:$A$2000,$A30,台帳!$E$2:$E$2000,E$4)</f>
        <v>0</v>
      </c>
      <c r="F30" s="33">
        <f>SUMIFS(台帳!$I$2:$I$2000,台帳!$A$2:$A$2000,$A30,台帳!$E$2:$E$2000,F$4)</f>
        <v>0</v>
      </c>
      <c r="G30" s="33">
        <f>SUMIFS(台帳!$I$2:$I$2000,台帳!$A$2:$A$2000,$A30,台帳!$E$2:$E$2000,G$4)</f>
        <v>0</v>
      </c>
      <c r="H30" s="33">
        <f>SUMIFS(台帳!$I$2:$I$2000,台帳!$A$2:$A$2000,$A30,台帳!$E$2:$E$2000,H$4)</f>
        <v>0</v>
      </c>
      <c r="I30" s="33">
        <f>SUMIFS(台帳!$I$2:$I$2000,台帳!$A$2:$A$2000,$A30,台帳!$E$2:$E$2000,I$4)</f>
        <v>0</v>
      </c>
      <c r="J30" s="33">
        <f>SUMIFS(台帳!$I$2:$I$2000,台帳!$A$2:$A$2000,$A30,台帳!$E$2:$E$2000,J$4)</f>
        <v>0</v>
      </c>
      <c r="K30" s="33">
        <f>SUMIFS(台帳!$I$2:$I$2000,台帳!$A$2:$A$2000,$A30,台帳!$E$2:$E$2000,K$4)</f>
        <v>0</v>
      </c>
      <c r="L30" s="33">
        <f>SUMIFS(台帳!$I$2:$I$2000,台帳!$A$2:$A$2000,$A30,台帳!$E$2:$E$2000,L$4)</f>
        <v>0</v>
      </c>
      <c r="M30" s="33">
        <f>SUMIFS(台帳!$I$2:$I$2000,台帳!$A$2:$A$2000,$A30,台帳!$E$2:$E$2000,M$4)</f>
        <v>0</v>
      </c>
      <c r="N30" s="33">
        <f>SUMIFS(台帳!$I$2:$I$2000,台帳!$A$2:$A$2000,$A30,台帳!$E$2:$E$2000,N$4)</f>
        <v>0</v>
      </c>
      <c r="O30" s="33">
        <f>SUMIFS(台帳!$I$2:$I$2000,台帳!$A$2:$A$2000,$A30,台帳!$D$2:$D$2000,"自社")</f>
        <v>0</v>
      </c>
      <c r="P30" s="33">
        <f>SUMIFS(台帳!$I$2:$I$2000,台帳!$A$2:$A$2000,$A30,台帳!$D$2:$D$2000,"業者")</f>
        <v>0</v>
      </c>
      <c r="Q30" s="33">
        <f>SUM(C30:N30)</f>
        <v>0</v>
      </c>
      <c r="R30" s="33">
        <f>R29+C30</f>
        <v>0</v>
      </c>
      <c r="S30" s="33">
        <f>S29+D30</f>
        <v>7</v>
      </c>
      <c r="T30" s="33">
        <f>T29+E30</f>
        <v>0</v>
      </c>
      <c r="U30" s="33">
        <f>U29+F30</f>
        <v>0</v>
      </c>
      <c r="V30" s="33">
        <f>V29+G30</f>
        <v>0</v>
      </c>
      <c r="W30" s="33">
        <f>W29+H30</f>
        <v>0</v>
      </c>
      <c r="X30" s="33">
        <f>X29+I30</f>
        <v>0</v>
      </c>
      <c r="Y30" s="33">
        <f>Y29+J30</f>
        <v>0</v>
      </c>
      <c r="Z30" s="33">
        <f>Z29+K30</f>
        <v>0</v>
      </c>
      <c r="AA30" s="33">
        <f>AA29+L30</f>
        <v>0</v>
      </c>
      <c r="AB30" s="33">
        <f>AB29+M30</f>
        <v>0</v>
      </c>
      <c r="AC30" s="33">
        <f>AC29+N30</f>
        <v>0</v>
      </c>
      <c r="AD30" s="33">
        <f>AD29+O30</f>
        <v>7</v>
      </c>
      <c r="AE30" s="33">
        <f>AE29+P30</f>
        <v>0</v>
      </c>
      <c r="AF30" s="33">
        <f>AF29+Q30</f>
        <v>7</v>
      </c>
      <c r="AG30" s="34" t="str">
        <f>IFERROR(INDEX(台帳!$H$2:$H$2000,MATCH($A30,台帳!$A$2:$A$2000,0)),"")</f>
        <v/>
      </c>
    </row>
    <row r="31" spans="1:33" ht="15.75" x14ac:dyDescent="0.25">
      <c r="A31" s="35">
        <v>46158</v>
      </c>
      <c r="B31" s="36" t="str">
        <f>CHOOSE(WEEKDAY(A31),"日","月","火","水","木","金","土")</f>
        <v>土</v>
      </c>
      <c r="C31" s="37">
        <f>SUMIFS(台帳!$I$2:$I$2000,台帳!$A$2:$A$2000,$A31,台帳!$E$2:$E$2000,C$4)</f>
        <v>0</v>
      </c>
      <c r="D31" s="37">
        <f>SUMIFS(台帳!$I$2:$I$2000,台帳!$A$2:$A$2000,$A31,台帳!$E$2:$E$2000,D$4)</f>
        <v>0</v>
      </c>
      <c r="E31" s="37">
        <f>SUMIFS(台帳!$I$2:$I$2000,台帳!$A$2:$A$2000,$A31,台帳!$E$2:$E$2000,E$4)</f>
        <v>0</v>
      </c>
      <c r="F31" s="37">
        <f>SUMIFS(台帳!$I$2:$I$2000,台帳!$A$2:$A$2000,$A31,台帳!$E$2:$E$2000,F$4)</f>
        <v>0</v>
      </c>
      <c r="G31" s="37">
        <f>SUMIFS(台帳!$I$2:$I$2000,台帳!$A$2:$A$2000,$A31,台帳!$E$2:$E$2000,G$4)</f>
        <v>0</v>
      </c>
      <c r="H31" s="37">
        <f>SUMIFS(台帳!$I$2:$I$2000,台帳!$A$2:$A$2000,$A31,台帳!$E$2:$E$2000,H$4)</f>
        <v>0</v>
      </c>
      <c r="I31" s="37">
        <f>SUMIFS(台帳!$I$2:$I$2000,台帳!$A$2:$A$2000,$A31,台帳!$E$2:$E$2000,I$4)</f>
        <v>0</v>
      </c>
      <c r="J31" s="37">
        <f>SUMIFS(台帳!$I$2:$I$2000,台帳!$A$2:$A$2000,$A31,台帳!$E$2:$E$2000,J$4)</f>
        <v>0</v>
      </c>
      <c r="K31" s="37">
        <f>SUMIFS(台帳!$I$2:$I$2000,台帳!$A$2:$A$2000,$A31,台帳!$E$2:$E$2000,K$4)</f>
        <v>0</v>
      </c>
      <c r="L31" s="37">
        <f>SUMIFS(台帳!$I$2:$I$2000,台帳!$A$2:$A$2000,$A31,台帳!$E$2:$E$2000,L$4)</f>
        <v>0</v>
      </c>
      <c r="M31" s="37">
        <f>SUMIFS(台帳!$I$2:$I$2000,台帳!$A$2:$A$2000,$A31,台帳!$E$2:$E$2000,M$4)</f>
        <v>0</v>
      </c>
      <c r="N31" s="37">
        <f>SUMIFS(台帳!$I$2:$I$2000,台帳!$A$2:$A$2000,$A31,台帳!$E$2:$E$2000,N$4)</f>
        <v>0</v>
      </c>
      <c r="O31" s="37">
        <f>SUMIFS(台帳!$I$2:$I$2000,台帳!$A$2:$A$2000,$A31,台帳!$D$2:$D$2000,"自社")</f>
        <v>0</v>
      </c>
      <c r="P31" s="37">
        <f>SUMIFS(台帳!$I$2:$I$2000,台帳!$A$2:$A$2000,$A31,台帳!$D$2:$D$2000,"業者")</f>
        <v>0</v>
      </c>
      <c r="Q31" s="37">
        <f>SUM(C31:N31)</f>
        <v>0</v>
      </c>
      <c r="R31" s="37">
        <f>R30+C31</f>
        <v>0</v>
      </c>
      <c r="S31" s="37">
        <f>S30+D31</f>
        <v>7</v>
      </c>
      <c r="T31" s="37">
        <f>T30+E31</f>
        <v>0</v>
      </c>
      <c r="U31" s="37">
        <f>U30+F31</f>
        <v>0</v>
      </c>
      <c r="V31" s="37">
        <f>V30+G31</f>
        <v>0</v>
      </c>
      <c r="W31" s="37">
        <f>W30+H31</f>
        <v>0</v>
      </c>
      <c r="X31" s="37">
        <f>X30+I31</f>
        <v>0</v>
      </c>
      <c r="Y31" s="37">
        <f>Y30+J31</f>
        <v>0</v>
      </c>
      <c r="Z31" s="37">
        <f>Z30+K31</f>
        <v>0</v>
      </c>
      <c r="AA31" s="37">
        <f>AA30+L31</f>
        <v>0</v>
      </c>
      <c r="AB31" s="37">
        <f>AB30+M31</f>
        <v>0</v>
      </c>
      <c r="AC31" s="37">
        <f>AC30+N31</f>
        <v>0</v>
      </c>
      <c r="AD31" s="37">
        <f>AD30+O31</f>
        <v>7</v>
      </c>
      <c r="AE31" s="37">
        <f>AE30+P31</f>
        <v>0</v>
      </c>
      <c r="AF31" s="37">
        <f>AF30+Q31</f>
        <v>7</v>
      </c>
      <c r="AG31" s="38" t="str">
        <f>IFERROR(INDEX(台帳!$H$2:$H$2000,MATCH($A31,台帳!$A$2:$A$2000,0)),"")</f>
        <v/>
      </c>
    </row>
    <row r="32" spans="1:33" ht="15.75" x14ac:dyDescent="0.25">
      <c r="A32" s="35">
        <v>46159</v>
      </c>
      <c r="B32" s="36" t="str">
        <f>CHOOSE(WEEKDAY(A32),"日","月","火","水","木","金","土")</f>
        <v>日</v>
      </c>
      <c r="C32" s="37">
        <f>SUMIFS(台帳!$I$2:$I$2000,台帳!$A$2:$A$2000,$A32,台帳!$E$2:$E$2000,C$4)</f>
        <v>0</v>
      </c>
      <c r="D32" s="37">
        <f>SUMIFS(台帳!$I$2:$I$2000,台帳!$A$2:$A$2000,$A32,台帳!$E$2:$E$2000,D$4)</f>
        <v>0</v>
      </c>
      <c r="E32" s="37">
        <f>SUMIFS(台帳!$I$2:$I$2000,台帳!$A$2:$A$2000,$A32,台帳!$E$2:$E$2000,E$4)</f>
        <v>0</v>
      </c>
      <c r="F32" s="37">
        <f>SUMIFS(台帳!$I$2:$I$2000,台帳!$A$2:$A$2000,$A32,台帳!$E$2:$E$2000,F$4)</f>
        <v>0</v>
      </c>
      <c r="G32" s="37">
        <f>SUMIFS(台帳!$I$2:$I$2000,台帳!$A$2:$A$2000,$A32,台帳!$E$2:$E$2000,G$4)</f>
        <v>0</v>
      </c>
      <c r="H32" s="37">
        <f>SUMIFS(台帳!$I$2:$I$2000,台帳!$A$2:$A$2000,$A32,台帳!$E$2:$E$2000,H$4)</f>
        <v>0</v>
      </c>
      <c r="I32" s="37">
        <f>SUMIFS(台帳!$I$2:$I$2000,台帳!$A$2:$A$2000,$A32,台帳!$E$2:$E$2000,I$4)</f>
        <v>0</v>
      </c>
      <c r="J32" s="37">
        <f>SUMIFS(台帳!$I$2:$I$2000,台帳!$A$2:$A$2000,$A32,台帳!$E$2:$E$2000,J$4)</f>
        <v>0</v>
      </c>
      <c r="K32" s="37">
        <f>SUMIFS(台帳!$I$2:$I$2000,台帳!$A$2:$A$2000,$A32,台帳!$E$2:$E$2000,K$4)</f>
        <v>0</v>
      </c>
      <c r="L32" s="37">
        <f>SUMIFS(台帳!$I$2:$I$2000,台帳!$A$2:$A$2000,$A32,台帳!$E$2:$E$2000,L$4)</f>
        <v>0</v>
      </c>
      <c r="M32" s="37">
        <f>SUMIFS(台帳!$I$2:$I$2000,台帳!$A$2:$A$2000,$A32,台帳!$E$2:$E$2000,M$4)</f>
        <v>0</v>
      </c>
      <c r="N32" s="37">
        <f>SUMIFS(台帳!$I$2:$I$2000,台帳!$A$2:$A$2000,$A32,台帳!$E$2:$E$2000,N$4)</f>
        <v>0</v>
      </c>
      <c r="O32" s="37">
        <f>SUMIFS(台帳!$I$2:$I$2000,台帳!$A$2:$A$2000,$A32,台帳!$D$2:$D$2000,"自社")</f>
        <v>0</v>
      </c>
      <c r="P32" s="37">
        <f>SUMIFS(台帳!$I$2:$I$2000,台帳!$A$2:$A$2000,$A32,台帳!$D$2:$D$2000,"業者")</f>
        <v>0</v>
      </c>
      <c r="Q32" s="37">
        <f>SUM(C32:N32)</f>
        <v>0</v>
      </c>
      <c r="R32" s="37">
        <f>R31+C32</f>
        <v>0</v>
      </c>
      <c r="S32" s="37">
        <f>S31+D32</f>
        <v>7</v>
      </c>
      <c r="T32" s="37">
        <f>T31+E32</f>
        <v>0</v>
      </c>
      <c r="U32" s="37">
        <f>U31+F32</f>
        <v>0</v>
      </c>
      <c r="V32" s="37">
        <f>V31+G32</f>
        <v>0</v>
      </c>
      <c r="W32" s="37">
        <f>W31+H32</f>
        <v>0</v>
      </c>
      <c r="X32" s="37">
        <f>X31+I32</f>
        <v>0</v>
      </c>
      <c r="Y32" s="37">
        <f>Y31+J32</f>
        <v>0</v>
      </c>
      <c r="Z32" s="37">
        <f>Z31+K32</f>
        <v>0</v>
      </c>
      <c r="AA32" s="37">
        <f>AA31+L32</f>
        <v>0</v>
      </c>
      <c r="AB32" s="37">
        <f>AB31+M32</f>
        <v>0</v>
      </c>
      <c r="AC32" s="37">
        <f>AC31+N32</f>
        <v>0</v>
      </c>
      <c r="AD32" s="37">
        <f>AD31+O32</f>
        <v>7</v>
      </c>
      <c r="AE32" s="37">
        <f>AE31+P32</f>
        <v>0</v>
      </c>
      <c r="AF32" s="37">
        <f>AF31+Q32</f>
        <v>7</v>
      </c>
      <c r="AG32" s="38" t="str">
        <f>IFERROR(INDEX(台帳!$H$2:$H$2000,MATCH($A32,台帳!$A$2:$A$2000,0)),"")</f>
        <v/>
      </c>
    </row>
    <row r="33" spans="1:33" ht="15.75" x14ac:dyDescent="0.25">
      <c r="A33" s="31">
        <v>46160</v>
      </c>
      <c r="B33" s="32" t="str">
        <f>CHOOSE(WEEKDAY(A33),"日","月","火","水","木","金","土")</f>
        <v>月</v>
      </c>
      <c r="C33" s="33">
        <f>SUMIFS(台帳!$I$2:$I$2000,台帳!$A$2:$A$2000,$A33,台帳!$E$2:$E$2000,C$4)</f>
        <v>0</v>
      </c>
      <c r="D33" s="33">
        <f>SUMIFS(台帳!$I$2:$I$2000,台帳!$A$2:$A$2000,$A33,台帳!$E$2:$E$2000,D$4)</f>
        <v>0</v>
      </c>
      <c r="E33" s="33">
        <f>SUMIFS(台帳!$I$2:$I$2000,台帳!$A$2:$A$2000,$A33,台帳!$E$2:$E$2000,E$4)</f>
        <v>0</v>
      </c>
      <c r="F33" s="33">
        <f>SUMIFS(台帳!$I$2:$I$2000,台帳!$A$2:$A$2000,$A33,台帳!$E$2:$E$2000,F$4)</f>
        <v>0</v>
      </c>
      <c r="G33" s="33">
        <f>SUMIFS(台帳!$I$2:$I$2000,台帳!$A$2:$A$2000,$A33,台帳!$E$2:$E$2000,G$4)</f>
        <v>0</v>
      </c>
      <c r="H33" s="33">
        <f>SUMIFS(台帳!$I$2:$I$2000,台帳!$A$2:$A$2000,$A33,台帳!$E$2:$E$2000,H$4)</f>
        <v>0</v>
      </c>
      <c r="I33" s="33">
        <f>SUMIFS(台帳!$I$2:$I$2000,台帳!$A$2:$A$2000,$A33,台帳!$E$2:$E$2000,I$4)</f>
        <v>0</v>
      </c>
      <c r="J33" s="33">
        <f>SUMIFS(台帳!$I$2:$I$2000,台帳!$A$2:$A$2000,$A33,台帳!$E$2:$E$2000,J$4)</f>
        <v>0</v>
      </c>
      <c r="K33" s="33">
        <f>SUMIFS(台帳!$I$2:$I$2000,台帳!$A$2:$A$2000,$A33,台帳!$E$2:$E$2000,K$4)</f>
        <v>0</v>
      </c>
      <c r="L33" s="33">
        <f>SUMIFS(台帳!$I$2:$I$2000,台帳!$A$2:$A$2000,$A33,台帳!$E$2:$E$2000,L$4)</f>
        <v>0</v>
      </c>
      <c r="M33" s="33">
        <f>SUMIFS(台帳!$I$2:$I$2000,台帳!$A$2:$A$2000,$A33,台帳!$E$2:$E$2000,M$4)</f>
        <v>0</v>
      </c>
      <c r="N33" s="33">
        <f>SUMIFS(台帳!$I$2:$I$2000,台帳!$A$2:$A$2000,$A33,台帳!$E$2:$E$2000,N$4)</f>
        <v>0</v>
      </c>
      <c r="O33" s="33">
        <f>SUMIFS(台帳!$I$2:$I$2000,台帳!$A$2:$A$2000,$A33,台帳!$D$2:$D$2000,"自社")</f>
        <v>0</v>
      </c>
      <c r="P33" s="33">
        <f>SUMIFS(台帳!$I$2:$I$2000,台帳!$A$2:$A$2000,$A33,台帳!$D$2:$D$2000,"業者")</f>
        <v>0</v>
      </c>
      <c r="Q33" s="33">
        <f>SUM(C33:N33)</f>
        <v>0</v>
      </c>
      <c r="R33" s="33">
        <f>R32+C33</f>
        <v>0</v>
      </c>
      <c r="S33" s="33">
        <f>S32+D33</f>
        <v>7</v>
      </c>
      <c r="T33" s="33">
        <f>T32+E33</f>
        <v>0</v>
      </c>
      <c r="U33" s="33">
        <f>U32+F33</f>
        <v>0</v>
      </c>
      <c r="V33" s="33">
        <f>V32+G33</f>
        <v>0</v>
      </c>
      <c r="W33" s="33">
        <f>W32+H33</f>
        <v>0</v>
      </c>
      <c r="X33" s="33">
        <f>X32+I33</f>
        <v>0</v>
      </c>
      <c r="Y33" s="33">
        <f>Y32+J33</f>
        <v>0</v>
      </c>
      <c r="Z33" s="33">
        <f>Z32+K33</f>
        <v>0</v>
      </c>
      <c r="AA33" s="33">
        <f>AA32+L33</f>
        <v>0</v>
      </c>
      <c r="AB33" s="33">
        <f>AB32+M33</f>
        <v>0</v>
      </c>
      <c r="AC33" s="33">
        <f>AC32+N33</f>
        <v>0</v>
      </c>
      <c r="AD33" s="33">
        <f>AD32+O33</f>
        <v>7</v>
      </c>
      <c r="AE33" s="33">
        <f>AE32+P33</f>
        <v>0</v>
      </c>
      <c r="AF33" s="33">
        <f>AF32+Q33</f>
        <v>7</v>
      </c>
      <c r="AG33" s="34" t="str">
        <f>IFERROR(INDEX(台帳!$H$2:$H$2000,MATCH($A33,台帳!$A$2:$A$2000,0)),"")</f>
        <v/>
      </c>
    </row>
    <row r="34" spans="1:33" ht="15.75" x14ac:dyDescent="0.25">
      <c r="A34" s="31">
        <v>46161</v>
      </c>
      <c r="B34" s="32" t="str">
        <f>CHOOSE(WEEKDAY(A34),"日","月","火","水","木","金","土")</f>
        <v>火</v>
      </c>
      <c r="C34" s="33">
        <f>SUMIFS(台帳!$I$2:$I$2000,台帳!$A$2:$A$2000,$A34,台帳!$E$2:$E$2000,C$4)</f>
        <v>0</v>
      </c>
      <c r="D34" s="33">
        <f>SUMIFS(台帳!$I$2:$I$2000,台帳!$A$2:$A$2000,$A34,台帳!$E$2:$E$2000,D$4)</f>
        <v>0</v>
      </c>
      <c r="E34" s="33">
        <f>SUMIFS(台帳!$I$2:$I$2000,台帳!$A$2:$A$2000,$A34,台帳!$E$2:$E$2000,E$4)</f>
        <v>2</v>
      </c>
      <c r="F34" s="33">
        <f>SUMIFS(台帳!$I$2:$I$2000,台帳!$A$2:$A$2000,$A34,台帳!$E$2:$E$2000,F$4)</f>
        <v>0</v>
      </c>
      <c r="G34" s="33">
        <f>SUMIFS(台帳!$I$2:$I$2000,台帳!$A$2:$A$2000,$A34,台帳!$E$2:$E$2000,G$4)</f>
        <v>0</v>
      </c>
      <c r="H34" s="33">
        <f>SUMIFS(台帳!$I$2:$I$2000,台帳!$A$2:$A$2000,$A34,台帳!$E$2:$E$2000,H$4)</f>
        <v>0</v>
      </c>
      <c r="I34" s="33">
        <f>SUMIFS(台帳!$I$2:$I$2000,台帳!$A$2:$A$2000,$A34,台帳!$E$2:$E$2000,I$4)</f>
        <v>0</v>
      </c>
      <c r="J34" s="33">
        <f>SUMIFS(台帳!$I$2:$I$2000,台帳!$A$2:$A$2000,$A34,台帳!$E$2:$E$2000,J$4)</f>
        <v>0</v>
      </c>
      <c r="K34" s="33">
        <f>SUMIFS(台帳!$I$2:$I$2000,台帳!$A$2:$A$2000,$A34,台帳!$E$2:$E$2000,K$4)</f>
        <v>0</v>
      </c>
      <c r="L34" s="33">
        <f>SUMIFS(台帳!$I$2:$I$2000,台帳!$A$2:$A$2000,$A34,台帳!$E$2:$E$2000,L$4)</f>
        <v>0</v>
      </c>
      <c r="M34" s="33">
        <f>SUMIFS(台帳!$I$2:$I$2000,台帳!$A$2:$A$2000,$A34,台帳!$E$2:$E$2000,M$4)</f>
        <v>0</v>
      </c>
      <c r="N34" s="33">
        <f>SUMIFS(台帳!$I$2:$I$2000,台帳!$A$2:$A$2000,$A34,台帳!$E$2:$E$2000,N$4)</f>
        <v>0</v>
      </c>
      <c r="O34" s="33">
        <f>SUMIFS(台帳!$I$2:$I$2000,台帳!$A$2:$A$2000,$A34,台帳!$D$2:$D$2000,"自社")</f>
        <v>2</v>
      </c>
      <c r="P34" s="33">
        <f>SUMIFS(台帳!$I$2:$I$2000,台帳!$A$2:$A$2000,$A34,台帳!$D$2:$D$2000,"業者")</f>
        <v>0</v>
      </c>
      <c r="Q34" s="33">
        <f>SUM(C34:N34)</f>
        <v>2</v>
      </c>
      <c r="R34" s="33">
        <f>R33+C34</f>
        <v>0</v>
      </c>
      <c r="S34" s="33">
        <f>S33+D34</f>
        <v>7</v>
      </c>
      <c r="T34" s="33">
        <f>T33+E34</f>
        <v>2</v>
      </c>
      <c r="U34" s="33">
        <f>U33+F34</f>
        <v>0</v>
      </c>
      <c r="V34" s="33">
        <f>V33+G34</f>
        <v>0</v>
      </c>
      <c r="W34" s="33">
        <f>W33+H34</f>
        <v>0</v>
      </c>
      <c r="X34" s="33">
        <f>X33+I34</f>
        <v>0</v>
      </c>
      <c r="Y34" s="33">
        <f>Y33+J34</f>
        <v>0</v>
      </c>
      <c r="Z34" s="33">
        <f>Z33+K34</f>
        <v>0</v>
      </c>
      <c r="AA34" s="33">
        <f>AA33+L34</f>
        <v>0</v>
      </c>
      <c r="AB34" s="33">
        <f>AB33+M34</f>
        <v>0</v>
      </c>
      <c r="AC34" s="33">
        <f>AC33+N34</f>
        <v>0</v>
      </c>
      <c r="AD34" s="33">
        <f>AD33+O34</f>
        <v>9</v>
      </c>
      <c r="AE34" s="33">
        <f>AE33+P34</f>
        <v>0</v>
      </c>
      <c r="AF34" s="33">
        <f>AF33+Q34</f>
        <v>9</v>
      </c>
      <c r="AG34" s="34" t="str">
        <f>IFERROR(INDEX(台帳!$H$2:$H$2000,MATCH($A34,台帳!$A$2:$A$2000,0)),"")</f>
        <v>擁壁基礎整地、捨てコン打設1.5m3</v>
      </c>
    </row>
    <row r="35" spans="1:33" ht="15.75" x14ac:dyDescent="0.25">
      <c r="A35" s="31">
        <v>46162</v>
      </c>
      <c r="B35" s="32" t="str">
        <f>CHOOSE(WEEKDAY(A35),"日","月","火","水","木","金","土")</f>
        <v>水</v>
      </c>
      <c r="C35" s="33">
        <f>SUMIFS(台帳!$I$2:$I$2000,台帳!$A$2:$A$2000,$A35,台帳!$E$2:$E$2000,C$4)</f>
        <v>0</v>
      </c>
      <c r="D35" s="33">
        <f>SUMIFS(台帳!$I$2:$I$2000,台帳!$A$2:$A$2000,$A35,台帳!$E$2:$E$2000,D$4)</f>
        <v>0</v>
      </c>
      <c r="E35" s="33">
        <f>SUMIFS(台帳!$I$2:$I$2000,台帳!$A$2:$A$2000,$A35,台帳!$E$2:$E$2000,E$4)</f>
        <v>2</v>
      </c>
      <c r="F35" s="33">
        <f>SUMIFS(台帳!$I$2:$I$2000,台帳!$A$2:$A$2000,$A35,台帳!$E$2:$E$2000,F$4)</f>
        <v>0</v>
      </c>
      <c r="G35" s="33">
        <f>SUMIFS(台帳!$I$2:$I$2000,台帳!$A$2:$A$2000,$A35,台帳!$E$2:$E$2000,G$4)</f>
        <v>0</v>
      </c>
      <c r="H35" s="33">
        <f>SUMIFS(台帳!$I$2:$I$2000,台帳!$A$2:$A$2000,$A35,台帳!$E$2:$E$2000,H$4)</f>
        <v>0</v>
      </c>
      <c r="I35" s="33">
        <f>SUMIFS(台帳!$I$2:$I$2000,台帳!$A$2:$A$2000,$A35,台帳!$E$2:$E$2000,I$4)</f>
        <v>0</v>
      </c>
      <c r="J35" s="33">
        <f>SUMIFS(台帳!$I$2:$I$2000,台帳!$A$2:$A$2000,$A35,台帳!$E$2:$E$2000,J$4)</f>
        <v>0</v>
      </c>
      <c r="K35" s="33">
        <f>SUMIFS(台帳!$I$2:$I$2000,台帳!$A$2:$A$2000,$A35,台帳!$E$2:$E$2000,K$4)</f>
        <v>0</v>
      </c>
      <c r="L35" s="33">
        <f>SUMIFS(台帳!$I$2:$I$2000,台帳!$A$2:$A$2000,$A35,台帳!$E$2:$E$2000,L$4)</f>
        <v>0</v>
      </c>
      <c r="M35" s="33">
        <f>SUMIFS(台帳!$I$2:$I$2000,台帳!$A$2:$A$2000,$A35,台帳!$E$2:$E$2000,M$4)</f>
        <v>0</v>
      </c>
      <c r="N35" s="33">
        <f>SUMIFS(台帳!$I$2:$I$2000,台帳!$A$2:$A$2000,$A35,台帳!$E$2:$E$2000,N$4)</f>
        <v>0</v>
      </c>
      <c r="O35" s="33">
        <f>SUMIFS(台帳!$I$2:$I$2000,台帳!$A$2:$A$2000,$A35,台帳!$D$2:$D$2000,"自社")</f>
        <v>2</v>
      </c>
      <c r="P35" s="33">
        <f>SUMIFS(台帳!$I$2:$I$2000,台帳!$A$2:$A$2000,$A35,台帳!$D$2:$D$2000,"業者")</f>
        <v>0</v>
      </c>
      <c r="Q35" s="33">
        <f>SUM(C35:N35)</f>
        <v>2</v>
      </c>
      <c r="R35" s="33">
        <f>R34+C35</f>
        <v>0</v>
      </c>
      <c r="S35" s="33">
        <f>S34+D35</f>
        <v>7</v>
      </c>
      <c r="T35" s="33">
        <f>T34+E35</f>
        <v>4</v>
      </c>
      <c r="U35" s="33">
        <f>U34+F35</f>
        <v>0</v>
      </c>
      <c r="V35" s="33">
        <f>V34+G35</f>
        <v>0</v>
      </c>
      <c r="W35" s="33">
        <f>W34+H35</f>
        <v>0</v>
      </c>
      <c r="X35" s="33">
        <f>X34+I35</f>
        <v>0</v>
      </c>
      <c r="Y35" s="33">
        <f>Y34+J35</f>
        <v>0</v>
      </c>
      <c r="Z35" s="33">
        <f>Z34+K35</f>
        <v>0</v>
      </c>
      <c r="AA35" s="33">
        <f>AA34+L35</f>
        <v>0</v>
      </c>
      <c r="AB35" s="33">
        <f>AB34+M35</f>
        <v>0</v>
      </c>
      <c r="AC35" s="33">
        <f>AC34+N35</f>
        <v>0</v>
      </c>
      <c r="AD35" s="33">
        <f>AD34+O35</f>
        <v>11</v>
      </c>
      <c r="AE35" s="33">
        <f>AE34+P35</f>
        <v>0</v>
      </c>
      <c r="AF35" s="33">
        <f>AF34+Q35</f>
        <v>11</v>
      </c>
      <c r="AG35" s="34" t="str">
        <f>IFERROR(INDEX(台帳!$H$2:$H$2000,MATCH($A35,台帳!$A$2:$A$2000,0)),"")</f>
        <v>擁壁基礎整地</v>
      </c>
    </row>
    <row r="36" spans="1:33" ht="15.75" x14ac:dyDescent="0.25">
      <c r="A36" s="31">
        <v>46163</v>
      </c>
      <c r="B36" s="32" t="str">
        <f>CHOOSE(WEEKDAY(A36),"日","月","火","水","木","金","土")</f>
        <v>木</v>
      </c>
      <c r="C36" s="33">
        <f>SUMIFS(台帳!$I$2:$I$2000,台帳!$A$2:$A$2000,$A36,台帳!$E$2:$E$2000,C$4)</f>
        <v>0</v>
      </c>
      <c r="D36" s="33">
        <f>SUMIFS(台帳!$I$2:$I$2000,台帳!$A$2:$A$2000,$A36,台帳!$E$2:$E$2000,D$4)</f>
        <v>0</v>
      </c>
      <c r="E36" s="33">
        <f>SUMIFS(台帳!$I$2:$I$2000,台帳!$A$2:$A$2000,$A36,台帳!$E$2:$E$2000,E$4)</f>
        <v>2</v>
      </c>
      <c r="F36" s="33">
        <f>SUMIFS(台帳!$I$2:$I$2000,台帳!$A$2:$A$2000,$A36,台帳!$E$2:$E$2000,F$4)</f>
        <v>0</v>
      </c>
      <c r="G36" s="33">
        <f>SUMIFS(台帳!$I$2:$I$2000,台帳!$A$2:$A$2000,$A36,台帳!$E$2:$E$2000,G$4)</f>
        <v>0</v>
      </c>
      <c r="H36" s="33">
        <f>SUMIFS(台帳!$I$2:$I$2000,台帳!$A$2:$A$2000,$A36,台帳!$E$2:$E$2000,H$4)</f>
        <v>0</v>
      </c>
      <c r="I36" s="33">
        <f>SUMIFS(台帳!$I$2:$I$2000,台帳!$A$2:$A$2000,$A36,台帳!$E$2:$E$2000,I$4)</f>
        <v>0</v>
      </c>
      <c r="J36" s="33">
        <f>SUMIFS(台帳!$I$2:$I$2000,台帳!$A$2:$A$2000,$A36,台帳!$E$2:$E$2000,J$4)</f>
        <v>0</v>
      </c>
      <c r="K36" s="33">
        <f>SUMIFS(台帳!$I$2:$I$2000,台帳!$A$2:$A$2000,$A36,台帳!$E$2:$E$2000,K$4)</f>
        <v>0</v>
      </c>
      <c r="L36" s="33">
        <f>SUMIFS(台帳!$I$2:$I$2000,台帳!$A$2:$A$2000,$A36,台帳!$E$2:$E$2000,L$4)</f>
        <v>0</v>
      </c>
      <c r="M36" s="33">
        <f>SUMIFS(台帳!$I$2:$I$2000,台帳!$A$2:$A$2000,$A36,台帳!$E$2:$E$2000,M$4)</f>
        <v>0</v>
      </c>
      <c r="N36" s="33">
        <f>SUMIFS(台帳!$I$2:$I$2000,台帳!$A$2:$A$2000,$A36,台帳!$E$2:$E$2000,N$4)</f>
        <v>0</v>
      </c>
      <c r="O36" s="33">
        <f>SUMIFS(台帳!$I$2:$I$2000,台帳!$A$2:$A$2000,$A36,台帳!$D$2:$D$2000,"自社")</f>
        <v>2</v>
      </c>
      <c r="P36" s="33">
        <f>SUMIFS(台帳!$I$2:$I$2000,台帳!$A$2:$A$2000,$A36,台帳!$D$2:$D$2000,"業者")</f>
        <v>0</v>
      </c>
      <c r="Q36" s="33">
        <f>SUM(C36:N36)</f>
        <v>2</v>
      </c>
      <c r="R36" s="33">
        <f>R35+C36</f>
        <v>0</v>
      </c>
      <c r="S36" s="33">
        <f>S35+D36</f>
        <v>7</v>
      </c>
      <c r="T36" s="33">
        <f>T35+E36</f>
        <v>6</v>
      </c>
      <c r="U36" s="33">
        <f>U35+F36</f>
        <v>0</v>
      </c>
      <c r="V36" s="33">
        <f>V35+G36</f>
        <v>0</v>
      </c>
      <c r="W36" s="33">
        <f>W35+H36</f>
        <v>0</v>
      </c>
      <c r="X36" s="33">
        <f>X35+I36</f>
        <v>0</v>
      </c>
      <c r="Y36" s="33">
        <f>Y35+J36</f>
        <v>0</v>
      </c>
      <c r="Z36" s="33">
        <f>Z35+K36</f>
        <v>0</v>
      </c>
      <c r="AA36" s="33">
        <f>AA35+L36</f>
        <v>0</v>
      </c>
      <c r="AB36" s="33">
        <f>AB35+M36</f>
        <v>0</v>
      </c>
      <c r="AC36" s="33">
        <f>AC35+N36</f>
        <v>0</v>
      </c>
      <c r="AD36" s="33">
        <f>AD35+O36</f>
        <v>13</v>
      </c>
      <c r="AE36" s="33">
        <f>AE35+P36</f>
        <v>0</v>
      </c>
      <c r="AF36" s="33">
        <f>AF35+Q36</f>
        <v>13</v>
      </c>
      <c r="AG36" s="34" t="str">
        <f>IFERROR(INDEX(台帳!$H$2:$H$2000,MATCH($A36,台帳!$A$2:$A$2000,0)),"")</f>
        <v>擁壁基礎整地</v>
      </c>
    </row>
    <row r="37" spans="1:33" ht="15.75" x14ac:dyDescent="0.25">
      <c r="A37" s="31">
        <v>46164</v>
      </c>
      <c r="B37" s="32" t="str">
        <f>CHOOSE(WEEKDAY(A37),"日","月","火","水","木","金","土")</f>
        <v>金</v>
      </c>
      <c r="C37" s="33">
        <f>SUMIFS(台帳!$I$2:$I$2000,台帳!$A$2:$A$2000,$A37,台帳!$E$2:$E$2000,C$4)</f>
        <v>0</v>
      </c>
      <c r="D37" s="33">
        <f>SUMIFS(台帳!$I$2:$I$2000,台帳!$A$2:$A$2000,$A37,台帳!$E$2:$E$2000,D$4)</f>
        <v>0</v>
      </c>
      <c r="E37" s="33">
        <f>SUMIFS(台帳!$I$2:$I$2000,台帳!$A$2:$A$2000,$A37,台帳!$E$2:$E$2000,E$4)</f>
        <v>0</v>
      </c>
      <c r="F37" s="33">
        <f>SUMIFS(台帳!$I$2:$I$2000,台帳!$A$2:$A$2000,$A37,台帳!$E$2:$E$2000,F$4)</f>
        <v>0</v>
      </c>
      <c r="G37" s="33">
        <f>SUMIFS(台帳!$I$2:$I$2000,台帳!$A$2:$A$2000,$A37,台帳!$E$2:$E$2000,G$4)</f>
        <v>0</v>
      </c>
      <c r="H37" s="33">
        <f>SUMIFS(台帳!$I$2:$I$2000,台帳!$A$2:$A$2000,$A37,台帳!$E$2:$E$2000,H$4)</f>
        <v>0</v>
      </c>
      <c r="I37" s="33">
        <f>SUMIFS(台帳!$I$2:$I$2000,台帳!$A$2:$A$2000,$A37,台帳!$E$2:$E$2000,I$4)</f>
        <v>0</v>
      </c>
      <c r="J37" s="33">
        <f>SUMIFS(台帳!$I$2:$I$2000,台帳!$A$2:$A$2000,$A37,台帳!$E$2:$E$2000,J$4)</f>
        <v>0</v>
      </c>
      <c r="K37" s="33">
        <f>SUMIFS(台帳!$I$2:$I$2000,台帳!$A$2:$A$2000,$A37,台帳!$E$2:$E$2000,K$4)</f>
        <v>0</v>
      </c>
      <c r="L37" s="33">
        <f>SUMIFS(台帳!$I$2:$I$2000,台帳!$A$2:$A$2000,$A37,台帳!$E$2:$E$2000,L$4)</f>
        <v>0</v>
      </c>
      <c r="M37" s="33">
        <f>SUMIFS(台帳!$I$2:$I$2000,台帳!$A$2:$A$2000,$A37,台帳!$E$2:$E$2000,M$4)</f>
        <v>0</v>
      </c>
      <c r="N37" s="33">
        <f>SUMIFS(台帳!$I$2:$I$2000,台帳!$A$2:$A$2000,$A37,台帳!$E$2:$E$2000,N$4)</f>
        <v>0</v>
      </c>
      <c r="O37" s="33">
        <f>SUMIFS(台帳!$I$2:$I$2000,台帳!$A$2:$A$2000,$A37,台帳!$D$2:$D$2000,"自社")</f>
        <v>0</v>
      </c>
      <c r="P37" s="33">
        <f>SUMIFS(台帳!$I$2:$I$2000,台帳!$A$2:$A$2000,$A37,台帳!$D$2:$D$2000,"業者")</f>
        <v>0</v>
      </c>
      <c r="Q37" s="33">
        <f>SUM(C37:N37)</f>
        <v>0</v>
      </c>
      <c r="R37" s="33">
        <f>R36+C37</f>
        <v>0</v>
      </c>
      <c r="S37" s="33">
        <f>S36+D37</f>
        <v>7</v>
      </c>
      <c r="T37" s="33">
        <f>T36+E37</f>
        <v>6</v>
      </c>
      <c r="U37" s="33">
        <f>U36+F37</f>
        <v>0</v>
      </c>
      <c r="V37" s="33">
        <f>V36+G37</f>
        <v>0</v>
      </c>
      <c r="W37" s="33">
        <f>W36+H37</f>
        <v>0</v>
      </c>
      <c r="X37" s="33">
        <f>X36+I37</f>
        <v>0</v>
      </c>
      <c r="Y37" s="33">
        <f>Y36+J37</f>
        <v>0</v>
      </c>
      <c r="Z37" s="33">
        <f>Z36+K37</f>
        <v>0</v>
      </c>
      <c r="AA37" s="33">
        <f>AA36+L37</f>
        <v>0</v>
      </c>
      <c r="AB37" s="33">
        <f>AB36+M37</f>
        <v>0</v>
      </c>
      <c r="AC37" s="33">
        <f>AC36+N37</f>
        <v>0</v>
      </c>
      <c r="AD37" s="33">
        <f>AD36+O37</f>
        <v>13</v>
      </c>
      <c r="AE37" s="33">
        <f>AE36+P37</f>
        <v>0</v>
      </c>
      <c r="AF37" s="33">
        <f>AF36+Q37</f>
        <v>13</v>
      </c>
      <c r="AG37" s="34" t="str">
        <f>IFERROR(INDEX(台帳!$H$2:$H$2000,MATCH($A37,台帳!$A$2:$A$2000,0)),"")</f>
        <v/>
      </c>
    </row>
    <row r="38" spans="1:33" ht="15.75" x14ac:dyDescent="0.25">
      <c r="A38" s="35">
        <v>46165</v>
      </c>
      <c r="B38" s="36" t="str">
        <f>CHOOSE(WEEKDAY(A38),"日","月","火","水","木","金","土")</f>
        <v>土</v>
      </c>
      <c r="C38" s="37">
        <f>SUMIFS(台帳!$I$2:$I$2000,台帳!$A$2:$A$2000,$A38,台帳!$E$2:$E$2000,C$4)</f>
        <v>0</v>
      </c>
      <c r="D38" s="37">
        <f>SUMIFS(台帳!$I$2:$I$2000,台帳!$A$2:$A$2000,$A38,台帳!$E$2:$E$2000,D$4)</f>
        <v>0</v>
      </c>
      <c r="E38" s="37">
        <f>SUMIFS(台帳!$I$2:$I$2000,台帳!$A$2:$A$2000,$A38,台帳!$E$2:$E$2000,E$4)</f>
        <v>0</v>
      </c>
      <c r="F38" s="37">
        <f>SUMIFS(台帳!$I$2:$I$2000,台帳!$A$2:$A$2000,$A38,台帳!$E$2:$E$2000,F$4)</f>
        <v>0</v>
      </c>
      <c r="G38" s="37">
        <f>SUMIFS(台帳!$I$2:$I$2000,台帳!$A$2:$A$2000,$A38,台帳!$E$2:$E$2000,G$4)</f>
        <v>0</v>
      </c>
      <c r="H38" s="37">
        <f>SUMIFS(台帳!$I$2:$I$2000,台帳!$A$2:$A$2000,$A38,台帳!$E$2:$E$2000,H$4)</f>
        <v>0</v>
      </c>
      <c r="I38" s="37">
        <f>SUMIFS(台帳!$I$2:$I$2000,台帳!$A$2:$A$2000,$A38,台帳!$E$2:$E$2000,I$4)</f>
        <v>0</v>
      </c>
      <c r="J38" s="37">
        <f>SUMIFS(台帳!$I$2:$I$2000,台帳!$A$2:$A$2000,$A38,台帳!$E$2:$E$2000,J$4)</f>
        <v>0</v>
      </c>
      <c r="K38" s="37">
        <f>SUMIFS(台帳!$I$2:$I$2000,台帳!$A$2:$A$2000,$A38,台帳!$E$2:$E$2000,K$4)</f>
        <v>0</v>
      </c>
      <c r="L38" s="37">
        <f>SUMIFS(台帳!$I$2:$I$2000,台帳!$A$2:$A$2000,$A38,台帳!$E$2:$E$2000,L$4)</f>
        <v>0</v>
      </c>
      <c r="M38" s="37">
        <f>SUMIFS(台帳!$I$2:$I$2000,台帳!$A$2:$A$2000,$A38,台帳!$E$2:$E$2000,M$4)</f>
        <v>0</v>
      </c>
      <c r="N38" s="37">
        <f>SUMIFS(台帳!$I$2:$I$2000,台帳!$A$2:$A$2000,$A38,台帳!$E$2:$E$2000,N$4)</f>
        <v>0</v>
      </c>
      <c r="O38" s="37">
        <f>SUMIFS(台帳!$I$2:$I$2000,台帳!$A$2:$A$2000,$A38,台帳!$D$2:$D$2000,"自社")</f>
        <v>0</v>
      </c>
      <c r="P38" s="37">
        <f>SUMIFS(台帳!$I$2:$I$2000,台帳!$A$2:$A$2000,$A38,台帳!$D$2:$D$2000,"業者")</f>
        <v>0</v>
      </c>
      <c r="Q38" s="37">
        <f>SUM(C38:N38)</f>
        <v>0</v>
      </c>
      <c r="R38" s="37">
        <f>R37+C38</f>
        <v>0</v>
      </c>
      <c r="S38" s="37">
        <f>S37+D38</f>
        <v>7</v>
      </c>
      <c r="T38" s="37">
        <f>T37+E38</f>
        <v>6</v>
      </c>
      <c r="U38" s="37">
        <f>U37+F38</f>
        <v>0</v>
      </c>
      <c r="V38" s="37">
        <f>V37+G38</f>
        <v>0</v>
      </c>
      <c r="W38" s="37">
        <f>W37+H38</f>
        <v>0</v>
      </c>
      <c r="X38" s="37">
        <f>X37+I38</f>
        <v>0</v>
      </c>
      <c r="Y38" s="37">
        <f>Y37+J38</f>
        <v>0</v>
      </c>
      <c r="Z38" s="37">
        <f>Z37+K38</f>
        <v>0</v>
      </c>
      <c r="AA38" s="37">
        <f>AA37+L38</f>
        <v>0</v>
      </c>
      <c r="AB38" s="37">
        <f>AB37+M38</f>
        <v>0</v>
      </c>
      <c r="AC38" s="37">
        <f>AC37+N38</f>
        <v>0</v>
      </c>
      <c r="AD38" s="37">
        <f>AD37+O38</f>
        <v>13</v>
      </c>
      <c r="AE38" s="37">
        <f>AE37+P38</f>
        <v>0</v>
      </c>
      <c r="AF38" s="37">
        <f>AF37+Q38</f>
        <v>13</v>
      </c>
      <c r="AG38" s="38" t="str">
        <f>IFERROR(INDEX(台帳!$H$2:$H$2000,MATCH($A38,台帳!$A$2:$A$2000,0)),"")</f>
        <v/>
      </c>
    </row>
    <row r="39" spans="1:33" ht="15.75" x14ac:dyDescent="0.25">
      <c r="A39" s="35">
        <v>46166</v>
      </c>
      <c r="B39" s="36" t="str">
        <f>CHOOSE(WEEKDAY(A39),"日","月","火","水","木","金","土")</f>
        <v>日</v>
      </c>
      <c r="C39" s="37">
        <f>SUMIFS(台帳!$I$2:$I$2000,台帳!$A$2:$A$2000,$A39,台帳!$E$2:$E$2000,C$4)</f>
        <v>0</v>
      </c>
      <c r="D39" s="37">
        <f>SUMIFS(台帳!$I$2:$I$2000,台帳!$A$2:$A$2000,$A39,台帳!$E$2:$E$2000,D$4)</f>
        <v>0</v>
      </c>
      <c r="E39" s="37">
        <f>SUMIFS(台帳!$I$2:$I$2000,台帳!$A$2:$A$2000,$A39,台帳!$E$2:$E$2000,E$4)</f>
        <v>0</v>
      </c>
      <c r="F39" s="37">
        <f>SUMIFS(台帳!$I$2:$I$2000,台帳!$A$2:$A$2000,$A39,台帳!$E$2:$E$2000,F$4)</f>
        <v>0</v>
      </c>
      <c r="G39" s="37">
        <f>SUMIFS(台帳!$I$2:$I$2000,台帳!$A$2:$A$2000,$A39,台帳!$E$2:$E$2000,G$4)</f>
        <v>0</v>
      </c>
      <c r="H39" s="37">
        <f>SUMIFS(台帳!$I$2:$I$2000,台帳!$A$2:$A$2000,$A39,台帳!$E$2:$E$2000,H$4)</f>
        <v>0</v>
      </c>
      <c r="I39" s="37">
        <f>SUMIFS(台帳!$I$2:$I$2000,台帳!$A$2:$A$2000,$A39,台帳!$E$2:$E$2000,I$4)</f>
        <v>0</v>
      </c>
      <c r="J39" s="37">
        <f>SUMIFS(台帳!$I$2:$I$2000,台帳!$A$2:$A$2000,$A39,台帳!$E$2:$E$2000,J$4)</f>
        <v>0</v>
      </c>
      <c r="K39" s="37">
        <f>SUMIFS(台帳!$I$2:$I$2000,台帳!$A$2:$A$2000,$A39,台帳!$E$2:$E$2000,K$4)</f>
        <v>0</v>
      </c>
      <c r="L39" s="37">
        <f>SUMIFS(台帳!$I$2:$I$2000,台帳!$A$2:$A$2000,$A39,台帳!$E$2:$E$2000,L$4)</f>
        <v>0</v>
      </c>
      <c r="M39" s="37">
        <f>SUMIFS(台帳!$I$2:$I$2000,台帳!$A$2:$A$2000,$A39,台帳!$E$2:$E$2000,M$4)</f>
        <v>0</v>
      </c>
      <c r="N39" s="37">
        <f>SUMIFS(台帳!$I$2:$I$2000,台帳!$A$2:$A$2000,$A39,台帳!$E$2:$E$2000,N$4)</f>
        <v>0</v>
      </c>
      <c r="O39" s="37">
        <f>SUMIFS(台帳!$I$2:$I$2000,台帳!$A$2:$A$2000,$A39,台帳!$D$2:$D$2000,"自社")</f>
        <v>0</v>
      </c>
      <c r="P39" s="37">
        <f>SUMIFS(台帳!$I$2:$I$2000,台帳!$A$2:$A$2000,$A39,台帳!$D$2:$D$2000,"業者")</f>
        <v>0</v>
      </c>
      <c r="Q39" s="37">
        <f>SUM(C39:N39)</f>
        <v>0</v>
      </c>
      <c r="R39" s="37">
        <f>R38+C39</f>
        <v>0</v>
      </c>
      <c r="S39" s="37">
        <f>S38+D39</f>
        <v>7</v>
      </c>
      <c r="T39" s="37">
        <f>T38+E39</f>
        <v>6</v>
      </c>
      <c r="U39" s="37">
        <f>U38+F39</f>
        <v>0</v>
      </c>
      <c r="V39" s="37">
        <f>V38+G39</f>
        <v>0</v>
      </c>
      <c r="W39" s="37">
        <f>W38+H39</f>
        <v>0</v>
      </c>
      <c r="X39" s="37">
        <f>X38+I39</f>
        <v>0</v>
      </c>
      <c r="Y39" s="37">
        <f>Y38+J39</f>
        <v>0</v>
      </c>
      <c r="Z39" s="37">
        <f>Z38+K39</f>
        <v>0</v>
      </c>
      <c r="AA39" s="37">
        <f>AA38+L39</f>
        <v>0</v>
      </c>
      <c r="AB39" s="37">
        <f>AB38+M39</f>
        <v>0</v>
      </c>
      <c r="AC39" s="37">
        <f>AC38+N39</f>
        <v>0</v>
      </c>
      <c r="AD39" s="37">
        <f>AD38+O39</f>
        <v>13</v>
      </c>
      <c r="AE39" s="37">
        <f>AE38+P39</f>
        <v>0</v>
      </c>
      <c r="AF39" s="37">
        <f>AF38+Q39</f>
        <v>13</v>
      </c>
      <c r="AG39" s="38" t="str">
        <f>IFERROR(INDEX(台帳!$H$2:$H$2000,MATCH($A39,台帳!$A$2:$A$2000,0)),"")</f>
        <v/>
      </c>
    </row>
    <row r="40" spans="1:33" ht="15.75" x14ac:dyDescent="0.25">
      <c r="A40" s="31">
        <v>46167</v>
      </c>
      <c r="B40" s="32" t="str">
        <f>CHOOSE(WEEKDAY(A40),"日","月","火","水","木","金","土")</f>
        <v>月</v>
      </c>
      <c r="C40" s="33">
        <f>SUMIFS(台帳!$I$2:$I$2000,台帳!$A$2:$A$2000,$A40,台帳!$E$2:$E$2000,C$4)</f>
        <v>0</v>
      </c>
      <c r="D40" s="33">
        <f>SUMIFS(台帳!$I$2:$I$2000,台帳!$A$2:$A$2000,$A40,台帳!$E$2:$E$2000,D$4)</f>
        <v>0</v>
      </c>
      <c r="E40" s="33">
        <f>SUMIFS(台帳!$I$2:$I$2000,台帳!$A$2:$A$2000,$A40,台帳!$E$2:$E$2000,E$4)</f>
        <v>0</v>
      </c>
      <c r="F40" s="33">
        <f>SUMIFS(台帳!$I$2:$I$2000,台帳!$A$2:$A$2000,$A40,台帳!$E$2:$E$2000,F$4)</f>
        <v>0</v>
      </c>
      <c r="G40" s="33">
        <f>SUMIFS(台帳!$I$2:$I$2000,台帳!$A$2:$A$2000,$A40,台帳!$E$2:$E$2000,G$4)</f>
        <v>0</v>
      </c>
      <c r="H40" s="33">
        <f>SUMIFS(台帳!$I$2:$I$2000,台帳!$A$2:$A$2000,$A40,台帳!$E$2:$E$2000,H$4)</f>
        <v>0</v>
      </c>
      <c r="I40" s="33">
        <f>SUMIFS(台帳!$I$2:$I$2000,台帳!$A$2:$A$2000,$A40,台帳!$E$2:$E$2000,I$4)</f>
        <v>0</v>
      </c>
      <c r="J40" s="33">
        <f>SUMIFS(台帳!$I$2:$I$2000,台帳!$A$2:$A$2000,$A40,台帳!$E$2:$E$2000,J$4)</f>
        <v>0</v>
      </c>
      <c r="K40" s="33">
        <f>SUMIFS(台帳!$I$2:$I$2000,台帳!$A$2:$A$2000,$A40,台帳!$E$2:$E$2000,K$4)</f>
        <v>0</v>
      </c>
      <c r="L40" s="33">
        <f>SUMIFS(台帳!$I$2:$I$2000,台帳!$A$2:$A$2000,$A40,台帳!$E$2:$E$2000,L$4)</f>
        <v>0</v>
      </c>
      <c r="M40" s="33">
        <f>SUMIFS(台帳!$I$2:$I$2000,台帳!$A$2:$A$2000,$A40,台帳!$E$2:$E$2000,M$4)</f>
        <v>0</v>
      </c>
      <c r="N40" s="33">
        <f>SUMIFS(台帳!$I$2:$I$2000,台帳!$A$2:$A$2000,$A40,台帳!$E$2:$E$2000,N$4)</f>
        <v>0</v>
      </c>
      <c r="O40" s="33">
        <f>SUMIFS(台帳!$I$2:$I$2000,台帳!$A$2:$A$2000,$A40,台帳!$D$2:$D$2000,"自社")</f>
        <v>0</v>
      </c>
      <c r="P40" s="33">
        <f>SUMIFS(台帳!$I$2:$I$2000,台帳!$A$2:$A$2000,$A40,台帳!$D$2:$D$2000,"業者")</f>
        <v>0</v>
      </c>
      <c r="Q40" s="33">
        <f>SUM(C40:N40)</f>
        <v>0</v>
      </c>
      <c r="R40" s="33">
        <f>R39+C40</f>
        <v>0</v>
      </c>
      <c r="S40" s="33">
        <f>S39+D40</f>
        <v>7</v>
      </c>
      <c r="T40" s="33">
        <f>T39+E40</f>
        <v>6</v>
      </c>
      <c r="U40" s="33">
        <f>U39+F40</f>
        <v>0</v>
      </c>
      <c r="V40" s="33">
        <f>V39+G40</f>
        <v>0</v>
      </c>
      <c r="W40" s="33">
        <f>W39+H40</f>
        <v>0</v>
      </c>
      <c r="X40" s="33">
        <f>X39+I40</f>
        <v>0</v>
      </c>
      <c r="Y40" s="33">
        <f>Y39+J40</f>
        <v>0</v>
      </c>
      <c r="Z40" s="33">
        <f>Z39+K40</f>
        <v>0</v>
      </c>
      <c r="AA40" s="33">
        <f>AA39+L40</f>
        <v>0</v>
      </c>
      <c r="AB40" s="33">
        <f>AB39+M40</f>
        <v>0</v>
      </c>
      <c r="AC40" s="33">
        <f>AC39+N40</f>
        <v>0</v>
      </c>
      <c r="AD40" s="33">
        <f>AD39+O40</f>
        <v>13</v>
      </c>
      <c r="AE40" s="33">
        <f>AE39+P40</f>
        <v>0</v>
      </c>
      <c r="AF40" s="33">
        <f>AF39+Q40</f>
        <v>13</v>
      </c>
      <c r="AG40" s="34" t="str">
        <f>IFERROR(INDEX(台帳!$H$2:$H$2000,MATCH($A40,台帳!$A$2:$A$2000,0)),"")</f>
        <v/>
      </c>
    </row>
    <row r="41" spans="1:33" ht="15.75" x14ac:dyDescent="0.25">
      <c r="A41" s="31">
        <v>46168</v>
      </c>
      <c r="B41" s="32" t="str">
        <f>CHOOSE(WEEKDAY(A41),"日","月","火","水","木","金","土")</f>
        <v>火</v>
      </c>
      <c r="C41" s="33">
        <f>SUMIFS(台帳!$I$2:$I$2000,台帳!$A$2:$A$2000,$A41,台帳!$E$2:$E$2000,C$4)</f>
        <v>0</v>
      </c>
      <c r="D41" s="33">
        <f>SUMIFS(台帳!$I$2:$I$2000,台帳!$A$2:$A$2000,$A41,台帳!$E$2:$E$2000,D$4)</f>
        <v>0</v>
      </c>
      <c r="E41" s="33">
        <f>SUMIFS(台帳!$I$2:$I$2000,台帳!$A$2:$A$2000,$A41,台帳!$E$2:$E$2000,E$4)</f>
        <v>0</v>
      </c>
      <c r="F41" s="33">
        <f>SUMIFS(台帳!$I$2:$I$2000,台帳!$A$2:$A$2000,$A41,台帳!$E$2:$E$2000,F$4)</f>
        <v>0</v>
      </c>
      <c r="G41" s="33">
        <f>SUMIFS(台帳!$I$2:$I$2000,台帳!$A$2:$A$2000,$A41,台帳!$E$2:$E$2000,G$4)</f>
        <v>0</v>
      </c>
      <c r="H41" s="33">
        <f>SUMIFS(台帳!$I$2:$I$2000,台帳!$A$2:$A$2000,$A41,台帳!$E$2:$E$2000,H$4)</f>
        <v>0</v>
      </c>
      <c r="I41" s="33">
        <f>SUMIFS(台帳!$I$2:$I$2000,台帳!$A$2:$A$2000,$A41,台帳!$E$2:$E$2000,I$4)</f>
        <v>0</v>
      </c>
      <c r="J41" s="33">
        <f>SUMIFS(台帳!$I$2:$I$2000,台帳!$A$2:$A$2000,$A41,台帳!$E$2:$E$2000,J$4)</f>
        <v>0</v>
      </c>
      <c r="K41" s="33">
        <f>SUMIFS(台帳!$I$2:$I$2000,台帳!$A$2:$A$2000,$A41,台帳!$E$2:$E$2000,K$4)</f>
        <v>0</v>
      </c>
      <c r="L41" s="33">
        <f>SUMIFS(台帳!$I$2:$I$2000,台帳!$A$2:$A$2000,$A41,台帳!$E$2:$E$2000,L$4)</f>
        <v>0</v>
      </c>
      <c r="M41" s="33">
        <f>SUMIFS(台帳!$I$2:$I$2000,台帳!$A$2:$A$2000,$A41,台帳!$E$2:$E$2000,M$4)</f>
        <v>0</v>
      </c>
      <c r="N41" s="33">
        <f>SUMIFS(台帳!$I$2:$I$2000,台帳!$A$2:$A$2000,$A41,台帳!$E$2:$E$2000,N$4)</f>
        <v>0</v>
      </c>
      <c r="O41" s="33">
        <f>SUMIFS(台帳!$I$2:$I$2000,台帳!$A$2:$A$2000,$A41,台帳!$D$2:$D$2000,"自社")</f>
        <v>0</v>
      </c>
      <c r="P41" s="33">
        <f>SUMIFS(台帳!$I$2:$I$2000,台帳!$A$2:$A$2000,$A41,台帳!$D$2:$D$2000,"業者")</f>
        <v>0</v>
      </c>
      <c r="Q41" s="33">
        <f>SUM(C41:N41)</f>
        <v>0</v>
      </c>
      <c r="R41" s="33">
        <f>R40+C41</f>
        <v>0</v>
      </c>
      <c r="S41" s="33">
        <f>S40+D41</f>
        <v>7</v>
      </c>
      <c r="T41" s="33">
        <f>T40+E41</f>
        <v>6</v>
      </c>
      <c r="U41" s="33">
        <f>U40+F41</f>
        <v>0</v>
      </c>
      <c r="V41" s="33">
        <f>V40+G41</f>
        <v>0</v>
      </c>
      <c r="W41" s="33">
        <f>W40+H41</f>
        <v>0</v>
      </c>
      <c r="X41" s="33">
        <f>X40+I41</f>
        <v>0</v>
      </c>
      <c r="Y41" s="33">
        <f>Y40+J41</f>
        <v>0</v>
      </c>
      <c r="Z41" s="33">
        <f>Z40+K41</f>
        <v>0</v>
      </c>
      <c r="AA41" s="33">
        <f>AA40+L41</f>
        <v>0</v>
      </c>
      <c r="AB41" s="33">
        <f>AB40+M41</f>
        <v>0</v>
      </c>
      <c r="AC41" s="33">
        <f>AC40+N41</f>
        <v>0</v>
      </c>
      <c r="AD41" s="33">
        <f>AD40+O41</f>
        <v>13</v>
      </c>
      <c r="AE41" s="33">
        <f>AE40+P41</f>
        <v>0</v>
      </c>
      <c r="AF41" s="33">
        <f>AF40+Q41</f>
        <v>13</v>
      </c>
      <c r="AG41" s="34" t="str">
        <f>IFERROR(INDEX(台帳!$H$2:$H$2000,MATCH($A41,台帳!$A$2:$A$2000,0)),"")</f>
        <v/>
      </c>
    </row>
    <row r="42" spans="1:33" ht="15.75" x14ac:dyDescent="0.25">
      <c r="A42" s="31">
        <v>46169</v>
      </c>
      <c r="B42" s="32" t="str">
        <f>CHOOSE(WEEKDAY(A42),"日","月","火","水","木","金","土")</f>
        <v>水</v>
      </c>
      <c r="C42" s="33">
        <f>SUMIFS(台帳!$I$2:$I$2000,台帳!$A$2:$A$2000,$A42,台帳!$E$2:$E$2000,C$4)</f>
        <v>0</v>
      </c>
      <c r="D42" s="33">
        <f>SUMIFS(台帳!$I$2:$I$2000,台帳!$A$2:$A$2000,$A42,台帳!$E$2:$E$2000,D$4)</f>
        <v>0</v>
      </c>
      <c r="E42" s="33">
        <f>SUMIFS(台帳!$I$2:$I$2000,台帳!$A$2:$A$2000,$A42,台帳!$E$2:$E$2000,E$4)</f>
        <v>0</v>
      </c>
      <c r="F42" s="33">
        <f>SUMIFS(台帳!$I$2:$I$2000,台帳!$A$2:$A$2000,$A42,台帳!$E$2:$E$2000,F$4)</f>
        <v>0</v>
      </c>
      <c r="G42" s="33">
        <f>SUMIFS(台帳!$I$2:$I$2000,台帳!$A$2:$A$2000,$A42,台帳!$E$2:$E$2000,G$4)</f>
        <v>0</v>
      </c>
      <c r="H42" s="33">
        <f>SUMIFS(台帳!$I$2:$I$2000,台帳!$A$2:$A$2000,$A42,台帳!$E$2:$E$2000,H$4)</f>
        <v>0</v>
      </c>
      <c r="I42" s="33">
        <f>SUMIFS(台帳!$I$2:$I$2000,台帳!$A$2:$A$2000,$A42,台帳!$E$2:$E$2000,I$4)</f>
        <v>0</v>
      </c>
      <c r="J42" s="33">
        <f>SUMIFS(台帳!$I$2:$I$2000,台帳!$A$2:$A$2000,$A42,台帳!$E$2:$E$2000,J$4)</f>
        <v>0</v>
      </c>
      <c r="K42" s="33">
        <f>SUMIFS(台帳!$I$2:$I$2000,台帳!$A$2:$A$2000,$A42,台帳!$E$2:$E$2000,K$4)</f>
        <v>0</v>
      </c>
      <c r="L42" s="33">
        <f>SUMIFS(台帳!$I$2:$I$2000,台帳!$A$2:$A$2000,$A42,台帳!$E$2:$E$2000,L$4)</f>
        <v>0</v>
      </c>
      <c r="M42" s="33">
        <f>SUMIFS(台帳!$I$2:$I$2000,台帳!$A$2:$A$2000,$A42,台帳!$E$2:$E$2000,M$4)</f>
        <v>0</v>
      </c>
      <c r="N42" s="33">
        <f>SUMIFS(台帳!$I$2:$I$2000,台帳!$A$2:$A$2000,$A42,台帳!$E$2:$E$2000,N$4)</f>
        <v>0</v>
      </c>
      <c r="O42" s="33">
        <f>SUMIFS(台帳!$I$2:$I$2000,台帳!$A$2:$A$2000,$A42,台帳!$D$2:$D$2000,"自社")</f>
        <v>0</v>
      </c>
      <c r="P42" s="33">
        <f>SUMIFS(台帳!$I$2:$I$2000,台帳!$A$2:$A$2000,$A42,台帳!$D$2:$D$2000,"業者")</f>
        <v>0</v>
      </c>
      <c r="Q42" s="33">
        <f>SUM(C42:N42)</f>
        <v>0</v>
      </c>
      <c r="R42" s="33">
        <f>R41+C42</f>
        <v>0</v>
      </c>
      <c r="S42" s="33">
        <f>S41+D42</f>
        <v>7</v>
      </c>
      <c r="T42" s="33">
        <f>T41+E42</f>
        <v>6</v>
      </c>
      <c r="U42" s="33">
        <f>U41+F42</f>
        <v>0</v>
      </c>
      <c r="V42" s="33">
        <f>V41+G42</f>
        <v>0</v>
      </c>
      <c r="W42" s="33">
        <f>W41+H42</f>
        <v>0</v>
      </c>
      <c r="X42" s="33">
        <f>X41+I42</f>
        <v>0</v>
      </c>
      <c r="Y42" s="33">
        <f>Y41+J42</f>
        <v>0</v>
      </c>
      <c r="Z42" s="33">
        <f>Z41+K42</f>
        <v>0</v>
      </c>
      <c r="AA42" s="33">
        <f>AA41+L42</f>
        <v>0</v>
      </c>
      <c r="AB42" s="33">
        <f>AB41+M42</f>
        <v>0</v>
      </c>
      <c r="AC42" s="33">
        <f>AC41+N42</f>
        <v>0</v>
      </c>
      <c r="AD42" s="33">
        <f>AD41+O42</f>
        <v>13</v>
      </c>
      <c r="AE42" s="33">
        <f>AE41+P42</f>
        <v>0</v>
      </c>
      <c r="AF42" s="33">
        <f>AF41+Q42</f>
        <v>13</v>
      </c>
      <c r="AG42" s="34" t="str">
        <f>IFERROR(INDEX(台帳!$H$2:$H$2000,MATCH($A42,台帳!$A$2:$A$2000,0)),"")</f>
        <v/>
      </c>
    </row>
    <row r="43" spans="1:33" ht="15.75" x14ac:dyDescent="0.25">
      <c r="A43" s="31">
        <v>46170</v>
      </c>
      <c r="B43" s="32" t="str">
        <f>CHOOSE(WEEKDAY(A43),"日","月","火","水","木","金","土")</f>
        <v>木</v>
      </c>
      <c r="C43" s="33">
        <f>SUMIFS(台帳!$I$2:$I$2000,台帳!$A$2:$A$2000,$A43,台帳!$E$2:$E$2000,C$4)</f>
        <v>0</v>
      </c>
      <c r="D43" s="33">
        <f>SUMIFS(台帳!$I$2:$I$2000,台帳!$A$2:$A$2000,$A43,台帳!$E$2:$E$2000,D$4)</f>
        <v>0</v>
      </c>
      <c r="E43" s="33">
        <f>SUMIFS(台帳!$I$2:$I$2000,台帳!$A$2:$A$2000,$A43,台帳!$E$2:$E$2000,E$4)</f>
        <v>0</v>
      </c>
      <c r="F43" s="33">
        <f>SUMIFS(台帳!$I$2:$I$2000,台帳!$A$2:$A$2000,$A43,台帳!$E$2:$E$2000,F$4)</f>
        <v>0</v>
      </c>
      <c r="G43" s="33">
        <f>SUMIFS(台帳!$I$2:$I$2000,台帳!$A$2:$A$2000,$A43,台帳!$E$2:$E$2000,G$4)</f>
        <v>0</v>
      </c>
      <c r="H43" s="33">
        <f>SUMIFS(台帳!$I$2:$I$2000,台帳!$A$2:$A$2000,$A43,台帳!$E$2:$E$2000,H$4)</f>
        <v>0</v>
      </c>
      <c r="I43" s="33">
        <f>SUMIFS(台帳!$I$2:$I$2000,台帳!$A$2:$A$2000,$A43,台帳!$E$2:$E$2000,I$4)</f>
        <v>0</v>
      </c>
      <c r="J43" s="33">
        <f>SUMIFS(台帳!$I$2:$I$2000,台帳!$A$2:$A$2000,$A43,台帳!$E$2:$E$2000,J$4)</f>
        <v>0</v>
      </c>
      <c r="K43" s="33">
        <f>SUMIFS(台帳!$I$2:$I$2000,台帳!$A$2:$A$2000,$A43,台帳!$E$2:$E$2000,K$4)</f>
        <v>0</v>
      </c>
      <c r="L43" s="33">
        <f>SUMIFS(台帳!$I$2:$I$2000,台帳!$A$2:$A$2000,$A43,台帳!$E$2:$E$2000,L$4)</f>
        <v>0</v>
      </c>
      <c r="M43" s="33">
        <f>SUMIFS(台帳!$I$2:$I$2000,台帳!$A$2:$A$2000,$A43,台帳!$E$2:$E$2000,M$4)</f>
        <v>0</v>
      </c>
      <c r="N43" s="33">
        <f>SUMIFS(台帳!$I$2:$I$2000,台帳!$A$2:$A$2000,$A43,台帳!$E$2:$E$2000,N$4)</f>
        <v>0</v>
      </c>
      <c r="O43" s="33">
        <f>SUMIFS(台帳!$I$2:$I$2000,台帳!$A$2:$A$2000,$A43,台帳!$D$2:$D$2000,"自社")</f>
        <v>0</v>
      </c>
      <c r="P43" s="33">
        <f>SUMIFS(台帳!$I$2:$I$2000,台帳!$A$2:$A$2000,$A43,台帳!$D$2:$D$2000,"業者")</f>
        <v>0</v>
      </c>
      <c r="Q43" s="33">
        <f>SUM(C43:N43)</f>
        <v>0</v>
      </c>
      <c r="R43" s="33">
        <f>R42+C43</f>
        <v>0</v>
      </c>
      <c r="S43" s="33">
        <f>S42+D43</f>
        <v>7</v>
      </c>
      <c r="T43" s="33">
        <f>T42+E43</f>
        <v>6</v>
      </c>
      <c r="U43" s="33">
        <f>U42+F43</f>
        <v>0</v>
      </c>
      <c r="V43" s="33">
        <f>V42+G43</f>
        <v>0</v>
      </c>
      <c r="W43" s="33">
        <f>W42+H43</f>
        <v>0</v>
      </c>
      <c r="X43" s="33">
        <f>X42+I43</f>
        <v>0</v>
      </c>
      <c r="Y43" s="33">
        <f>Y42+J43</f>
        <v>0</v>
      </c>
      <c r="Z43" s="33">
        <f>Z42+K43</f>
        <v>0</v>
      </c>
      <c r="AA43" s="33">
        <f>AA42+L43</f>
        <v>0</v>
      </c>
      <c r="AB43" s="33">
        <f>AB42+M43</f>
        <v>0</v>
      </c>
      <c r="AC43" s="33">
        <f>AC42+N43</f>
        <v>0</v>
      </c>
      <c r="AD43" s="33">
        <f>AD42+O43</f>
        <v>13</v>
      </c>
      <c r="AE43" s="33">
        <f>AE42+P43</f>
        <v>0</v>
      </c>
      <c r="AF43" s="33">
        <f>AF42+Q43</f>
        <v>13</v>
      </c>
      <c r="AG43" s="34" t="str">
        <f>IFERROR(INDEX(台帳!$H$2:$H$2000,MATCH($A43,台帳!$A$2:$A$2000,0)),"")</f>
        <v/>
      </c>
    </row>
    <row r="44" spans="1:33" ht="15.75" x14ac:dyDescent="0.25">
      <c r="A44" s="31">
        <v>46171</v>
      </c>
      <c r="B44" s="32" t="str">
        <f>CHOOSE(WEEKDAY(A44),"日","月","火","水","木","金","土")</f>
        <v>金</v>
      </c>
      <c r="C44" s="33">
        <f>SUMIFS(台帳!$I$2:$I$2000,台帳!$A$2:$A$2000,$A44,台帳!$E$2:$E$2000,C$4)</f>
        <v>0</v>
      </c>
      <c r="D44" s="33">
        <f>SUMIFS(台帳!$I$2:$I$2000,台帳!$A$2:$A$2000,$A44,台帳!$E$2:$E$2000,D$4)</f>
        <v>0</v>
      </c>
      <c r="E44" s="33">
        <f>SUMIFS(台帳!$I$2:$I$2000,台帳!$A$2:$A$2000,$A44,台帳!$E$2:$E$2000,E$4)</f>
        <v>0</v>
      </c>
      <c r="F44" s="33">
        <f>SUMIFS(台帳!$I$2:$I$2000,台帳!$A$2:$A$2000,$A44,台帳!$E$2:$E$2000,F$4)</f>
        <v>0</v>
      </c>
      <c r="G44" s="33">
        <f>SUMIFS(台帳!$I$2:$I$2000,台帳!$A$2:$A$2000,$A44,台帳!$E$2:$E$2000,G$4)</f>
        <v>0</v>
      </c>
      <c r="H44" s="33">
        <f>SUMIFS(台帳!$I$2:$I$2000,台帳!$A$2:$A$2000,$A44,台帳!$E$2:$E$2000,H$4)</f>
        <v>0</v>
      </c>
      <c r="I44" s="33">
        <f>SUMIFS(台帳!$I$2:$I$2000,台帳!$A$2:$A$2000,$A44,台帳!$E$2:$E$2000,I$4)</f>
        <v>0</v>
      </c>
      <c r="J44" s="33">
        <f>SUMIFS(台帳!$I$2:$I$2000,台帳!$A$2:$A$2000,$A44,台帳!$E$2:$E$2000,J$4)</f>
        <v>0</v>
      </c>
      <c r="K44" s="33">
        <f>SUMIFS(台帳!$I$2:$I$2000,台帳!$A$2:$A$2000,$A44,台帳!$E$2:$E$2000,K$4)</f>
        <v>0</v>
      </c>
      <c r="L44" s="33">
        <f>SUMIFS(台帳!$I$2:$I$2000,台帳!$A$2:$A$2000,$A44,台帳!$E$2:$E$2000,L$4)</f>
        <v>0</v>
      </c>
      <c r="M44" s="33">
        <f>SUMIFS(台帳!$I$2:$I$2000,台帳!$A$2:$A$2000,$A44,台帳!$E$2:$E$2000,M$4)</f>
        <v>0</v>
      </c>
      <c r="N44" s="33">
        <f>SUMIFS(台帳!$I$2:$I$2000,台帳!$A$2:$A$2000,$A44,台帳!$E$2:$E$2000,N$4)</f>
        <v>0</v>
      </c>
      <c r="O44" s="33">
        <f>SUMIFS(台帳!$I$2:$I$2000,台帳!$A$2:$A$2000,$A44,台帳!$D$2:$D$2000,"自社")</f>
        <v>0</v>
      </c>
      <c r="P44" s="33">
        <f>SUMIFS(台帳!$I$2:$I$2000,台帳!$A$2:$A$2000,$A44,台帳!$D$2:$D$2000,"業者")</f>
        <v>0</v>
      </c>
      <c r="Q44" s="33">
        <f>SUM(C44:N44)</f>
        <v>0</v>
      </c>
      <c r="R44" s="33">
        <f>R43+C44</f>
        <v>0</v>
      </c>
      <c r="S44" s="33">
        <f>S43+D44</f>
        <v>7</v>
      </c>
      <c r="T44" s="33">
        <f>T43+E44</f>
        <v>6</v>
      </c>
      <c r="U44" s="33">
        <f>U43+F44</f>
        <v>0</v>
      </c>
      <c r="V44" s="33">
        <f>V43+G44</f>
        <v>0</v>
      </c>
      <c r="W44" s="33">
        <f>W43+H44</f>
        <v>0</v>
      </c>
      <c r="X44" s="33">
        <f>X43+I44</f>
        <v>0</v>
      </c>
      <c r="Y44" s="33">
        <f>Y43+J44</f>
        <v>0</v>
      </c>
      <c r="Z44" s="33">
        <f>Z43+K44</f>
        <v>0</v>
      </c>
      <c r="AA44" s="33">
        <f>AA43+L44</f>
        <v>0</v>
      </c>
      <c r="AB44" s="33">
        <f>AB43+M44</f>
        <v>0</v>
      </c>
      <c r="AC44" s="33">
        <f>AC43+N44</f>
        <v>0</v>
      </c>
      <c r="AD44" s="33">
        <f>AD43+O44</f>
        <v>13</v>
      </c>
      <c r="AE44" s="33">
        <f>AE43+P44</f>
        <v>0</v>
      </c>
      <c r="AF44" s="33">
        <f>AF43+Q44</f>
        <v>13</v>
      </c>
      <c r="AG44" s="34" t="str">
        <f>IFERROR(INDEX(台帳!$H$2:$H$2000,MATCH($A44,台帳!$A$2:$A$2000,0)),"")</f>
        <v/>
      </c>
    </row>
    <row r="45" spans="1:33" ht="15.75" x14ac:dyDescent="0.25">
      <c r="A45" s="35">
        <v>46172</v>
      </c>
      <c r="B45" s="36" t="str">
        <f>CHOOSE(WEEKDAY(A45),"日","月","火","水","木","金","土")</f>
        <v>土</v>
      </c>
      <c r="C45" s="37">
        <f>SUMIFS(台帳!$I$2:$I$2000,台帳!$A$2:$A$2000,$A45,台帳!$E$2:$E$2000,C$4)</f>
        <v>0</v>
      </c>
      <c r="D45" s="37">
        <f>SUMIFS(台帳!$I$2:$I$2000,台帳!$A$2:$A$2000,$A45,台帳!$E$2:$E$2000,D$4)</f>
        <v>0</v>
      </c>
      <c r="E45" s="37">
        <f>SUMIFS(台帳!$I$2:$I$2000,台帳!$A$2:$A$2000,$A45,台帳!$E$2:$E$2000,E$4)</f>
        <v>0</v>
      </c>
      <c r="F45" s="37">
        <f>SUMIFS(台帳!$I$2:$I$2000,台帳!$A$2:$A$2000,$A45,台帳!$E$2:$E$2000,F$4)</f>
        <v>0</v>
      </c>
      <c r="G45" s="37">
        <f>SUMIFS(台帳!$I$2:$I$2000,台帳!$A$2:$A$2000,$A45,台帳!$E$2:$E$2000,G$4)</f>
        <v>0</v>
      </c>
      <c r="H45" s="37">
        <f>SUMIFS(台帳!$I$2:$I$2000,台帳!$A$2:$A$2000,$A45,台帳!$E$2:$E$2000,H$4)</f>
        <v>0</v>
      </c>
      <c r="I45" s="37">
        <f>SUMIFS(台帳!$I$2:$I$2000,台帳!$A$2:$A$2000,$A45,台帳!$E$2:$E$2000,I$4)</f>
        <v>0</v>
      </c>
      <c r="J45" s="37">
        <f>SUMIFS(台帳!$I$2:$I$2000,台帳!$A$2:$A$2000,$A45,台帳!$E$2:$E$2000,J$4)</f>
        <v>0</v>
      </c>
      <c r="K45" s="37">
        <f>SUMIFS(台帳!$I$2:$I$2000,台帳!$A$2:$A$2000,$A45,台帳!$E$2:$E$2000,K$4)</f>
        <v>0</v>
      </c>
      <c r="L45" s="37">
        <f>SUMIFS(台帳!$I$2:$I$2000,台帳!$A$2:$A$2000,$A45,台帳!$E$2:$E$2000,L$4)</f>
        <v>0</v>
      </c>
      <c r="M45" s="37">
        <f>SUMIFS(台帳!$I$2:$I$2000,台帳!$A$2:$A$2000,$A45,台帳!$E$2:$E$2000,M$4)</f>
        <v>0</v>
      </c>
      <c r="N45" s="37">
        <f>SUMIFS(台帳!$I$2:$I$2000,台帳!$A$2:$A$2000,$A45,台帳!$E$2:$E$2000,N$4)</f>
        <v>0</v>
      </c>
      <c r="O45" s="37">
        <f>SUMIFS(台帳!$I$2:$I$2000,台帳!$A$2:$A$2000,$A45,台帳!$D$2:$D$2000,"自社")</f>
        <v>0</v>
      </c>
      <c r="P45" s="37">
        <f>SUMIFS(台帳!$I$2:$I$2000,台帳!$A$2:$A$2000,$A45,台帳!$D$2:$D$2000,"業者")</f>
        <v>0</v>
      </c>
      <c r="Q45" s="37">
        <f>SUM(C45:N45)</f>
        <v>0</v>
      </c>
      <c r="R45" s="37">
        <f>R44+C45</f>
        <v>0</v>
      </c>
      <c r="S45" s="37">
        <f>S44+D45</f>
        <v>7</v>
      </c>
      <c r="T45" s="37">
        <f>T44+E45</f>
        <v>6</v>
      </c>
      <c r="U45" s="37">
        <f>U44+F45</f>
        <v>0</v>
      </c>
      <c r="V45" s="37">
        <f>V44+G45</f>
        <v>0</v>
      </c>
      <c r="W45" s="37">
        <f>W44+H45</f>
        <v>0</v>
      </c>
      <c r="X45" s="37">
        <f>X44+I45</f>
        <v>0</v>
      </c>
      <c r="Y45" s="37">
        <f>Y44+J45</f>
        <v>0</v>
      </c>
      <c r="Z45" s="37">
        <f>Z44+K45</f>
        <v>0</v>
      </c>
      <c r="AA45" s="37">
        <f>AA44+L45</f>
        <v>0</v>
      </c>
      <c r="AB45" s="37">
        <f>AB44+M45</f>
        <v>0</v>
      </c>
      <c r="AC45" s="37">
        <f>AC44+N45</f>
        <v>0</v>
      </c>
      <c r="AD45" s="37">
        <f>AD44+O45</f>
        <v>13</v>
      </c>
      <c r="AE45" s="37">
        <f>AE44+P45</f>
        <v>0</v>
      </c>
      <c r="AF45" s="37">
        <f>AF44+Q45</f>
        <v>13</v>
      </c>
      <c r="AG45" s="38" t="str">
        <f>IFERROR(INDEX(台帳!$H$2:$H$2000,MATCH($A45,台帳!$A$2:$A$2000,0)),"")</f>
        <v/>
      </c>
    </row>
    <row r="46" spans="1:33" ht="15.75" x14ac:dyDescent="0.25">
      <c r="A46" s="35">
        <v>46173</v>
      </c>
      <c r="B46" s="36" t="str">
        <f>CHOOSE(WEEKDAY(A46),"日","月","火","水","木","金","土")</f>
        <v>日</v>
      </c>
      <c r="C46" s="37">
        <f>SUMIFS(台帳!$I$2:$I$2000,台帳!$A$2:$A$2000,$A46,台帳!$E$2:$E$2000,C$4)</f>
        <v>0</v>
      </c>
      <c r="D46" s="37">
        <f>SUMIFS(台帳!$I$2:$I$2000,台帳!$A$2:$A$2000,$A46,台帳!$E$2:$E$2000,D$4)</f>
        <v>0</v>
      </c>
      <c r="E46" s="37">
        <f>SUMIFS(台帳!$I$2:$I$2000,台帳!$A$2:$A$2000,$A46,台帳!$E$2:$E$2000,E$4)</f>
        <v>0</v>
      </c>
      <c r="F46" s="37">
        <f>SUMIFS(台帳!$I$2:$I$2000,台帳!$A$2:$A$2000,$A46,台帳!$E$2:$E$2000,F$4)</f>
        <v>0</v>
      </c>
      <c r="G46" s="37">
        <f>SUMIFS(台帳!$I$2:$I$2000,台帳!$A$2:$A$2000,$A46,台帳!$E$2:$E$2000,G$4)</f>
        <v>0</v>
      </c>
      <c r="H46" s="37">
        <f>SUMIFS(台帳!$I$2:$I$2000,台帳!$A$2:$A$2000,$A46,台帳!$E$2:$E$2000,H$4)</f>
        <v>0</v>
      </c>
      <c r="I46" s="37">
        <f>SUMIFS(台帳!$I$2:$I$2000,台帳!$A$2:$A$2000,$A46,台帳!$E$2:$E$2000,I$4)</f>
        <v>0</v>
      </c>
      <c r="J46" s="37">
        <f>SUMIFS(台帳!$I$2:$I$2000,台帳!$A$2:$A$2000,$A46,台帳!$E$2:$E$2000,J$4)</f>
        <v>0</v>
      </c>
      <c r="K46" s="37">
        <f>SUMIFS(台帳!$I$2:$I$2000,台帳!$A$2:$A$2000,$A46,台帳!$E$2:$E$2000,K$4)</f>
        <v>0</v>
      </c>
      <c r="L46" s="37">
        <f>SUMIFS(台帳!$I$2:$I$2000,台帳!$A$2:$A$2000,$A46,台帳!$E$2:$E$2000,L$4)</f>
        <v>0</v>
      </c>
      <c r="M46" s="37">
        <f>SUMIFS(台帳!$I$2:$I$2000,台帳!$A$2:$A$2000,$A46,台帳!$E$2:$E$2000,M$4)</f>
        <v>0</v>
      </c>
      <c r="N46" s="37">
        <f>SUMIFS(台帳!$I$2:$I$2000,台帳!$A$2:$A$2000,$A46,台帳!$E$2:$E$2000,N$4)</f>
        <v>0</v>
      </c>
      <c r="O46" s="37">
        <f>SUMIFS(台帳!$I$2:$I$2000,台帳!$A$2:$A$2000,$A46,台帳!$D$2:$D$2000,"自社")</f>
        <v>0</v>
      </c>
      <c r="P46" s="37">
        <f>SUMIFS(台帳!$I$2:$I$2000,台帳!$A$2:$A$2000,$A46,台帳!$D$2:$D$2000,"業者")</f>
        <v>0</v>
      </c>
      <c r="Q46" s="37">
        <f>SUM(C46:N46)</f>
        <v>0</v>
      </c>
      <c r="R46" s="37">
        <f>R45+C46</f>
        <v>0</v>
      </c>
      <c r="S46" s="37">
        <f>S45+D46</f>
        <v>7</v>
      </c>
      <c r="T46" s="37">
        <f>T45+E46</f>
        <v>6</v>
      </c>
      <c r="U46" s="37">
        <f>U45+F46</f>
        <v>0</v>
      </c>
      <c r="V46" s="37">
        <f>V45+G46</f>
        <v>0</v>
      </c>
      <c r="W46" s="37">
        <f>W45+H46</f>
        <v>0</v>
      </c>
      <c r="X46" s="37">
        <f>X45+I46</f>
        <v>0</v>
      </c>
      <c r="Y46" s="37">
        <f>Y45+J46</f>
        <v>0</v>
      </c>
      <c r="Z46" s="37">
        <f>Z45+K46</f>
        <v>0</v>
      </c>
      <c r="AA46" s="37">
        <f>AA45+L46</f>
        <v>0</v>
      </c>
      <c r="AB46" s="37">
        <f>AB45+M46</f>
        <v>0</v>
      </c>
      <c r="AC46" s="37">
        <f>AC45+N46</f>
        <v>0</v>
      </c>
      <c r="AD46" s="37">
        <f>AD45+O46</f>
        <v>13</v>
      </c>
      <c r="AE46" s="37">
        <f>AE45+P46</f>
        <v>0</v>
      </c>
      <c r="AF46" s="37">
        <f>AF45+Q46</f>
        <v>13</v>
      </c>
      <c r="AG46" s="38" t="str">
        <f>IFERROR(INDEX(台帳!$H$2:$H$2000,MATCH($A46,台帳!$A$2:$A$2000,0)),"")</f>
        <v/>
      </c>
    </row>
    <row r="47" spans="1:33" ht="15.75" x14ac:dyDescent="0.25">
      <c r="A47" s="31">
        <v>46174</v>
      </c>
      <c r="B47" s="32" t="str">
        <f>CHOOSE(WEEKDAY(A47),"日","月","火","水","木","金","土")</f>
        <v>月</v>
      </c>
      <c r="C47" s="33">
        <f>SUMIFS(台帳!$I$2:$I$2000,台帳!$A$2:$A$2000,$A47,台帳!$E$2:$E$2000,C$4)</f>
        <v>0</v>
      </c>
      <c r="D47" s="33">
        <f>SUMIFS(台帳!$I$2:$I$2000,台帳!$A$2:$A$2000,$A47,台帳!$E$2:$E$2000,D$4)</f>
        <v>0</v>
      </c>
      <c r="E47" s="33">
        <f>SUMIFS(台帳!$I$2:$I$2000,台帳!$A$2:$A$2000,$A47,台帳!$E$2:$E$2000,E$4)</f>
        <v>0</v>
      </c>
      <c r="F47" s="33">
        <f>SUMIFS(台帳!$I$2:$I$2000,台帳!$A$2:$A$2000,$A47,台帳!$E$2:$E$2000,F$4)</f>
        <v>0</v>
      </c>
      <c r="G47" s="33">
        <f>SUMIFS(台帳!$I$2:$I$2000,台帳!$A$2:$A$2000,$A47,台帳!$E$2:$E$2000,G$4)</f>
        <v>0</v>
      </c>
      <c r="H47" s="33">
        <f>SUMIFS(台帳!$I$2:$I$2000,台帳!$A$2:$A$2000,$A47,台帳!$E$2:$E$2000,H$4)</f>
        <v>0</v>
      </c>
      <c r="I47" s="33">
        <f>SUMIFS(台帳!$I$2:$I$2000,台帳!$A$2:$A$2000,$A47,台帳!$E$2:$E$2000,I$4)</f>
        <v>0</v>
      </c>
      <c r="J47" s="33">
        <f>SUMIFS(台帳!$I$2:$I$2000,台帳!$A$2:$A$2000,$A47,台帳!$E$2:$E$2000,J$4)</f>
        <v>0</v>
      </c>
      <c r="K47" s="33">
        <f>SUMIFS(台帳!$I$2:$I$2000,台帳!$A$2:$A$2000,$A47,台帳!$E$2:$E$2000,K$4)</f>
        <v>0</v>
      </c>
      <c r="L47" s="33">
        <f>SUMIFS(台帳!$I$2:$I$2000,台帳!$A$2:$A$2000,$A47,台帳!$E$2:$E$2000,L$4)</f>
        <v>0</v>
      </c>
      <c r="M47" s="33">
        <f>SUMIFS(台帳!$I$2:$I$2000,台帳!$A$2:$A$2000,$A47,台帳!$E$2:$E$2000,M$4)</f>
        <v>0</v>
      </c>
      <c r="N47" s="33">
        <f>SUMIFS(台帳!$I$2:$I$2000,台帳!$A$2:$A$2000,$A47,台帳!$E$2:$E$2000,N$4)</f>
        <v>0</v>
      </c>
      <c r="O47" s="33">
        <f>SUMIFS(台帳!$I$2:$I$2000,台帳!$A$2:$A$2000,$A47,台帳!$D$2:$D$2000,"自社")</f>
        <v>0</v>
      </c>
      <c r="P47" s="33">
        <f>SUMIFS(台帳!$I$2:$I$2000,台帳!$A$2:$A$2000,$A47,台帳!$D$2:$D$2000,"業者")</f>
        <v>0</v>
      </c>
      <c r="Q47" s="33">
        <f>SUM(C47:N47)</f>
        <v>0</v>
      </c>
      <c r="R47" s="33">
        <f>R46+C47</f>
        <v>0</v>
      </c>
      <c r="S47" s="33">
        <f>S46+D47</f>
        <v>7</v>
      </c>
      <c r="T47" s="33">
        <f>T46+E47</f>
        <v>6</v>
      </c>
      <c r="U47" s="33">
        <f>U46+F47</f>
        <v>0</v>
      </c>
      <c r="V47" s="33">
        <f>V46+G47</f>
        <v>0</v>
      </c>
      <c r="W47" s="33">
        <f>W46+H47</f>
        <v>0</v>
      </c>
      <c r="X47" s="33">
        <f>X46+I47</f>
        <v>0</v>
      </c>
      <c r="Y47" s="33">
        <f>Y46+J47</f>
        <v>0</v>
      </c>
      <c r="Z47" s="33">
        <f>Z46+K47</f>
        <v>0</v>
      </c>
      <c r="AA47" s="33">
        <f>AA46+L47</f>
        <v>0</v>
      </c>
      <c r="AB47" s="33">
        <f>AB46+M47</f>
        <v>0</v>
      </c>
      <c r="AC47" s="33">
        <f>AC46+N47</f>
        <v>0</v>
      </c>
      <c r="AD47" s="33">
        <f>AD46+O47</f>
        <v>13</v>
      </c>
      <c r="AE47" s="33">
        <f>AE46+P47</f>
        <v>0</v>
      </c>
      <c r="AF47" s="33">
        <f>AF46+Q47</f>
        <v>13</v>
      </c>
      <c r="AG47" s="34" t="str">
        <f>IFERROR(INDEX(台帳!$H$2:$H$2000,MATCH($A47,台帳!$A$2:$A$2000,0)),"")</f>
        <v/>
      </c>
    </row>
    <row r="48" spans="1:33" ht="15.75" x14ac:dyDescent="0.25">
      <c r="A48" s="31">
        <v>46175</v>
      </c>
      <c r="B48" s="32" t="str">
        <f>CHOOSE(WEEKDAY(A48),"日","月","火","水","木","金","土")</f>
        <v>火</v>
      </c>
      <c r="C48" s="33">
        <f>SUMIFS(台帳!$I$2:$I$2000,台帳!$A$2:$A$2000,$A48,台帳!$E$2:$E$2000,C$4)</f>
        <v>0</v>
      </c>
      <c r="D48" s="33">
        <f>SUMIFS(台帳!$I$2:$I$2000,台帳!$A$2:$A$2000,$A48,台帳!$E$2:$E$2000,D$4)</f>
        <v>0</v>
      </c>
      <c r="E48" s="33">
        <f>SUMIFS(台帳!$I$2:$I$2000,台帳!$A$2:$A$2000,$A48,台帳!$E$2:$E$2000,E$4)</f>
        <v>0</v>
      </c>
      <c r="F48" s="33">
        <f>SUMIFS(台帳!$I$2:$I$2000,台帳!$A$2:$A$2000,$A48,台帳!$E$2:$E$2000,F$4)</f>
        <v>0</v>
      </c>
      <c r="G48" s="33">
        <f>SUMIFS(台帳!$I$2:$I$2000,台帳!$A$2:$A$2000,$A48,台帳!$E$2:$E$2000,G$4)</f>
        <v>0</v>
      </c>
      <c r="H48" s="33">
        <f>SUMIFS(台帳!$I$2:$I$2000,台帳!$A$2:$A$2000,$A48,台帳!$E$2:$E$2000,H$4)</f>
        <v>0</v>
      </c>
      <c r="I48" s="33">
        <f>SUMIFS(台帳!$I$2:$I$2000,台帳!$A$2:$A$2000,$A48,台帳!$E$2:$E$2000,I$4)</f>
        <v>0</v>
      </c>
      <c r="J48" s="33">
        <f>SUMIFS(台帳!$I$2:$I$2000,台帳!$A$2:$A$2000,$A48,台帳!$E$2:$E$2000,J$4)</f>
        <v>0</v>
      </c>
      <c r="K48" s="33">
        <f>SUMIFS(台帳!$I$2:$I$2000,台帳!$A$2:$A$2000,$A48,台帳!$E$2:$E$2000,K$4)</f>
        <v>0</v>
      </c>
      <c r="L48" s="33">
        <f>SUMIFS(台帳!$I$2:$I$2000,台帳!$A$2:$A$2000,$A48,台帳!$E$2:$E$2000,L$4)</f>
        <v>0</v>
      </c>
      <c r="M48" s="33">
        <f>SUMIFS(台帳!$I$2:$I$2000,台帳!$A$2:$A$2000,$A48,台帳!$E$2:$E$2000,M$4)</f>
        <v>0</v>
      </c>
      <c r="N48" s="33">
        <f>SUMIFS(台帳!$I$2:$I$2000,台帳!$A$2:$A$2000,$A48,台帳!$E$2:$E$2000,N$4)</f>
        <v>0</v>
      </c>
      <c r="O48" s="33">
        <f>SUMIFS(台帳!$I$2:$I$2000,台帳!$A$2:$A$2000,$A48,台帳!$D$2:$D$2000,"自社")</f>
        <v>0</v>
      </c>
      <c r="P48" s="33">
        <f>SUMIFS(台帳!$I$2:$I$2000,台帳!$A$2:$A$2000,$A48,台帳!$D$2:$D$2000,"業者")</f>
        <v>0</v>
      </c>
      <c r="Q48" s="33">
        <f>SUM(C48:N48)</f>
        <v>0</v>
      </c>
      <c r="R48" s="33">
        <f>R47+C48</f>
        <v>0</v>
      </c>
      <c r="S48" s="33">
        <f>S47+D48</f>
        <v>7</v>
      </c>
      <c r="T48" s="33">
        <f>T47+E48</f>
        <v>6</v>
      </c>
      <c r="U48" s="33">
        <f>U47+F48</f>
        <v>0</v>
      </c>
      <c r="V48" s="33">
        <f>V47+G48</f>
        <v>0</v>
      </c>
      <c r="W48" s="33">
        <f>W47+H48</f>
        <v>0</v>
      </c>
      <c r="X48" s="33">
        <f>X47+I48</f>
        <v>0</v>
      </c>
      <c r="Y48" s="33">
        <f>Y47+J48</f>
        <v>0</v>
      </c>
      <c r="Z48" s="33">
        <f>Z47+K48</f>
        <v>0</v>
      </c>
      <c r="AA48" s="33">
        <f>AA47+L48</f>
        <v>0</v>
      </c>
      <c r="AB48" s="33">
        <f>AB47+M48</f>
        <v>0</v>
      </c>
      <c r="AC48" s="33">
        <f>AC47+N48</f>
        <v>0</v>
      </c>
      <c r="AD48" s="33">
        <f>AD47+O48</f>
        <v>13</v>
      </c>
      <c r="AE48" s="33">
        <f>AE47+P48</f>
        <v>0</v>
      </c>
      <c r="AF48" s="33">
        <f>AF47+Q48</f>
        <v>13</v>
      </c>
      <c r="AG48" s="34" t="str">
        <f>IFERROR(INDEX(台帳!$H$2:$H$2000,MATCH($A48,台帳!$A$2:$A$2000,0)),"")</f>
        <v/>
      </c>
    </row>
    <row r="49" spans="1:33" ht="15.75" x14ac:dyDescent="0.25">
      <c r="A49" s="31">
        <v>46176</v>
      </c>
      <c r="B49" s="32" t="str">
        <f>CHOOSE(WEEKDAY(A49),"日","月","火","水","木","金","土")</f>
        <v>水</v>
      </c>
      <c r="C49" s="33">
        <f>SUMIFS(台帳!$I$2:$I$2000,台帳!$A$2:$A$2000,$A49,台帳!$E$2:$E$2000,C$4)</f>
        <v>0</v>
      </c>
      <c r="D49" s="33">
        <f>SUMIFS(台帳!$I$2:$I$2000,台帳!$A$2:$A$2000,$A49,台帳!$E$2:$E$2000,D$4)</f>
        <v>0</v>
      </c>
      <c r="E49" s="33">
        <f>SUMIFS(台帳!$I$2:$I$2000,台帳!$A$2:$A$2000,$A49,台帳!$E$2:$E$2000,E$4)</f>
        <v>0</v>
      </c>
      <c r="F49" s="33">
        <f>SUMIFS(台帳!$I$2:$I$2000,台帳!$A$2:$A$2000,$A49,台帳!$E$2:$E$2000,F$4)</f>
        <v>0</v>
      </c>
      <c r="G49" s="33">
        <f>SUMIFS(台帳!$I$2:$I$2000,台帳!$A$2:$A$2000,$A49,台帳!$E$2:$E$2000,G$4)</f>
        <v>0</v>
      </c>
      <c r="H49" s="33">
        <f>SUMIFS(台帳!$I$2:$I$2000,台帳!$A$2:$A$2000,$A49,台帳!$E$2:$E$2000,H$4)</f>
        <v>0</v>
      </c>
      <c r="I49" s="33">
        <f>SUMIFS(台帳!$I$2:$I$2000,台帳!$A$2:$A$2000,$A49,台帳!$E$2:$E$2000,I$4)</f>
        <v>0</v>
      </c>
      <c r="J49" s="33">
        <f>SUMIFS(台帳!$I$2:$I$2000,台帳!$A$2:$A$2000,$A49,台帳!$E$2:$E$2000,J$4)</f>
        <v>0</v>
      </c>
      <c r="K49" s="33">
        <f>SUMIFS(台帳!$I$2:$I$2000,台帳!$A$2:$A$2000,$A49,台帳!$E$2:$E$2000,K$4)</f>
        <v>0</v>
      </c>
      <c r="L49" s="33">
        <f>SUMIFS(台帳!$I$2:$I$2000,台帳!$A$2:$A$2000,$A49,台帳!$E$2:$E$2000,L$4)</f>
        <v>0</v>
      </c>
      <c r="M49" s="33">
        <f>SUMIFS(台帳!$I$2:$I$2000,台帳!$A$2:$A$2000,$A49,台帳!$E$2:$E$2000,M$4)</f>
        <v>0</v>
      </c>
      <c r="N49" s="33">
        <f>SUMIFS(台帳!$I$2:$I$2000,台帳!$A$2:$A$2000,$A49,台帳!$E$2:$E$2000,N$4)</f>
        <v>0</v>
      </c>
      <c r="O49" s="33">
        <f>SUMIFS(台帳!$I$2:$I$2000,台帳!$A$2:$A$2000,$A49,台帳!$D$2:$D$2000,"自社")</f>
        <v>0</v>
      </c>
      <c r="P49" s="33">
        <f>SUMIFS(台帳!$I$2:$I$2000,台帳!$A$2:$A$2000,$A49,台帳!$D$2:$D$2000,"業者")</f>
        <v>0</v>
      </c>
      <c r="Q49" s="33">
        <f>SUM(C49:N49)</f>
        <v>0</v>
      </c>
      <c r="R49" s="33">
        <f>R48+C49</f>
        <v>0</v>
      </c>
      <c r="S49" s="33">
        <f>S48+D49</f>
        <v>7</v>
      </c>
      <c r="T49" s="33">
        <f>T48+E49</f>
        <v>6</v>
      </c>
      <c r="U49" s="33">
        <f>U48+F49</f>
        <v>0</v>
      </c>
      <c r="V49" s="33">
        <f>V48+G49</f>
        <v>0</v>
      </c>
      <c r="W49" s="33">
        <f>W48+H49</f>
        <v>0</v>
      </c>
      <c r="X49" s="33">
        <f>X48+I49</f>
        <v>0</v>
      </c>
      <c r="Y49" s="33">
        <f>Y48+J49</f>
        <v>0</v>
      </c>
      <c r="Z49" s="33">
        <f>Z48+K49</f>
        <v>0</v>
      </c>
      <c r="AA49" s="33">
        <f>AA48+L49</f>
        <v>0</v>
      </c>
      <c r="AB49" s="33">
        <f>AB48+M49</f>
        <v>0</v>
      </c>
      <c r="AC49" s="33">
        <f>AC48+N49</f>
        <v>0</v>
      </c>
      <c r="AD49" s="33">
        <f>AD48+O49</f>
        <v>13</v>
      </c>
      <c r="AE49" s="33">
        <f>AE48+P49</f>
        <v>0</v>
      </c>
      <c r="AF49" s="33">
        <f>AF48+Q49</f>
        <v>13</v>
      </c>
      <c r="AG49" s="34" t="str">
        <f>IFERROR(INDEX(台帳!$H$2:$H$2000,MATCH($A49,台帳!$A$2:$A$2000,0)),"")</f>
        <v/>
      </c>
    </row>
    <row r="50" spans="1:33" ht="15.75" x14ac:dyDescent="0.25">
      <c r="A50" s="31">
        <v>46177</v>
      </c>
      <c r="B50" s="32" t="str">
        <f>CHOOSE(WEEKDAY(A50),"日","月","火","水","木","金","土")</f>
        <v>木</v>
      </c>
      <c r="C50" s="33">
        <f>SUMIFS(台帳!$I$2:$I$2000,台帳!$A$2:$A$2000,$A50,台帳!$E$2:$E$2000,C$4)</f>
        <v>0</v>
      </c>
      <c r="D50" s="33">
        <f>SUMIFS(台帳!$I$2:$I$2000,台帳!$A$2:$A$2000,$A50,台帳!$E$2:$E$2000,D$4)</f>
        <v>0</v>
      </c>
      <c r="E50" s="33">
        <f>SUMIFS(台帳!$I$2:$I$2000,台帳!$A$2:$A$2000,$A50,台帳!$E$2:$E$2000,E$4)</f>
        <v>0</v>
      </c>
      <c r="F50" s="33">
        <f>SUMIFS(台帳!$I$2:$I$2000,台帳!$A$2:$A$2000,$A50,台帳!$E$2:$E$2000,F$4)</f>
        <v>0</v>
      </c>
      <c r="G50" s="33">
        <f>SUMIFS(台帳!$I$2:$I$2000,台帳!$A$2:$A$2000,$A50,台帳!$E$2:$E$2000,G$4)</f>
        <v>0</v>
      </c>
      <c r="H50" s="33">
        <f>SUMIFS(台帳!$I$2:$I$2000,台帳!$A$2:$A$2000,$A50,台帳!$E$2:$E$2000,H$4)</f>
        <v>0</v>
      </c>
      <c r="I50" s="33">
        <f>SUMIFS(台帳!$I$2:$I$2000,台帳!$A$2:$A$2000,$A50,台帳!$E$2:$E$2000,I$4)</f>
        <v>0</v>
      </c>
      <c r="J50" s="33">
        <f>SUMIFS(台帳!$I$2:$I$2000,台帳!$A$2:$A$2000,$A50,台帳!$E$2:$E$2000,J$4)</f>
        <v>0</v>
      </c>
      <c r="K50" s="33">
        <f>SUMIFS(台帳!$I$2:$I$2000,台帳!$A$2:$A$2000,$A50,台帳!$E$2:$E$2000,K$4)</f>
        <v>0</v>
      </c>
      <c r="L50" s="33">
        <f>SUMIFS(台帳!$I$2:$I$2000,台帳!$A$2:$A$2000,$A50,台帳!$E$2:$E$2000,L$4)</f>
        <v>0</v>
      </c>
      <c r="M50" s="33">
        <f>SUMIFS(台帳!$I$2:$I$2000,台帳!$A$2:$A$2000,$A50,台帳!$E$2:$E$2000,M$4)</f>
        <v>0</v>
      </c>
      <c r="N50" s="33">
        <f>SUMIFS(台帳!$I$2:$I$2000,台帳!$A$2:$A$2000,$A50,台帳!$E$2:$E$2000,N$4)</f>
        <v>0</v>
      </c>
      <c r="O50" s="33">
        <f>SUMIFS(台帳!$I$2:$I$2000,台帳!$A$2:$A$2000,$A50,台帳!$D$2:$D$2000,"自社")</f>
        <v>0</v>
      </c>
      <c r="P50" s="33">
        <f>SUMIFS(台帳!$I$2:$I$2000,台帳!$A$2:$A$2000,$A50,台帳!$D$2:$D$2000,"業者")</f>
        <v>0</v>
      </c>
      <c r="Q50" s="33">
        <f>SUM(C50:N50)</f>
        <v>0</v>
      </c>
      <c r="R50" s="33">
        <f>R49+C50</f>
        <v>0</v>
      </c>
      <c r="S50" s="33">
        <f>S49+D50</f>
        <v>7</v>
      </c>
      <c r="T50" s="33">
        <f>T49+E50</f>
        <v>6</v>
      </c>
      <c r="U50" s="33">
        <f>U49+F50</f>
        <v>0</v>
      </c>
      <c r="V50" s="33">
        <f>V49+G50</f>
        <v>0</v>
      </c>
      <c r="W50" s="33">
        <f>W49+H50</f>
        <v>0</v>
      </c>
      <c r="X50" s="33">
        <f>X49+I50</f>
        <v>0</v>
      </c>
      <c r="Y50" s="33">
        <f>Y49+J50</f>
        <v>0</v>
      </c>
      <c r="Z50" s="33">
        <f>Z49+K50</f>
        <v>0</v>
      </c>
      <c r="AA50" s="33">
        <f>AA49+L50</f>
        <v>0</v>
      </c>
      <c r="AB50" s="33">
        <f>AB49+M50</f>
        <v>0</v>
      </c>
      <c r="AC50" s="33">
        <f>AC49+N50</f>
        <v>0</v>
      </c>
      <c r="AD50" s="33">
        <f>AD49+O50</f>
        <v>13</v>
      </c>
      <c r="AE50" s="33">
        <f>AE49+P50</f>
        <v>0</v>
      </c>
      <c r="AF50" s="33">
        <f>AF49+Q50</f>
        <v>13</v>
      </c>
      <c r="AG50" s="34" t="str">
        <f>IFERROR(INDEX(台帳!$H$2:$H$2000,MATCH($A50,台帳!$A$2:$A$2000,0)),"")</f>
        <v/>
      </c>
    </row>
    <row r="51" spans="1:33" ht="15.75" x14ac:dyDescent="0.25">
      <c r="A51" s="31">
        <v>46178</v>
      </c>
      <c r="B51" s="32" t="str">
        <f>CHOOSE(WEEKDAY(A51),"日","月","火","水","木","金","土")</f>
        <v>金</v>
      </c>
      <c r="C51" s="33">
        <f>SUMIFS(台帳!$I$2:$I$2000,台帳!$A$2:$A$2000,$A51,台帳!$E$2:$E$2000,C$4)</f>
        <v>0</v>
      </c>
      <c r="D51" s="33">
        <f>SUMIFS(台帳!$I$2:$I$2000,台帳!$A$2:$A$2000,$A51,台帳!$E$2:$E$2000,D$4)</f>
        <v>0</v>
      </c>
      <c r="E51" s="33">
        <f>SUMIFS(台帳!$I$2:$I$2000,台帳!$A$2:$A$2000,$A51,台帳!$E$2:$E$2000,E$4)</f>
        <v>0</v>
      </c>
      <c r="F51" s="33">
        <f>SUMIFS(台帳!$I$2:$I$2000,台帳!$A$2:$A$2000,$A51,台帳!$E$2:$E$2000,F$4)</f>
        <v>0</v>
      </c>
      <c r="G51" s="33">
        <f>SUMIFS(台帳!$I$2:$I$2000,台帳!$A$2:$A$2000,$A51,台帳!$E$2:$E$2000,G$4)</f>
        <v>0</v>
      </c>
      <c r="H51" s="33">
        <f>SUMIFS(台帳!$I$2:$I$2000,台帳!$A$2:$A$2000,$A51,台帳!$E$2:$E$2000,H$4)</f>
        <v>0</v>
      </c>
      <c r="I51" s="33">
        <f>SUMIFS(台帳!$I$2:$I$2000,台帳!$A$2:$A$2000,$A51,台帳!$E$2:$E$2000,I$4)</f>
        <v>0</v>
      </c>
      <c r="J51" s="33">
        <f>SUMIFS(台帳!$I$2:$I$2000,台帳!$A$2:$A$2000,$A51,台帳!$E$2:$E$2000,J$4)</f>
        <v>0</v>
      </c>
      <c r="K51" s="33">
        <f>SUMIFS(台帳!$I$2:$I$2000,台帳!$A$2:$A$2000,$A51,台帳!$E$2:$E$2000,K$4)</f>
        <v>0</v>
      </c>
      <c r="L51" s="33">
        <f>SUMIFS(台帳!$I$2:$I$2000,台帳!$A$2:$A$2000,$A51,台帳!$E$2:$E$2000,L$4)</f>
        <v>0</v>
      </c>
      <c r="M51" s="33">
        <f>SUMIFS(台帳!$I$2:$I$2000,台帳!$A$2:$A$2000,$A51,台帳!$E$2:$E$2000,M$4)</f>
        <v>0</v>
      </c>
      <c r="N51" s="33">
        <f>SUMIFS(台帳!$I$2:$I$2000,台帳!$A$2:$A$2000,$A51,台帳!$E$2:$E$2000,N$4)</f>
        <v>0</v>
      </c>
      <c r="O51" s="33">
        <f>SUMIFS(台帳!$I$2:$I$2000,台帳!$A$2:$A$2000,$A51,台帳!$D$2:$D$2000,"自社")</f>
        <v>0</v>
      </c>
      <c r="P51" s="33">
        <f>SUMIFS(台帳!$I$2:$I$2000,台帳!$A$2:$A$2000,$A51,台帳!$D$2:$D$2000,"業者")</f>
        <v>0</v>
      </c>
      <c r="Q51" s="33">
        <f>SUM(C51:N51)</f>
        <v>0</v>
      </c>
      <c r="R51" s="33">
        <f>R50+C51</f>
        <v>0</v>
      </c>
      <c r="S51" s="33">
        <f>S50+D51</f>
        <v>7</v>
      </c>
      <c r="T51" s="33">
        <f>T50+E51</f>
        <v>6</v>
      </c>
      <c r="U51" s="33">
        <f>U50+F51</f>
        <v>0</v>
      </c>
      <c r="V51" s="33">
        <f>V50+G51</f>
        <v>0</v>
      </c>
      <c r="W51" s="33">
        <f>W50+H51</f>
        <v>0</v>
      </c>
      <c r="X51" s="33">
        <f>X50+I51</f>
        <v>0</v>
      </c>
      <c r="Y51" s="33">
        <f>Y50+J51</f>
        <v>0</v>
      </c>
      <c r="Z51" s="33">
        <f>Z50+K51</f>
        <v>0</v>
      </c>
      <c r="AA51" s="33">
        <f>AA50+L51</f>
        <v>0</v>
      </c>
      <c r="AB51" s="33">
        <f>AB50+M51</f>
        <v>0</v>
      </c>
      <c r="AC51" s="33">
        <f>AC50+N51</f>
        <v>0</v>
      </c>
      <c r="AD51" s="33">
        <f>AD50+O51</f>
        <v>13</v>
      </c>
      <c r="AE51" s="33">
        <f>AE50+P51</f>
        <v>0</v>
      </c>
      <c r="AF51" s="33">
        <f>AF50+Q51</f>
        <v>13</v>
      </c>
      <c r="AG51" s="34" t="str">
        <f>IFERROR(INDEX(台帳!$H$2:$H$2000,MATCH($A51,台帳!$A$2:$A$2000,0)),"")</f>
        <v/>
      </c>
    </row>
    <row r="52" spans="1:33" ht="15.75" x14ac:dyDescent="0.25">
      <c r="A52" s="35">
        <v>46179</v>
      </c>
      <c r="B52" s="36" t="str">
        <f>CHOOSE(WEEKDAY(A52),"日","月","火","水","木","金","土")</f>
        <v>土</v>
      </c>
      <c r="C52" s="37">
        <f>SUMIFS(台帳!$I$2:$I$2000,台帳!$A$2:$A$2000,$A52,台帳!$E$2:$E$2000,C$4)</f>
        <v>0</v>
      </c>
      <c r="D52" s="37">
        <f>SUMIFS(台帳!$I$2:$I$2000,台帳!$A$2:$A$2000,$A52,台帳!$E$2:$E$2000,D$4)</f>
        <v>0</v>
      </c>
      <c r="E52" s="37">
        <f>SUMIFS(台帳!$I$2:$I$2000,台帳!$A$2:$A$2000,$A52,台帳!$E$2:$E$2000,E$4)</f>
        <v>0</v>
      </c>
      <c r="F52" s="37">
        <f>SUMIFS(台帳!$I$2:$I$2000,台帳!$A$2:$A$2000,$A52,台帳!$E$2:$E$2000,F$4)</f>
        <v>0</v>
      </c>
      <c r="G52" s="37">
        <f>SUMIFS(台帳!$I$2:$I$2000,台帳!$A$2:$A$2000,$A52,台帳!$E$2:$E$2000,G$4)</f>
        <v>0</v>
      </c>
      <c r="H52" s="37">
        <f>SUMIFS(台帳!$I$2:$I$2000,台帳!$A$2:$A$2000,$A52,台帳!$E$2:$E$2000,H$4)</f>
        <v>0</v>
      </c>
      <c r="I52" s="37">
        <f>SUMIFS(台帳!$I$2:$I$2000,台帳!$A$2:$A$2000,$A52,台帳!$E$2:$E$2000,I$4)</f>
        <v>0</v>
      </c>
      <c r="J52" s="37">
        <f>SUMIFS(台帳!$I$2:$I$2000,台帳!$A$2:$A$2000,$A52,台帳!$E$2:$E$2000,J$4)</f>
        <v>0</v>
      </c>
      <c r="K52" s="37">
        <f>SUMIFS(台帳!$I$2:$I$2000,台帳!$A$2:$A$2000,$A52,台帳!$E$2:$E$2000,K$4)</f>
        <v>0</v>
      </c>
      <c r="L52" s="37">
        <f>SUMIFS(台帳!$I$2:$I$2000,台帳!$A$2:$A$2000,$A52,台帳!$E$2:$E$2000,L$4)</f>
        <v>0</v>
      </c>
      <c r="M52" s="37">
        <f>SUMIFS(台帳!$I$2:$I$2000,台帳!$A$2:$A$2000,$A52,台帳!$E$2:$E$2000,M$4)</f>
        <v>0</v>
      </c>
      <c r="N52" s="37">
        <f>SUMIFS(台帳!$I$2:$I$2000,台帳!$A$2:$A$2000,$A52,台帳!$E$2:$E$2000,N$4)</f>
        <v>0</v>
      </c>
      <c r="O52" s="37">
        <f>SUMIFS(台帳!$I$2:$I$2000,台帳!$A$2:$A$2000,$A52,台帳!$D$2:$D$2000,"自社")</f>
        <v>0</v>
      </c>
      <c r="P52" s="37">
        <f>SUMIFS(台帳!$I$2:$I$2000,台帳!$A$2:$A$2000,$A52,台帳!$D$2:$D$2000,"業者")</f>
        <v>0</v>
      </c>
      <c r="Q52" s="37">
        <f>SUM(C52:N52)</f>
        <v>0</v>
      </c>
      <c r="R52" s="37">
        <f>R51+C52</f>
        <v>0</v>
      </c>
      <c r="S52" s="37">
        <f>S51+D52</f>
        <v>7</v>
      </c>
      <c r="T52" s="37">
        <f>T51+E52</f>
        <v>6</v>
      </c>
      <c r="U52" s="37">
        <f>U51+F52</f>
        <v>0</v>
      </c>
      <c r="V52" s="37">
        <f>V51+G52</f>
        <v>0</v>
      </c>
      <c r="W52" s="37">
        <f>W51+H52</f>
        <v>0</v>
      </c>
      <c r="X52" s="37">
        <f>X51+I52</f>
        <v>0</v>
      </c>
      <c r="Y52" s="37">
        <f>Y51+J52</f>
        <v>0</v>
      </c>
      <c r="Z52" s="37">
        <f>Z51+K52</f>
        <v>0</v>
      </c>
      <c r="AA52" s="37">
        <f>AA51+L52</f>
        <v>0</v>
      </c>
      <c r="AB52" s="37">
        <f>AB51+M52</f>
        <v>0</v>
      </c>
      <c r="AC52" s="37">
        <f>AC51+N52</f>
        <v>0</v>
      </c>
      <c r="AD52" s="37">
        <f>AD51+O52</f>
        <v>13</v>
      </c>
      <c r="AE52" s="37">
        <f>AE51+P52</f>
        <v>0</v>
      </c>
      <c r="AF52" s="37">
        <f>AF51+Q52</f>
        <v>13</v>
      </c>
      <c r="AG52" s="38" t="str">
        <f>IFERROR(INDEX(台帳!$H$2:$H$2000,MATCH($A52,台帳!$A$2:$A$2000,0)),"")</f>
        <v/>
      </c>
    </row>
    <row r="53" spans="1:33" ht="15.75" x14ac:dyDescent="0.25">
      <c r="A53" s="35">
        <v>46180</v>
      </c>
      <c r="B53" s="36" t="str">
        <f>CHOOSE(WEEKDAY(A53),"日","月","火","水","木","金","土")</f>
        <v>日</v>
      </c>
      <c r="C53" s="37">
        <f>SUMIFS(台帳!$I$2:$I$2000,台帳!$A$2:$A$2000,$A53,台帳!$E$2:$E$2000,C$4)</f>
        <v>0</v>
      </c>
      <c r="D53" s="37">
        <f>SUMIFS(台帳!$I$2:$I$2000,台帳!$A$2:$A$2000,$A53,台帳!$E$2:$E$2000,D$4)</f>
        <v>0</v>
      </c>
      <c r="E53" s="37">
        <f>SUMIFS(台帳!$I$2:$I$2000,台帳!$A$2:$A$2000,$A53,台帳!$E$2:$E$2000,E$4)</f>
        <v>0</v>
      </c>
      <c r="F53" s="37">
        <f>SUMIFS(台帳!$I$2:$I$2000,台帳!$A$2:$A$2000,$A53,台帳!$E$2:$E$2000,F$4)</f>
        <v>0</v>
      </c>
      <c r="G53" s="37">
        <f>SUMIFS(台帳!$I$2:$I$2000,台帳!$A$2:$A$2000,$A53,台帳!$E$2:$E$2000,G$4)</f>
        <v>0</v>
      </c>
      <c r="H53" s="37">
        <f>SUMIFS(台帳!$I$2:$I$2000,台帳!$A$2:$A$2000,$A53,台帳!$E$2:$E$2000,H$4)</f>
        <v>0</v>
      </c>
      <c r="I53" s="37">
        <f>SUMIFS(台帳!$I$2:$I$2000,台帳!$A$2:$A$2000,$A53,台帳!$E$2:$E$2000,I$4)</f>
        <v>0</v>
      </c>
      <c r="J53" s="37">
        <f>SUMIFS(台帳!$I$2:$I$2000,台帳!$A$2:$A$2000,$A53,台帳!$E$2:$E$2000,J$4)</f>
        <v>0</v>
      </c>
      <c r="K53" s="37">
        <f>SUMIFS(台帳!$I$2:$I$2000,台帳!$A$2:$A$2000,$A53,台帳!$E$2:$E$2000,K$4)</f>
        <v>0</v>
      </c>
      <c r="L53" s="37">
        <f>SUMIFS(台帳!$I$2:$I$2000,台帳!$A$2:$A$2000,$A53,台帳!$E$2:$E$2000,L$4)</f>
        <v>0</v>
      </c>
      <c r="M53" s="37">
        <f>SUMIFS(台帳!$I$2:$I$2000,台帳!$A$2:$A$2000,$A53,台帳!$E$2:$E$2000,M$4)</f>
        <v>0</v>
      </c>
      <c r="N53" s="37">
        <f>SUMIFS(台帳!$I$2:$I$2000,台帳!$A$2:$A$2000,$A53,台帳!$E$2:$E$2000,N$4)</f>
        <v>0</v>
      </c>
      <c r="O53" s="37">
        <f>SUMIFS(台帳!$I$2:$I$2000,台帳!$A$2:$A$2000,$A53,台帳!$D$2:$D$2000,"自社")</f>
        <v>0</v>
      </c>
      <c r="P53" s="37">
        <f>SUMIFS(台帳!$I$2:$I$2000,台帳!$A$2:$A$2000,$A53,台帳!$D$2:$D$2000,"業者")</f>
        <v>0</v>
      </c>
      <c r="Q53" s="37">
        <f>SUM(C53:N53)</f>
        <v>0</v>
      </c>
      <c r="R53" s="37">
        <f>R52+C53</f>
        <v>0</v>
      </c>
      <c r="S53" s="37">
        <f>S52+D53</f>
        <v>7</v>
      </c>
      <c r="T53" s="37">
        <f>T52+E53</f>
        <v>6</v>
      </c>
      <c r="U53" s="37">
        <f>U52+F53</f>
        <v>0</v>
      </c>
      <c r="V53" s="37">
        <f>V52+G53</f>
        <v>0</v>
      </c>
      <c r="W53" s="37">
        <f>W52+H53</f>
        <v>0</v>
      </c>
      <c r="X53" s="37">
        <f>X52+I53</f>
        <v>0</v>
      </c>
      <c r="Y53" s="37">
        <f>Y52+J53</f>
        <v>0</v>
      </c>
      <c r="Z53" s="37">
        <f>Z52+K53</f>
        <v>0</v>
      </c>
      <c r="AA53" s="37">
        <f>AA52+L53</f>
        <v>0</v>
      </c>
      <c r="AB53" s="37">
        <f>AB52+M53</f>
        <v>0</v>
      </c>
      <c r="AC53" s="37">
        <f>AC52+N53</f>
        <v>0</v>
      </c>
      <c r="AD53" s="37">
        <f>AD52+O53</f>
        <v>13</v>
      </c>
      <c r="AE53" s="37">
        <f>AE52+P53</f>
        <v>0</v>
      </c>
      <c r="AF53" s="37">
        <f>AF52+Q53</f>
        <v>13</v>
      </c>
      <c r="AG53" s="38" t="str">
        <f>IFERROR(INDEX(台帳!$H$2:$H$2000,MATCH($A53,台帳!$A$2:$A$2000,0)),"")</f>
        <v/>
      </c>
    </row>
    <row r="54" spans="1:33" ht="15.75" x14ac:dyDescent="0.25">
      <c r="A54" s="31">
        <v>46181</v>
      </c>
      <c r="B54" s="32" t="str">
        <f>CHOOSE(WEEKDAY(A54),"日","月","火","水","木","金","土")</f>
        <v>月</v>
      </c>
      <c r="C54" s="33">
        <f>SUMIFS(台帳!$I$2:$I$2000,台帳!$A$2:$A$2000,$A54,台帳!$E$2:$E$2000,C$4)</f>
        <v>0</v>
      </c>
      <c r="D54" s="33">
        <f>SUMIFS(台帳!$I$2:$I$2000,台帳!$A$2:$A$2000,$A54,台帳!$E$2:$E$2000,D$4)</f>
        <v>0</v>
      </c>
      <c r="E54" s="33">
        <f>SUMIFS(台帳!$I$2:$I$2000,台帳!$A$2:$A$2000,$A54,台帳!$E$2:$E$2000,E$4)</f>
        <v>0</v>
      </c>
      <c r="F54" s="33">
        <f>SUMIFS(台帳!$I$2:$I$2000,台帳!$A$2:$A$2000,$A54,台帳!$E$2:$E$2000,F$4)</f>
        <v>0</v>
      </c>
      <c r="G54" s="33">
        <f>SUMIFS(台帳!$I$2:$I$2000,台帳!$A$2:$A$2000,$A54,台帳!$E$2:$E$2000,G$4)</f>
        <v>0</v>
      </c>
      <c r="H54" s="33">
        <f>SUMIFS(台帳!$I$2:$I$2000,台帳!$A$2:$A$2000,$A54,台帳!$E$2:$E$2000,H$4)</f>
        <v>0</v>
      </c>
      <c r="I54" s="33">
        <f>SUMIFS(台帳!$I$2:$I$2000,台帳!$A$2:$A$2000,$A54,台帳!$E$2:$E$2000,I$4)</f>
        <v>0</v>
      </c>
      <c r="J54" s="33">
        <f>SUMIFS(台帳!$I$2:$I$2000,台帳!$A$2:$A$2000,$A54,台帳!$E$2:$E$2000,J$4)</f>
        <v>0</v>
      </c>
      <c r="K54" s="33">
        <f>SUMIFS(台帳!$I$2:$I$2000,台帳!$A$2:$A$2000,$A54,台帳!$E$2:$E$2000,K$4)</f>
        <v>0</v>
      </c>
      <c r="L54" s="33">
        <f>SUMIFS(台帳!$I$2:$I$2000,台帳!$A$2:$A$2000,$A54,台帳!$E$2:$E$2000,L$4)</f>
        <v>0</v>
      </c>
      <c r="M54" s="33">
        <f>SUMIFS(台帳!$I$2:$I$2000,台帳!$A$2:$A$2000,$A54,台帳!$E$2:$E$2000,M$4)</f>
        <v>0</v>
      </c>
      <c r="N54" s="33">
        <f>SUMIFS(台帳!$I$2:$I$2000,台帳!$A$2:$A$2000,$A54,台帳!$E$2:$E$2000,N$4)</f>
        <v>0</v>
      </c>
      <c r="O54" s="33">
        <f>SUMIFS(台帳!$I$2:$I$2000,台帳!$A$2:$A$2000,$A54,台帳!$D$2:$D$2000,"自社")</f>
        <v>0</v>
      </c>
      <c r="P54" s="33">
        <f>SUMIFS(台帳!$I$2:$I$2000,台帳!$A$2:$A$2000,$A54,台帳!$D$2:$D$2000,"業者")</f>
        <v>0</v>
      </c>
      <c r="Q54" s="33">
        <f>SUM(C54:N54)</f>
        <v>0</v>
      </c>
      <c r="R54" s="33">
        <f>R53+C54</f>
        <v>0</v>
      </c>
      <c r="S54" s="33">
        <f>S53+D54</f>
        <v>7</v>
      </c>
      <c r="T54" s="33">
        <f>T53+E54</f>
        <v>6</v>
      </c>
      <c r="U54" s="33">
        <f>U53+F54</f>
        <v>0</v>
      </c>
      <c r="V54" s="33">
        <f>V53+G54</f>
        <v>0</v>
      </c>
      <c r="W54" s="33">
        <f>W53+H54</f>
        <v>0</v>
      </c>
      <c r="X54" s="33">
        <f>X53+I54</f>
        <v>0</v>
      </c>
      <c r="Y54" s="33">
        <f>Y53+J54</f>
        <v>0</v>
      </c>
      <c r="Z54" s="33">
        <f>Z53+K54</f>
        <v>0</v>
      </c>
      <c r="AA54" s="33">
        <f>AA53+L54</f>
        <v>0</v>
      </c>
      <c r="AB54" s="33">
        <f>AB53+M54</f>
        <v>0</v>
      </c>
      <c r="AC54" s="33">
        <f>AC53+N54</f>
        <v>0</v>
      </c>
      <c r="AD54" s="33">
        <f>AD53+O54</f>
        <v>13</v>
      </c>
      <c r="AE54" s="33">
        <f>AE53+P54</f>
        <v>0</v>
      </c>
      <c r="AF54" s="33">
        <f>AF53+Q54</f>
        <v>13</v>
      </c>
      <c r="AG54" s="34" t="str">
        <f>IFERROR(INDEX(台帳!$H$2:$H$2000,MATCH($A54,台帳!$A$2:$A$2000,0)),"")</f>
        <v/>
      </c>
    </row>
    <row r="55" spans="1:33" ht="15.75" x14ac:dyDescent="0.25">
      <c r="A55" s="31">
        <v>46182</v>
      </c>
      <c r="B55" s="32" t="str">
        <f>CHOOSE(WEEKDAY(A55),"日","月","火","水","木","金","土")</f>
        <v>火</v>
      </c>
      <c r="C55" s="33">
        <f>SUMIFS(台帳!$I$2:$I$2000,台帳!$A$2:$A$2000,$A55,台帳!$E$2:$E$2000,C$4)</f>
        <v>0</v>
      </c>
      <c r="D55" s="33">
        <f>SUMIFS(台帳!$I$2:$I$2000,台帳!$A$2:$A$2000,$A55,台帳!$E$2:$E$2000,D$4)</f>
        <v>0</v>
      </c>
      <c r="E55" s="33">
        <f>SUMIFS(台帳!$I$2:$I$2000,台帳!$A$2:$A$2000,$A55,台帳!$E$2:$E$2000,E$4)</f>
        <v>0</v>
      </c>
      <c r="F55" s="33">
        <f>SUMIFS(台帳!$I$2:$I$2000,台帳!$A$2:$A$2000,$A55,台帳!$E$2:$E$2000,F$4)</f>
        <v>0</v>
      </c>
      <c r="G55" s="33">
        <f>SUMIFS(台帳!$I$2:$I$2000,台帳!$A$2:$A$2000,$A55,台帳!$E$2:$E$2000,G$4)</f>
        <v>0</v>
      </c>
      <c r="H55" s="33">
        <f>SUMIFS(台帳!$I$2:$I$2000,台帳!$A$2:$A$2000,$A55,台帳!$E$2:$E$2000,H$4)</f>
        <v>0</v>
      </c>
      <c r="I55" s="33">
        <f>SUMIFS(台帳!$I$2:$I$2000,台帳!$A$2:$A$2000,$A55,台帳!$E$2:$E$2000,I$4)</f>
        <v>0</v>
      </c>
      <c r="J55" s="33">
        <f>SUMIFS(台帳!$I$2:$I$2000,台帳!$A$2:$A$2000,$A55,台帳!$E$2:$E$2000,J$4)</f>
        <v>0</v>
      </c>
      <c r="K55" s="33">
        <f>SUMIFS(台帳!$I$2:$I$2000,台帳!$A$2:$A$2000,$A55,台帳!$E$2:$E$2000,K$4)</f>
        <v>0</v>
      </c>
      <c r="L55" s="33">
        <f>SUMIFS(台帳!$I$2:$I$2000,台帳!$A$2:$A$2000,$A55,台帳!$E$2:$E$2000,L$4)</f>
        <v>0</v>
      </c>
      <c r="M55" s="33">
        <f>SUMIFS(台帳!$I$2:$I$2000,台帳!$A$2:$A$2000,$A55,台帳!$E$2:$E$2000,M$4)</f>
        <v>0</v>
      </c>
      <c r="N55" s="33">
        <f>SUMIFS(台帳!$I$2:$I$2000,台帳!$A$2:$A$2000,$A55,台帳!$E$2:$E$2000,N$4)</f>
        <v>0</v>
      </c>
      <c r="O55" s="33">
        <f>SUMIFS(台帳!$I$2:$I$2000,台帳!$A$2:$A$2000,$A55,台帳!$D$2:$D$2000,"自社")</f>
        <v>0</v>
      </c>
      <c r="P55" s="33">
        <f>SUMIFS(台帳!$I$2:$I$2000,台帳!$A$2:$A$2000,$A55,台帳!$D$2:$D$2000,"業者")</f>
        <v>0</v>
      </c>
      <c r="Q55" s="33">
        <f>SUM(C55:N55)</f>
        <v>0</v>
      </c>
      <c r="R55" s="33">
        <f>R54+C55</f>
        <v>0</v>
      </c>
      <c r="S55" s="33">
        <f>S54+D55</f>
        <v>7</v>
      </c>
      <c r="T55" s="33">
        <f>T54+E55</f>
        <v>6</v>
      </c>
      <c r="U55" s="33">
        <f>U54+F55</f>
        <v>0</v>
      </c>
      <c r="V55" s="33">
        <f>V54+G55</f>
        <v>0</v>
      </c>
      <c r="W55" s="33">
        <f>W54+H55</f>
        <v>0</v>
      </c>
      <c r="X55" s="33">
        <f>X54+I55</f>
        <v>0</v>
      </c>
      <c r="Y55" s="33">
        <f>Y54+J55</f>
        <v>0</v>
      </c>
      <c r="Z55" s="33">
        <f>Z54+K55</f>
        <v>0</v>
      </c>
      <c r="AA55" s="33">
        <f>AA54+L55</f>
        <v>0</v>
      </c>
      <c r="AB55" s="33">
        <f>AB54+M55</f>
        <v>0</v>
      </c>
      <c r="AC55" s="33">
        <f>AC54+N55</f>
        <v>0</v>
      </c>
      <c r="AD55" s="33">
        <f>AD54+O55</f>
        <v>13</v>
      </c>
      <c r="AE55" s="33">
        <f>AE54+P55</f>
        <v>0</v>
      </c>
      <c r="AF55" s="33">
        <f>AF54+Q55</f>
        <v>13</v>
      </c>
      <c r="AG55" s="34" t="str">
        <f>IFERROR(INDEX(台帳!$H$2:$H$2000,MATCH($A55,台帳!$A$2:$A$2000,0)),"")</f>
        <v/>
      </c>
    </row>
    <row r="56" spans="1:33" ht="15.75" x14ac:dyDescent="0.25">
      <c r="A56" s="31">
        <v>46183</v>
      </c>
      <c r="B56" s="32" t="str">
        <f>CHOOSE(WEEKDAY(A56),"日","月","火","水","木","金","土")</f>
        <v>水</v>
      </c>
      <c r="C56" s="33">
        <f>SUMIFS(台帳!$I$2:$I$2000,台帳!$A$2:$A$2000,$A56,台帳!$E$2:$E$2000,C$4)</f>
        <v>0</v>
      </c>
      <c r="D56" s="33">
        <f>SUMIFS(台帳!$I$2:$I$2000,台帳!$A$2:$A$2000,$A56,台帳!$E$2:$E$2000,D$4)</f>
        <v>0</v>
      </c>
      <c r="E56" s="33">
        <f>SUMIFS(台帳!$I$2:$I$2000,台帳!$A$2:$A$2000,$A56,台帳!$E$2:$E$2000,E$4)</f>
        <v>0</v>
      </c>
      <c r="F56" s="33">
        <f>SUMIFS(台帳!$I$2:$I$2000,台帳!$A$2:$A$2000,$A56,台帳!$E$2:$E$2000,F$4)</f>
        <v>0</v>
      </c>
      <c r="G56" s="33">
        <f>SUMIFS(台帳!$I$2:$I$2000,台帳!$A$2:$A$2000,$A56,台帳!$E$2:$E$2000,G$4)</f>
        <v>0</v>
      </c>
      <c r="H56" s="33">
        <f>SUMIFS(台帳!$I$2:$I$2000,台帳!$A$2:$A$2000,$A56,台帳!$E$2:$E$2000,H$4)</f>
        <v>0</v>
      </c>
      <c r="I56" s="33">
        <f>SUMIFS(台帳!$I$2:$I$2000,台帳!$A$2:$A$2000,$A56,台帳!$E$2:$E$2000,I$4)</f>
        <v>0</v>
      </c>
      <c r="J56" s="33">
        <f>SUMIFS(台帳!$I$2:$I$2000,台帳!$A$2:$A$2000,$A56,台帳!$E$2:$E$2000,J$4)</f>
        <v>0</v>
      </c>
      <c r="K56" s="33">
        <f>SUMIFS(台帳!$I$2:$I$2000,台帳!$A$2:$A$2000,$A56,台帳!$E$2:$E$2000,K$4)</f>
        <v>0</v>
      </c>
      <c r="L56" s="33">
        <f>SUMIFS(台帳!$I$2:$I$2000,台帳!$A$2:$A$2000,$A56,台帳!$E$2:$E$2000,L$4)</f>
        <v>0</v>
      </c>
      <c r="M56" s="33">
        <f>SUMIFS(台帳!$I$2:$I$2000,台帳!$A$2:$A$2000,$A56,台帳!$E$2:$E$2000,M$4)</f>
        <v>0</v>
      </c>
      <c r="N56" s="33">
        <f>SUMIFS(台帳!$I$2:$I$2000,台帳!$A$2:$A$2000,$A56,台帳!$E$2:$E$2000,N$4)</f>
        <v>0</v>
      </c>
      <c r="O56" s="33">
        <f>SUMIFS(台帳!$I$2:$I$2000,台帳!$A$2:$A$2000,$A56,台帳!$D$2:$D$2000,"自社")</f>
        <v>0</v>
      </c>
      <c r="P56" s="33">
        <f>SUMIFS(台帳!$I$2:$I$2000,台帳!$A$2:$A$2000,$A56,台帳!$D$2:$D$2000,"業者")</f>
        <v>0</v>
      </c>
      <c r="Q56" s="33">
        <f>SUM(C56:N56)</f>
        <v>0</v>
      </c>
      <c r="R56" s="33">
        <f>R55+C56</f>
        <v>0</v>
      </c>
      <c r="S56" s="33">
        <f>S55+D56</f>
        <v>7</v>
      </c>
      <c r="T56" s="33">
        <f>T55+E56</f>
        <v>6</v>
      </c>
      <c r="U56" s="33">
        <f>U55+F56</f>
        <v>0</v>
      </c>
      <c r="V56" s="33">
        <f>V55+G56</f>
        <v>0</v>
      </c>
      <c r="W56" s="33">
        <f>W55+H56</f>
        <v>0</v>
      </c>
      <c r="X56" s="33">
        <f>X55+I56</f>
        <v>0</v>
      </c>
      <c r="Y56" s="33">
        <f>Y55+J56</f>
        <v>0</v>
      </c>
      <c r="Z56" s="33">
        <f>Z55+K56</f>
        <v>0</v>
      </c>
      <c r="AA56" s="33">
        <f>AA55+L56</f>
        <v>0</v>
      </c>
      <c r="AB56" s="33">
        <f>AB55+M56</f>
        <v>0</v>
      </c>
      <c r="AC56" s="33">
        <f>AC55+N56</f>
        <v>0</v>
      </c>
      <c r="AD56" s="33">
        <f>AD55+O56</f>
        <v>13</v>
      </c>
      <c r="AE56" s="33">
        <f>AE55+P56</f>
        <v>0</v>
      </c>
      <c r="AF56" s="33">
        <f>AF55+Q56</f>
        <v>13</v>
      </c>
      <c r="AG56" s="34" t="str">
        <f>IFERROR(INDEX(台帳!$H$2:$H$2000,MATCH($A56,台帳!$A$2:$A$2000,0)),"")</f>
        <v/>
      </c>
    </row>
    <row r="57" spans="1:33" ht="15.75" x14ac:dyDescent="0.25">
      <c r="A57" s="31">
        <v>46184</v>
      </c>
      <c r="B57" s="32" t="str">
        <f>CHOOSE(WEEKDAY(A57),"日","月","火","水","木","金","土")</f>
        <v>木</v>
      </c>
      <c r="C57" s="33">
        <f>SUMIFS(台帳!$I$2:$I$2000,台帳!$A$2:$A$2000,$A57,台帳!$E$2:$E$2000,C$4)</f>
        <v>0</v>
      </c>
      <c r="D57" s="33">
        <f>SUMIFS(台帳!$I$2:$I$2000,台帳!$A$2:$A$2000,$A57,台帳!$E$2:$E$2000,D$4)</f>
        <v>0</v>
      </c>
      <c r="E57" s="33">
        <f>SUMIFS(台帳!$I$2:$I$2000,台帳!$A$2:$A$2000,$A57,台帳!$E$2:$E$2000,E$4)</f>
        <v>0</v>
      </c>
      <c r="F57" s="33">
        <f>SUMIFS(台帳!$I$2:$I$2000,台帳!$A$2:$A$2000,$A57,台帳!$E$2:$E$2000,F$4)</f>
        <v>0</v>
      </c>
      <c r="G57" s="33">
        <f>SUMIFS(台帳!$I$2:$I$2000,台帳!$A$2:$A$2000,$A57,台帳!$E$2:$E$2000,G$4)</f>
        <v>0</v>
      </c>
      <c r="H57" s="33">
        <f>SUMIFS(台帳!$I$2:$I$2000,台帳!$A$2:$A$2000,$A57,台帳!$E$2:$E$2000,H$4)</f>
        <v>0</v>
      </c>
      <c r="I57" s="33">
        <f>SUMIFS(台帳!$I$2:$I$2000,台帳!$A$2:$A$2000,$A57,台帳!$E$2:$E$2000,I$4)</f>
        <v>0</v>
      </c>
      <c r="J57" s="33">
        <f>SUMIFS(台帳!$I$2:$I$2000,台帳!$A$2:$A$2000,$A57,台帳!$E$2:$E$2000,J$4)</f>
        <v>0</v>
      </c>
      <c r="K57" s="33">
        <f>SUMIFS(台帳!$I$2:$I$2000,台帳!$A$2:$A$2000,$A57,台帳!$E$2:$E$2000,K$4)</f>
        <v>0</v>
      </c>
      <c r="L57" s="33">
        <f>SUMIFS(台帳!$I$2:$I$2000,台帳!$A$2:$A$2000,$A57,台帳!$E$2:$E$2000,L$4)</f>
        <v>0</v>
      </c>
      <c r="M57" s="33">
        <f>SUMIFS(台帳!$I$2:$I$2000,台帳!$A$2:$A$2000,$A57,台帳!$E$2:$E$2000,M$4)</f>
        <v>0</v>
      </c>
      <c r="N57" s="33">
        <f>SUMIFS(台帳!$I$2:$I$2000,台帳!$A$2:$A$2000,$A57,台帳!$E$2:$E$2000,N$4)</f>
        <v>0</v>
      </c>
      <c r="O57" s="33">
        <f>SUMIFS(台帳!$I$2:$I$2000,台帳!$A$2:$A$2000,$A57,台帳!$D$2:$D$2000,"自社")</f>
        <v>0</v>
      </c>
      <c r="P57" s="33">
        <f>SUMIFS(台帳!$I$2:$I$2000,台帳!$A$2:$A$2000,$A57,台帳!$D$2:$D$2000,"業者")</f>
        <v>0</v>
      </c>
      <c r="Q57" s="33">
        <f>SUM(C57:N57)</f>
        <v>0</v>
      </c>
      <c r="R57" s="33">
        <f>R56+C57</f>
        <v>0</v>
      </c>
      <c r="S57" s="33">
        <f>S56+D57</f>
        <v>7</v>
      </c>
      <c r="T57" s="33">
        <f>T56+E57</f>
        <v>6</v>
      </c>
      <c r="U57" s="33">
        <f>U56+F57</f>
        <v>0</v>
      </c>
      <c r="V57" s="33">
        <f>V56+G57</f>
        <v>0</v>
      </c>
      <c r="W57" s="33">
        <f>W56+H57</f>
        <v>0</v>
      </c>
      <c r="X57" s="33">
        <f>X56+I57</f>
        <v>0</v>
      </c>
      <c r="Y57" s="33">
        <f>Y56+J57</f>
        <v>0</v>
      </c>
      <c r="Z57" s="33">
        <f>Z56+K57</f>
        <v>0</v>
      </c>
      <c r="AA57" s="33">
        <f>AA56+L57</f>
        <v>0</v>
      </c>
      <c r="AB57" s="33">
        <f>AB56+M57</f>
        <v>0</v>
      </c>
      <c r="AC57" s="33">
        <f>AC56+N57</f>
        <v>0</v>
      </c>
      <c r="AD57" s="33">
        <f>AD56+O57</f>
        <v>13</v>
      </c>
      <c r="AE57" s="33">
        <f>AE56+P57</f>
        <v>0</v>
      </c>
      <c r="AF57" s="33">
        <f>AF56+Q57</f>
        <v>13</v>
      </c>
      <c r="AG57" s="34" t="str">
        <f>IFERROR(INDEX(台帳!$H$2:$H$2000,MATCH($A57,台帳!$A$2:$A$2000,0)),"")</f>
        <v/>
      </c>
    </row>
    <row r="58" spans="1:33" ht="15.75" x14ac:dyDescent="0.25">
      <c r="A58" s="31">
        <v>46185</v>
      </c>
      <c r="B58" s="32" t="str">
        <f>CHOOSE(WEEKDAY(A58),"日","月","火","水","木","金","土")</f>
        <v>金</v>
      </c>
      <c r="C58" s="33">
        <f>SUMIFS(台帳!$I$2:$I$2000,台帳!$A$2:$A$2000,$A58,台帳!$E$2:$E$2000,C$4)</f>
        <v>0</v>
      </c>
      <c r="D58" s="33">
        <f>SUMIFS(台帳!$I$2:$I$2000,台帳!$A$2:$A$2000,$A58,台帳!$E$2:$E$2000,D$4)</f>
        <v>0</v>
      </c>
      <c r="E58" s="33">
        <f>SUMIFS(台帳!$I$2:$I$2000,台帳!$A$2:$A$2000,$A58,台帳!$E$2:$E$2000,E$4)</f>
        <v>0</v>
      </c>
      <c r="F58" s="33">
        <f>SUMIFS(台帳!$I$2:$I$2000,台帳!$A$2:$A$2000,$A58,台帳!$E$2:$E$2000,F$4)</f>
        <v>4</v>
      </c>
      <c r="G58" s="33">
        <f>SUMIFS(台帳!$I$2:$I$2000,台帳!$A$2:$A$2000,$A58,台帳!$E$2:$E$2000,G$4)</f>
        <v>0</v>
      </c>
      <c r="H58" s="33">
        <f>SUMIFS(台帳!$I$2:$I$2000,台帳!$A$2:$A$2000,$A58,台帳!$E$2:$E$2000,H$4)</f>
        <v>0</v>
      </c>
      <c r="I58" s="33">
        <f>SUMIFS(台帳!$I$2:$I$2000,台帳!$A$2:$A$2000,$A58,台帳!$E$2:$E$2000,I$4)</f>
        <v>0</v>
      </c>
      <c r="J58" s="33">
        <f>SUMIFS(台帳!$I$2:$I$2000,台帳!$A$2:$A$2000,$A58,台帳!$E$2:$E$2000,J$4)</f>
        <v>0</v>
      </c>
      <c r="K58" s="33">
        <f>SUMIFS(台帳!$I$2:$I$2000,台帳!$A$2:$A$2000,$A58,台帳!$E$2:$E$2000,K$4)</f>
        <v>0</v>
      </c>
      <c r="L58" s="33">
        <f>SUMIFS(台帳!$I$2:$I$2000,台帳!$A$2:$A$2000,$A58,台帳!$E$2:$E$2000,L$4)</f>
        <v>0</v>
      </c>
      <c r="M58" s="33">
        <f>SUMIFS(台帳!$I$2:$I$2000,台帳!$A$2:$A$2000,$A58,台帳!$E$2:$E$2000,M$4)</f>
        <v>0</v>
      </c>
      <c r="N58" s="33">
        <f>SUMIFS(台帳!$I$2:$I$2000,台帳!$A$2:$A$2000,$A58,台帳!$E$2:$E$2000,N$4)</f>
        <v>0</v>
      </c>
      <c r="O58" s="33">
        <f>SUMIFS(台帳!$I$2:$I$2000,台帳!$A$2:$A$2000,$A58,台帳!$D$2:$D$2000,"自社")</f>
        <v>0</v>
      </c>
      <c r="P58" s="33">
        <f>SUMIFS(台帳!$I$2:$I$2000,台帳!$A$2:$A$2000,$A58,台帳!$D$2:$D$2000,"業者")</f>
        <v>4</v>
      </c>
      <c r="Q58" s="33">
        <f>SUM(C58:N58)</f>
        <v>4</v>
      </c>
      <c r="R58" s="33">
        <f>R57+C58</f>
        <v>0</v>
      </c>
      <c r="S58" s="33">
        <f>S57+D58</f>
        <v>7</v>
      </c>
      <c r="T58" s="33">
        <f>T57+E58</f>
        <v>6</v>
      </c>
      <c r="U58" s="33">
        <f>U57+F58</f>
        <v>4</v>
      </c>
      <c r="V58" s="33">
        <f>V57+G58</f>
        <v>0</v>
      </c>
      <c r="W58" s="33">
        <f>W57+H58</f>
        <v>0</v>
      </c>
      <c r="X58" s="33">
        <f>X57+I58</f>
        <v>0</v>
      </c>
      <c r="Y58" s="33">
        <f>Y57+J58</f>
        <v>0</v>
      </c>
      <c r="Z58" s="33">
        <f>Z57+K58</f>
        <v>0</v>
      </c>
      <c r="AA58" s="33">
        <f>AA57+L58</f>
        <v>0</v>
      </c>
      <c r="AB58" s="33">
        <f>AB57+M58</f>
        <v>0</v>
      </c>
      <c r="AC58" s="33">
        <f>AC57+N58</f>
        <v>0</v>
      </c>
      <c r="AD58" s="33">
        <f>AD57+O58</f>
        <v>13</v>
      </c>
      <c r="AE58" s="33">
        <f>AE57+P58</f>
        <v>4</v>
      </c>
      <c r="AF58" s="33">
        <f>AF57+Q58</f>
        <v>17</v>
      </c>
      <c r="AG58" s="34" t="str">
        <f>IFERROR(INDEX(台帳!$H$2:$H$2000,MATCH($A58,台帳!$A$2:$A$2000,0)),"")</f>
        <v>資材搬入</v>
      </c>
    </row>
    <row r="59" spans="1:33" ht="15.75" x14ac:dyDescent="0.25">
      <c r="A59" s="35">
        <v>46186</v>
      </c>
      <c r="B59" s="36" t="str">
        <f>CHOOSE(WEEKDAY(A59),"日","月","火","水","木","金","土")</f>
        <v>土</v>
      </c>
      <c r="C59" s="37">
        <f>SUMIFS(台帳!$I$2:$I$2000,台帳!$A$2:$A$2000,$A59,台帳!$E$2:$E$2000,C$4)</f>
        <v>0</v>
      </c>
      <c r="D59" s="37">
        <f>SUMIFS(台帳!$I$2:$I$2000,台帳!$A$2:$A$2000,$A59,台帳!$E$2:$E$2000,D$4)</f>
        <v>0</v>
      </c>
      <c r="E59" s="37">
        <f>SUMIFS(台帳!$I$2:$I$2000,台帳!$A$2:$A$2000,$A59,台帳!$E$2:$E$2000,E$4)</f>
        <v>0</v>
      </c>
      <c r="F59" s="37">
        <f>SUMIFS(台帳!$I$2:$I$2000,台帳!$A$2:$A$2000,$A59,台帳!$E$2:$E$2000,F$4)</f>
        <v>4</v>
      </c>
      <c r="G59" s="37">
        <f>SUMIFS(台帳!$I$2:$I$2000,台帳!$A$2:$A$2000,$A59,台帳!$E$2:$E$2000,G$4)</f>
        <v>0</v>
      </c>
      <c r="H59" s="37">
        <f>SUMIFS(台帳!$I$2:$I$2000,台帳!$A$2:$A$2000,$A59,台帳!$E$2:$E$2000,H$4)</f>
        <v>0</v>
      </c>
      <c r="I59" s="37">
        <f>SUMIFS(台帳!$I$2:$I$2000,台帳!$A$2:$A$2000,$A59,台帳!$E$2:$E$2000,I$4)</f>
        <v>0</v>
      </c>
      <c r="J59" s="37">
        <f>SUMIFS(台帳!$I$2:$I$2000,台帳!$A$2:$A$2000,$A59,台帳!$E$2:$E$2000,J$4)</f>
        <v>0</v>
      </c>
      <c r="K59" s="37">
        <f>SUMIFS(台帳!$I$2:$I$2000,台帳!$A$2:$A$2000,$A59,台帳!$E$2:$E$2000,K$4)</f>
        <v>0</v>
      </c>
      <c r="L59" s="37">
        <f>SUMIFS(台帳!$I$2:$I$2000,台帳!$A$2:$A$2000,$A59,台帳!$E$2:$E$2000,L$4)</f>
        <v>0</v>
      </c>
      <c r="M59" s="37">
        <f>SUMIFS(台帳!$I$2:$I$2000,台帳!$A$2:$A$2000,$A59,台帳!$E$2:$E$2000,M$4)</f>
        <v>0</v>
      </c>
      <c r="N59" s="37">
        <f>SUMIFS(台帳!$I$2:$I$2000,台帳!$A$2:$A$2000,$A59,台帳!$E$2:$E$2000,N$4)</f>
        <v>0</v>
      </c>
      <c r="O59" s="37">
        <f>SUMIFS(台帳!$I$2:$I$2000,台帳!$A$2:$A$2000,$A59,台帳!$D$2:$D$2000,"自社")</f>
        <v>0</v>
      </c>
      <c r="P59" s="37">
        <f>SUMIFS(台帳!$I$2:$I$2000,台帳!$A$2:$A$2000,$A59,台帳!$D$2:$D$2000,"業者")</f>
        <v>4</v>
      </c>
      <c r="Q59" s="37">
        <f>SUM(C59:N59)</f>
        <v>4</v>
      </c>
      <c r="R59" s="37">
        <f>R58+C59</f>
        <v>0</v>
      </c>
      <c r="S59" s="37">
        <f>S58+D59</f>
        <v>7</v>
      </c>
      <c r="T59" s="37">
        <f>T58+E59</f>
        <v>6</v>
      </c>
      <c r="U59" s="37">
        <f>U58+F59</f>
        <v>8</v>
      </c>
      <c r="V59" s="37">
        <f>V58+G59</f>
        <v>0</v>
      </c>
      <c r="W59" s="37">
        <f>W58+H59</f>
        <v>0</v>
      </c>
      <c r="X59" s="37">
        <f>X58+I59</f>
        <v>0</v>
      </c>
      <c r="Y59" s="37">
        <f>Y58+J59</f>
        <v>0</v>
      </c>
      <c r="Z59" s="37">
        <f>Z58+K59</f>
        <v>0</v>
      </c>
      <c r="AA59" s="37">
        <f>AA58+L59</f>
        <v>0</v>
      </c>
      <c r="AB59" s="37">
        <f>AB58+M59</f>
        <v>0</v>
      </c>
      <c r="AC59" s="37">
        <f>AC58+N59</f>
        <v>0</v>
      </c>
      <c r="AD59" s="37">
        <f>AD58+O59</f>
        <v>13</v>
      </c>
      <c r="AE59" s="37">
        <f>AE58+P59</f>
        <v>8</v>
      </c>
      <c r="AF59" s="37">
        <f>AF58+Q59</f>
        <v>21</v>
      </c>
      <c r="AG59" s="38" t="str">
        <f>IFERROR(INDEX(台帳!$H$2:$H$2000,MATCH($A59,台帳!$A$2:$A$2000,0)),"")</f>
        <v>資材搬入</v>
      </c>
    </row>
    <row r="60" spans="1:33" ht="15.75" x14ac:dyDescent="0.25">
      <c r="A60" s="35">
        <v>46187</v>
      </c>
      <c r="B60" s="36" t="str">
        <f>CHOOSE(WEEKDAY(A60),"日","月","火","水","木","金","土")</f>
        <v>日</v>
      </c>
      <c r="C60" s="37">
        <f>SUMIFS(台帳!$I$2:$I$2000,台帳!$A$2:$A$2000,$A60,台帳!$E$2:$E$2000,C$4)</f>
        <v>0</v>
      </c>
      <c r="D60" s="37">
        <f>SUMIFS(台帳!$I$2:$I$2000,台帳!$A$2:$A$2000,$A60,台帳!$E$2:$E$2000,D$4)</f>
        <v>0</v>
      </c>
      <c r="E60" s="37">
        <f>SUMIFS(台帳!$I$2:$I$2000,台帳!$A$2:$A$2000,$A60,台帳!$E$2:$E$2000,E$4)</f>
        <v>0</v>
      </c>
      <c r="F60" s="37">
        <f>SUMIFS(台帳!$I$2:$I$2000,台帳!$A$2:$A$2000,$A60,台帳!$E$2:$E$2000,F$4)</f>
        <v>0</v>
      </c>
      <c r="G60" s="37">
        <f>SUMIFS(台帳!$I$2:$I$2000,台帳!$A$2:$A$2000,$A60,台帳!$E$2:$E$2000,G$4)</f>
        <v>0</v>
      </c>
      <c r="H60" s="37">
        <f>SUMIFS(台帳!$I$2:$I$2000,台帳!$A$2:$A$2000,$A60,台帳!$E$2:$E$2000,H$4)</f>
        <v>0</v>
      </c>
      <c r="I60" s="37">
        <f>SUMIFS(台帳!$I$2:$I$2000,台帳!$A$2:$A$2000,$A60,台帳!$E$2:$E$2000,I$4)</f>
        <v>0</v>
      </c>
      <c r="J60" s="37">
        <f>SUMIFS(台帳!$I$2:$I$2000,台帳!$A$2:$A$2000,$A60,台帳!$E$2:$E$2000,J$4)</f>
        <v>0</v>
      </c>
      <c r="K60" s="37">
        <f>SUMIFS(台帳!$I$2:$I$2000,台帳!$A$2:$A$2000,$A60,台帳!$E$2:$E$2000,K$4)</f>
        <v>0</v>
      </c>
      <c r="L60" s="37">
        <f>SUMIFS(台帳!$I$2:$I$2000,台帳!$A$2:$A$2000,$A60,台帳!$E$2:$E$2000,L$4)</f>
        <v>0</v>
      </c>
      <c r="M60" s="37">
        <f>SUMIFS(台帳!$I$2:$I$2000,台帳!$A$2:$A$2000,$A60,台帳!$E$2:$E$2000,M$4)</f>
        <v>0</v>
      </c>
      <c r="N60" s="37">
        <f>SUMIFS(台帳!$I$2:$I$2000,台帳!$A$2:$A$2000,$A60,台帳!$E$2:$E$2000,N$4)</f>
        <v>0</v>
      </c>
      <c r="O60" s="37">
        <f>SUMIFS(台帳!$I$2:$I$2000,台帳!$A$2:$A$2000,$A60,台帳!$D$2:$D$2000,"自社")</f>
        <v>0</v>
      </c>
      <c r="P60" s="37">
        <f>SUMIFS(台帳!$I$2:$I$2000,台帳!$A$2:$A$2000,$A60,台帳!$D$2:$D$2000,"業者")</f>
        <v>0</v>
      </c>
      <c r="Q60" s="37">
        <f>SUM(C60:N60)</f>
        <v>0</v>
      </c>
      <c r="R60" s="37">
        <f>R59+C60</f>
        <v>0</v>
      </c>
      <c r="S60" s="37">
        <f>S59+D60</f>
        <v>7</v>
      </c>
      <c r="T60" s="37">
        <f>T59+E60</f>
        <v>6</v>
      </c>
      <c r="U60" s="37">
        <f>U59+F60</f>
        <v>8</v>
      </c>
      <c r="V60" s="37">
        <f>V59+G60</f>
        <v>0</v>
      </c>
      <c r="W60" s="37">
        <f>W59+H60</f>
        <v>0</v>
      </c>
      <c r="X60" s="37">
        <f>X59+I60</f>
        <v>0</v>
      </c>
      <c r="Y60" s="37">
        <f>Y59+J60</f>
        <v>0</v>
      </c>
      <c r="Z60" s="37">
        <f>Z59+K60</f>
        <v>0</v>
      </c>
      <c r="AA60" s="37">
        <f>AA59+L60</f>
        <v>0</v>
      </c>
      <c r="AB60" s="37">
        <f>AB59+M60</f>
        <v>0</v>
      </c>
      <c r="AC60" s="37">
        <f>AC59+N60</f>
        <v>0</v>
      </c>
      <c r="AD60" s="37">
        <f>AD59+O60</f>
        <v>13</v>
      </c>
      <c r="AE60" s="37">
        <f>AE59+P60</f>
        <v>8</v>
      </c>
      <c r="AF60" s="37">
        <f>AF59+Q60</f>
        <v>21</v>
      </c>
      <c r="AG60" s="38" t="str">
        <f>IFERROR(INDEX(台帳!$H$2:$H$2000,MATCH($A60,台帳!$A$2:$A$2000,0)),"")</f>
        <v/>
      </c>
    </row>
    <row r="61" spans="1:33" ht="15.75" x14ac:dyDescent="0.25">
      <c r="A61" s="31">
        <v>46188</v>
      </c>
      <c r="B61" s="32" t="str">
        <f>CHOOSE(WEEKDAY(A61),"日","月","火","水","木","金","土")</f>
        <v>月</v>
      </c>
      <c r="C61" s="33">
        <f>SUMIFS(台帳!$I$2:$I$2000,台帳!$A$2:$A$2000,$A61,台帳!$E$2:$E$2000,C$4)</f>
        <v>0</v>
      </c>
      <c r="D61" s="33">
        <f>SUMIFS(台帳!$I$2:$I$2000,台帳!$A$2:$A$2000,$A61,台帳!$E$2:$E$2000,D$4)</f>
        <v>0</v>
      </c>
      <c r="E61" s="33">
        <f>SUMIFS(台帳!$I$2:$I$2000,台帳!$A$2:$A$2000,$A61,台帳!$E$2:$E$2000,E$4)</f>
        <v>0</v>
      </c>
      <c r="F61" s="33">
        <f>SUMIFS(台帳!$I$2:$I$2000,台帳!$A$2:$A$2000,$A61,台帳!$E$2:$E$2000,F$4)</f>
        <v>4</v>
      </c>
      <c r="G61" s="33">
        <f>SUMIFS(台帳!$I$2:$I$2000,台帳!$A$2:$A$2000,$A61,台帳!$E$2:$E$2000,G$4)</f>
        <v>0</v>
      </c>
      <c r="H61" s="33">
        <f>SUMIFS(台帳!$I$2:$I$2000,台帳!$A$2:$A$2000,$A61,台帳!$E$2:$E$2000,H$4)</f>
        <v>0</v>
      </c>
      <c r="I61" s="33">
        <f>SUMIFS(台帳!$I$2:$I$2000,台帳!$A$2:$A$2000,$A61,台帳!$E$2:$E$2000,I$4)</f>
        <v>0</v>
      </c>
      <c r="J61" s="33">
        <f>SUMIFS(台帳!$I$2:$I$2000,台帳!$A$2:$A$2000,$A61,台帳!$E$2:$E$2000,J$4)</f>
        <v>0</v>
      </c>
      <c r="K61" s="33">
        <f>SUMIFS(台帳!$I$2:$I$2000,台帳!$A$2:$A$2000,$A61,台帳!$E$2:$E$2000,K$4)</f>
        <v>0</v>
      </c>
      <c r="L61" s="33">
        <f>SUMIFS(台帳!$I$2:$I$2000,台帳!$A$2:$A$2000,$A61,台帳!$E$2:$E$2000,L$4)</f>
        <v>0</v>
      </c>
      <c r="M61" s="33">
        <f>SUMIFS(台帳!$I$2:$I$2000,台帳!$A$2:$A$2000,$A61,台帳!$E$2:$E$2000,M$4)</f>
        <v>0</v>
      </c>
      <c r="N61" s="33">
        <f>SUMIFS(台帳!$I$2:$I$2000,台帳!$A$2:$A$2000,$A61,台帳!$E$2:$E$2000,N$4)</f>
        <v>0</v>
      </c>
      <c r="O61" s="33">
        <f>SUMIFS(台帳!$I$2:$I$2000,台帳!$A$2:$A$2000,$A61,台帳!$D$2:$D$2000,"自社")</f>
        <v>0</v>
      </c>
      <c r="P61" s="33">
        <f>SUMIFS(台帳!$I$2:$I$2000,台帳!$A$2:$A$2000,$A61,台帳!$D$2:$D$2000,"業者")</f>
        <v>4</v>
      </c>
      <c r="Q61" s="33">
        <f>SUM(C61:N61)</f>
        <v>4</v>
      </c>
      <c r="R61" s="33">
        <f>R60+C61</f>
        <v>0</v>
      </c>
      <c r="S61" s="33">
        <f>S60+D61</f>
        <v>7</v>
      </c>
      <c r="T61" s="33">
        <f>T60+E61</f>
        <v>6</v>
      </c>
      <c r="U61" s="33">
        <f>U60+F61</f>
        <v>12</v>
      </c>
      <c r="V61" s="33">
        <f>V60+G61</f>
        <v>0</v>
      </c>
      <c r="W61" s="33">
        <f>W60+H61</f>
        <v>0</v>
      </c>
      <c r="X61" s="33">
        <f>X60+I61</f>
        <v>0</v>
      </c>
      <c r="Y61" s="33">
        <f>Y60+J61</f>
        <v>0</v>
      </c>
      <c r="Z61" s="33">
        <f>Z60+K61</f>
        <v>0</v>
      </c>
      <c r="AA61" s="33">
        <f>AA60+L61</f>
        <v>0</v>
      </c>
      <c r="AB61" s="33">
        <f>AB60+M61</f>
        <v>0</v>
      </c>
      <c r="AC61" s="33">
        <f>AC60+N61</f>
        <v>0</v>
      </c>
      <c r="AD61" s="33">
        <f>AD60+O61</f>
        <v>13</v>
      </c>
      <c r="AE61" s="33">
        <f>AE60+P61</f>
        <v>12</v>
      </c>
      <c r="AF61" s="33">
        <f>AF60+Q61</f>
        <v>25</v>
      </c>
      <c r="AG61" s="34" t="str">
        <f>IFERROR(INDEX(台帳!$H$2:$H$2000,MATCH($A61,台帳!$A$2:$A$2000,0)),"")</f>
        <v>地盤改良工事 作業開始</v>
      </c>
    </row>
    <row r="62" spans="1:33" ht="15.75" x14ac:dyDescent="0.25">
      <c r="A62" s="31">
        <v>46189</v>
      </c>
      <c r="B62" s="32" t="str">
        <f>CHOOSE(WEEKDAY(A62),"日","月","火","水","木","金","土")</f>
        <v>火</v>
      </c>
      <c r="C62" s="33">
        <f>SUMIFS(台帳!$I$2:$I$2000,台帳!$A$2:$A$2000,$A62,台帳!$E$2:$E$2000,C$4)</f>
        <v>0</v>
      </c>
      <c r="D62" s="33">
        <f>SUMIFS(台帳!$I$2:$I$2000,台帳!$A$2:$A$2000,$A62,台帳!$E$2:$E$2000,D$4)</f>
        <v>0</v>
      </c>
      <c r="E62" s="33">
        <f>SUMIFS(台帳!$I$2:$I$2000,台帳!$A$2:$A$2000,$A62,台帳!$E$2:$E$2000,E$4)</f>
        <v>0</v>
      </c>
      <c r="F62" s="33">
        <f>SUMIFS(台帳!$I$2:$I$2000,台帳!$A$2:$A$2000,$A62,台帳!$E$2:$E$2000,F$4)</f>
        <v>3</v>
      </c>
      <c r="G62" s="33">
        <f>SUMIFS(台帳!$I$2:$I$2000,台帳!$A$2:$A$2000,$A62,台帳!$E$2:$E$2000,G$4)</f>
        <v>0</v>
      </c>
      <c r="H62" s="33">
        <f>SUMIFS(台帳!$I$2:$I$2000,台帳!$A$2:$A$2000,$A62,台帳!$E$2:$E$2000,H$4)</f>
        <v>0</v>
      </c>
      <c r="I62" s="33">
        <f>SUMIFS(台帳!$I$2:$I$2000,台帳!$A$2:$A$2000,$A62,台帳!$E$2:$E$2000,I$4)</f>
        <v>0</v>
      </c>
      <c r="J62" s="33">
        <f>SUMIFS(台帳!$I$2:$I$2000,台帳!$A$2:$A$2000,$A62,台帳!$E$2:$E$2000,J$4)</f>
        <v>0</v>
      </c>
      <c r="K62" s="33">
        <f>SUMIFS(台帳!$I$2:$I$2000,台帳!$A$2:$A$2000,$A62,台帳!$E$2:$E$2000,K$4)</f>
        <v>0</v>
      </c>
      <c r="L62" s="33">
        <f>SUMIFS(台帳!$I$2:$I$2000,台帳!$A$2:$A$2000,$A62,台帳!$E$2:$E$2000,L$4)</f>
        <v>0</v>
      </c>
      <c r="M62" s="33">
        <f>SUMIFS(台帳!$I$2:$I$2000,台帳!$A$2:$A$2000,$A62,台帳!$E$2:$E$2000,M$4)</f>
        <v>0</v>
      </c>
      <c r="N62" s="33">
        <f>SUMIFS(台帳!$I$2:$I$2000,台帳!$A$2:$A$2000,$A62,台帳!$E$2:$E$2000,N$4)</f>
        <v>0</v>
      </c>
      <c r="O62" s="33">
        <f>SUMIFS(台帳!$I$2:$I$2000,台帳!$A$2:$A$2000,$A62,台帳!$D$2:$D$2000,"自社")</f>
        <v>0</v>
      </c>
      <c r="P62" s="33">
        <f>SUMIFS(台帳!$I$2:$I$2000,台帳!$A$2:$A$2000,$A62,台帳!$D$2:$D$2000,"業者")</f>
        <v>3</v>
      </c>
      <c r="Q62" s="33">
        <f>SUM(C62:N62)</f>
        <v>3</v>
      </c>
      <c r="R62" s="33">
        <f>R61+C62</f>
        <v>0</v>
      </c>
      <c r="S62" s="33">
        <f>S61+D62</f>
        <v>7</v>
      </c>
      <c r="T62" s="33">
        <f>T61+E62</f>
        <v>6</v>
      </c>
      <c r="U62" s="33">
        <f>U61+F62</f>
        <v>15</v>
      </c>
      <c r="V62" s="33">
        <f>V61+G62</f>
        <v>0</v>
      </c>
      <c r="W62" s="33">
        <f>W61+H62</f>
        <v>0</v>
      </c>
      <c r="X62" s="33">
        <f>X61+I62</f>
        <v>0</v>
      </c>
      <c r="Y62" s="33">
        <f>Y61+J62</f>
        <v>0</v>
      </c>
      <c r="Z62" s="33">
        <f>Z61+K62</f>
        <v>0</v>
      </c>
      <c r="AA62" s="33">
        <f>AA61+L62</f>
        <v>0</v>
      </c>
      <c r="AB62" s="33">
        <f>AB61+M62</f>
        <v>0</v>
      </c>
      <c r="AC62" s="33">
        <f>AC61+N62</f>
        <v>0</v>
      </c>
      <c r="AD62" s="33">
        <f>AD61+O62</f>
        <v>13</v>
      </c>
      <c r="AE62" s="33">
        <f>AE61+P62</f>
        <v>15</v>
      </c>
      <c r="AF62" s="33">
        <f>AF61+Q62</f>
        <v>28</v>
      </c>
      <c r="AG62" s="34" t="str">
        <f>IFERROR(INDEX(台帳!$H$2:$H$2000,MATCH($A62,台帳!$A$2:$A$2000,0)),"")</f>
        <v>地盤改良（雨のため半日）</v>
      </c>
    </row>
    <row r="63" spans="1:33" ht="15.75" x14ac:dyDescent="0.25">
      <c r="A63" s="31">
        <v>46190</v>
      </c>
      <c r="B63" s="32" t="str">
        <f>CHOOSE(WEEKDAY(A63),"日","月","火","水","木","金","土")</f>
        <v>水</v>
      </c>
      <c r="C63" s="33">
        <f>SUMIFS(台帳!$I$2:$I$2000,台帳!$A$2:$A$2000,$A63,台帳!$E$2:$E$2000,C$4)</f>
        <v>0</v>
      </c>
      <c r="D63" s="33">
        <f>SUMIFS(台帳!$I$2:$I$2000,台帳!$A$2:$A$2000,$A63,台帳!$E$2:$E$2000,D$4)</f>
        <v>0</v>
      </c>
      <c r="E63" s="33">
        <f>SUMIFS(台帳!$I$2:$I$2000,台帳!$A$2:$A$2000,$A63,台帳!$E$2:$E$2000,E$4)</f>
        <v>0</v>
      </c>
      <c r="F63" s="33">
        <f>SUMIFS(台帳!$I$2:$I$2000,台帳!$A$2:$A$2000,$A63,台帳!$E$2:$E$2000,F$4)</f>
        <v>3</v>
      </c>
      <c r="G63" s="33">
        <f>SUMIFS(台帳!$I$2:$I$2000,台帳!$A$2:$A$2000,$A63,台帳!$E$2:$E$2000,G$4)</f>
        <v>0</v>
      </c>
      <c r="H63" s="33">
        <f>SUMIFS(台帳!$I$2:$I$2000,台帳!$A$2:$A$2000,$A63,台帳!$E$2:$E$2000,H$4)</f>
        <v>0</v>
      </c>
      <c r="I63" s="33">
        <f>SUMIFS(台帳!$I$2:$I$2000,台帳!$A$2:$A$2000,$A63,台帳!$E$2:$E$2000,I$4)</f>
        <v>0</v>
      </c>
      <c r="J63" s="33">
        <f>SUMIFS(台帳!$I$2:$I$2000,台帳!$A$2:$A$2000,$A63,台帳!$E$2:$E$2000,J$4)</f>
        <v>0</v>
      </c>
      <c r="K63" s="33">
        <f>SUMIFS(台帳!$I$2:$I$2000,台帳!$A$2:$A$2000,$A63,台帳!$E$2:$E$2000,K$4)</f>
        <v>0</v>
      </c>
      <c r="L63" s="33">
        <f>SUMIFS(台帳!$I$2:$I$2000,台帳!$A$2:$A$2000,$A63,台帳!$E$2:$E$2000,L$4)</f>
        <v>0</v>
      </c>
      <c r="M63" s="33">
        <f>SUMIFS(台帳!$I$2:$I$2000,台帳!$A$2:$A$2000,$A63,台帳!$E$2:$E$2000,M$4)</f>
        <v>0</v>
      </c>
      <c r="N63" s="33">
        <f>SUMIFS(台帳!$I$2:$I$2000,台帳!$A$2:$A$2000,$A63,台帳!$E$2:$E$2000,N$4)</f>
        <v>0</v>
      </c>
      <c r="O63" s="33">
        <f>SUMIFS(台帳!$I$2:$I$2000,台帳!$A$2:$A$2000,$A63,台帳!$D$2:$D$2000,"自社")</f>
        <v>0</v>
      </c>
      <c r="P63" s="33">
        <f>SUMIFS(台帳!$I$2:$I$2000,台帳!$A$2:$A$2000,$A63,台帳!$D$2:$D$2000,"業者")</f>
        <v>3</v>
      </c>
      <c r="Q63" s="33">
        <f>SUM(C63:N63)</f>
        <v>3</v>
      </c>
      <c r="R63" s="33">
        <f>R62+C63</f>
        <v>0</v>
      </c>
      <c r="S63" s="33">
        <f>S62+D63</f>
        <v>7</v>
      </c>
      <c r="T63" s="33">
        <f>T62+E63</f>
        <v>6</v>
      </c>
      <c r="U63" s="33">
        <f>U62+F63</f>
        <v>18</v>
      </c>
      <c r="V63" s="33">
        <f>V62+G63</f>
        <v>0</v>
      </c>
      <c r="W63" s="33">
        <f>W62+H63</f>
        <v>0</v>
      </c>
      <c r="X63" s="33">
        <f>X62+I63</f>
        <v>0</v>
      </c>
      <c r="Y63" s="33">
        <f>Y62+J63</f>
        <v>0</v>
      </c>
      <c r="Z63" s="33">
        <f>Z62+K63</f>
        <v>0</v>
      </c>
      <c r="AA63" s="33">
        <f>AA62+L63</f>
        <v>0</v>
      </c>
      <c r="AB63" s="33">
        <f>AB62+M63</f>
        <v>0</v>
      </c>
      <c r="AC63" s="33">
        <f>AC62+N63</f>
        <v>0</v>
      </c>
      <c r="AD63" s="33">
        <f>AD62+O63</f>
        <v>13</v>
      </c>
      <c r="AE63" s="33">
        <f>AE62+P63</f>
        <v>18</v>
      </c>
      <c r="AF63" s="33">
        <f>AF62+Q63</f>
        <v>31</v>
      </c>
      <c r="AG63" s="34" t="str">
        <f>IFERROR(INDEX(台帳!$H$2:$H$2000,MATCH($A63,台帳!$A$2:$A$2000,0)),"")</f>
        <v>地盤改良作業</v>
      </c>
    </row>
    <row r="64" spans="1:33" ht="15.75" x14ac:dyDescent="0.25">
      <c r="A64" s="31">
        <v>46191</v>
      </c>
      <c r="B64" s="32" t="str">
        <f>CHOOSE(WEEKDAY(A64),"日","月","火","水","木","金","土")</f>
        <v>木</v>
      </c>
      <c r="C64" s="33">
        <f>SUMIFS(台帳!$I$2:$I$2000,台帳!$A$2:$A$2000,$A64,台帳!$E$2:$E$2000,C$4)</f>
        <v>0</v>
      </c>
      <c r="D64" s="33">
        <f>SUMIFS(台帳!$I$2:$I$2000,台帳!$A$2:$A$2000,$A64,台帳!$E$2:$E$2000,D$4)</f>
        <v>0</v>
      </c>
      <c r="E64" s="33">
        <f>SUMIFS(台帳!$I$2:$I$2000,台帳!$A$2:$A$2000,$A64,台帳!$E$2:$E$2000,E$4)</f>
        <v>0</v>
      </c>
      <c r="F64" s="33">
        <f>SUMIFS(台帳!$I$2:$I$2000,台帳!$A$2:$A$2000,$A64,台帳!$E$2:$E$2000,F$4)</f>
        <v>3</v>
      </c>
      <c r="G64" s="33">
        <f>SUMIFS(台帳!$I$2:$I$2000,台帳!$A$2:$A$2000,$A64,台帳!$E$2:$E$2000,G$4)</f>
        <v>0</v>
      </c>
      <c r="H64" s="33">
        <f>SUMIFS(台帳!$I$2:$I$2000,台帳!$A$2:$A$2000,$A64,台帳!$E$2:$E$2000,H$4)</f>
        <v>0</v>
      </c>
      <c r="I64" s="33">
        <f>SUMIFS(台帳!$I$2:$I$2000,台帳!$A$2:$A$2000,$A64,台帳!$E$2:$E$2000,I$4)</f>
        <v>0</v>
      </c>
      <c r="J64" s="33">
        <f>SUMIFS(台帳!$I$2:$I$2000,台帳!$A$2:$A$2000,$A64,台帳!$E$2:$E$2000,J$4)</f>
        <v>0</v>
      </c>
      <c r="K64" s="33">
        <f>SUMIFS(台帳!$I$2:$I$2000,台帳!$A$2:$A$2000,$A64,台帳!$E$2:$E$2000,K$4)</f>
        <v>0</v>
      </c>
      <c r="L64" s="33">
        <f>SUMIFS(台帳!$I$2:$I$2000,台帳!$A$2:$A$2000,$A64,台帳!$E$2:$E$2000,L$4)</f>
        <v>0</v>
      </c>
      <c r="M64" s="33">
        <f>SUMIFS(台帳!$I$2:$I$2000,台帳!$A$2:$A$2000,$A64,台帳!$E$2:$E$2000,M$4)</f>
        <v>0</v>
      </c>
      <c r="N64" s="33">
        <f>SUMIFS(台帳!$I$2:$I$2000,台帳!$A$2:$A$2000,$A64,台帳!$E$2:$E$2000,N$4)</f>
        <v>0</v>
      </c>
      <c r="O64" s="33">
        <f>SUMIFS(台帳!$I$2:$I$2000,台帳!$A$2:$A$2000,$A64,台帳!$D$2:$D$2000,"自社")</f>
        <v>0</v>
      </c>
      <c r="P64" s="33">
        <f>SUMIFS(台帳!$I$2:$I$2000,台帳!$A$2:$A$2000,$A64,台帳!$D$2:$D$2000,"業者")</f>
        <v>3</v>
      </c>
      <c r="Q64" s="33">
        <f>SUM(C64:N64)</f>
        <v>3</v>
      </c>
      <c r="R64" s="33">
        <f>R63+C64</f>
        <v>0</v>
      </c>
      <c r="S64" s="33">
        <f>S63+D64</f>
        <v>7</v>
      </c>
      <c r="T64" s="33">
        <f>T63+E64</f>
        <v>6</v>
      </c>
      <c r="U64" s="33">
        <f>U63+F64</f>
        <v>21</v>
      </c>
      <c r="V64" s="33">
        <f>V63+G64</f>
        <v>0</v>
      </c>
      <c r="W64" s="33">
        <f>W63+H64</f>
        <v>0</v>
      </c>
      <c r="X64" s="33">
        <f>X63+I64</f>
        <v>0</v>
      </c>
      <c r="Y64" s="33">
        <f>Y63+J64</f>
        <v>0</v>
      </c>
      <c r="Z64" s="33">
        <f>Z63+K64</f>
        <v>0</v>
      </c>
      <c r="AA64" s="33">
        <f>AA63+L64</f>
        <v>0</v>
      </c>
      <c r="AB64" s="33">
        <f>AB63+M64</f>
        <v>0</v>
      </c>
      <c r="AC64" s="33">
        <f>AC63+N64</f>
        <v>0</v>
      </c>
      <c r="AD64" s="33">
        <f>AD63+O64</f>
        <v>13</v>
      </c>
      <c r="AE64" s="33">
        <f>AE63+P64</f>
        <v>21</v>
      </c>
      <c r="AF64" s="33">
        <f>AF63+Q64</f>
        <v>34</v>
      </c>
      <c r="AG64" s="34" t="str">
        <f>IFERROR(INDEX(台帳!$H$2:$H$2000,MATCH($A64,台帳!$A$2:$A$2000,0)),"")</f>
        <v>地盤改良作業</v>
      </c>
    </row>
    <row r="65" spans="1:33" ht="15.75" x14ac:dyDescent="0.25">
      <c r="A65" s="31">
        <v>46192</v>
      </c>
      <c r="B65" s="32" t="str">
        <f>CHOOSE(WEEKDAY(A65),"日","月","火","水","木","金","土")</f>
        <v>金</v>
      </c>
      <c r="C65" s="33">
        <f>SUMIFS(台帳!$I$2:$I$2000,台帳!$A$2:$A$2000,$A65,台帳!$E$2:$E$2000,C$4)</f>
        <v>0</v>
      </c>
      <c r="D65" s="33">
        <f>SUMIFS(台帳!$I$2:$I$2000,台帳!$A$2:$A$2000,$A65,台帳!$E$2:$E$2000,D$4)</f>
        <v>0</v>
      </c>
      <c r="E65" s="33">
        <f>SUMIFS(台帳!$I$2:$I$2000,台帳!$A$2:$A$2000,$A65,台帳!$E$2:$E$2000,E$4)</f>
        <v>0</v>
      </c>
      <c r="F65" s="33">
        <f>SUMIFS(台帳!$I$2:$I$2000,台帳!$A$2:$A$2000,$A65,台帳!$E$2:$E$2000,F$4)</f>
        <v>3</v>
      </c>
      <c r="G65" s="33">
        <f>SUMIFS(台帳!$I$2:$I$2000,台帳!$A$2:$A$2000,$A65,台帳!$E$2:$E$2000,G$4)</f>
        <v>0</v>
      </c>
      <c r="H65" s="33">
        <f>SUMIFS(台帳!$I$2:$I$2000,台帳!$A$2:$A$2000,$A65,台帳!$E$2:$E$2000,H$4)</f>
        <v>0</v>
      </c>
      <c r="I65" s="33">
        <f>SUMIFS(台帳!$I$2:$I$2000,台帳!$A$2:$A$2000,$A65,台帳!$E$2:$E$2000,I$4)</f>
        <v>0</v>
      </c>
      <c r="J65" s="33">
        <f>SUMIFS(台帳!$I$2:$I$2000,台帳!$A$2:$A$2000,$A65,台帳!$E$2:$E$2000,J$4)</f>
        <v>0</v>
      </c>
      <c r="K65" s="33">
        <f>SUMIFS(台帳!$I$2:$I$2000,台帳!$A$2:$A$2000,$A65,台帳!$E$2:$E$2000,K$4)</f>
        <v>0</v>
      </c>
      <c r="L65" s="33">
        <f>SUMIFS(台帳!$I$2:$I$2000,台帳!$A$2:$A$2000,$A65,台帳!$E$2:$E$2000,L$4)</f>
        <v>0</v>
      </c>
      <c r="M65" s="33">
        <f>SUMIFS(台帳!$I$2:$I$2000,台帳!$A$2:$A$2000,$A65,台帳!$E$2:$E$2000,M$4)</f>
        <v>0</v>
      </c>
      <c r="N65" s="33">
        <f>SUMIFS(台帳!$I$2:$I$2000,台帳!$A$2:$A$2000,$A65,台帳!$E$2:$E$2000,N$4)</f>
        <v>0</v>
      </c>
      <c r="O65" s="33">
        <f>SUMIFS(台帳!$I$2:$I$2000,台帳!$A$2:$A$2000,$A65,台帳!$D$2:$D$2000,"自社")</f>
        <v>0</v>
      </c>
      <c r="P65" s="33">
        <f>SUMIFS(台帳!$I$2:$I$2000,台帳!$A$2:$A$2000,$A65,台帳!$D$2:$D$2000,"業者")</f>
        <v>3</v>
      </c>
      <c r="Q65" s="33">
        <f>SUM(C65:N65)</f>
        <v>3</v>
      </c>
      <c r="R65" s="33">
        <f>R64+C65</f>
        <v>0</v>
      </c>
      <c r="S65" s="33">
        <f>S64+D65</f>
        <v>7</v>
      </c>
      <c r="T65" s="33">
        <f>T64+E65</f>
        <v>6</v>
      </c>
      <c r="U65" s="33">
        <f>U64+F65</f>
        <v>24</v>
      </c>
      <c r="V65" s="33">
        <f>V64+G65</f>
        <v>0</v>
      </c>
      <c r="W65" s="33">
        <f>W64+H65</f>
        <v>0</v>
      </c>
      <c r="X65" s="33">
        <f>X64+I65</f>
        <v>0</v>
      </c>
      <c r="Y65" s="33">
        <f>Y64+J65</f>
        <v>0</v>
      </c>
      <c r="Z65" s="33">
        <f>Z64+K65</f>
        <v>0</v>
      </c>
      <c r="AA65" s="33">
        <f>AA64+L65</f>
        <v>0</v>
      </c>
      <c r="AB65" s="33">
        <f>AB64+M65</f>
        <v>0</v>
      </c>
      <c r="AC65" s="33">
        <f>AC64+N65</f>
        <v>0</v>
      </c>
      <c r="AD65" s="33">
        <f>AD64+O65</f>
        <v>13</v>
      </c>
      <c r="AE65" s="33">
        <f>AE64+P65</f>
        <v>24</v>
      </c>
      <c r="AF65" s="33">
        <f>AF64+Q65</f>
        <v>37</v>
      </c>
      <c r="AG65" s="34" t="str">
        <f>IFERROR(INDEX(台帳!$H$2:$H$2000,MATCH($A65,台帳!$A$2:$A$2000,0)),"")</f>
        <v>地盤改良作業（この日で作業終了）</v>
      </c>
    </row>
    <row r="66" spans="1:33" ht="15.75" x14ac:dyDescent="0.25">
      <c r="A66" s="35">
        <v>46193</v>
      </c>
      <c r="B66" s="36" t="str">
        <f>CHOOSE(WEEKDAY(A66),"日","月","火","水","木","金","土")</f>
        <v>土</v>
      </c>
      <c r="C66" s="37">
        <f>SUMIFS(台帳!$I$2:$I$2000,台帳!$A$2:$A$2000,$A66,台帳!$E$2:$E$2000,C$4)</f>
        <v>0</v>
      </c>
      <c r="D66" s="37">
        <f>SUMIFS(台帳!$I$2:$I$2000,台帳!$A$2:$A$2000,$A66,台帳!$E$2:$E$2000,D$4)</f>
        <v>0</v>
      </c>
      <c r="E66" s="37">
        <f>SUMIFS(台帳!$I$2:$I$2000,台帳!$A$2:$A$2000,$A66,台帳!$E$2:$E$2000,E$4)</f>
        <v>0</v>
      </c>
      <c r="F66" s="37">
        <f>SUMIFS(台帳!$I$2:$I$2000,台帳!$A$2:$A$2000,$A66,台帳!$E$2:$E$2000,F$4)</f>
        <v>0</v>
      </c>
      <c r="G66" s="37">
        <f>SUMIFS(台帳!$I$2:$I$2000,台帳!$A$2:$A$2000,$A66,台帳!$E$2:$E$2000,G$4)</f>
        <v>0</v>
      </c>
      <c r="H66" s="37">
        <f>SUMIFS(台帳!$I$2:$I$2000,台帳!$A$2:$A$2000,$A66,台帳!$E$2:$E$2000,H$4)</f>
        <v>0</v>
      </c>
      <c r="I66" s="37">
        <f>SUMIFS(台帳!$I$2:$I$2000,台帳!$A$2:$A$2000,$A66,台帳!$E$2:$E$2000,I$4)</f>
        <v>0</v>
      </c>
      <c r="J66" s="37">
        <f>SUMIFS(台帳!$I$2:$I$2000,台帳!$A$2:$A$2000,$A66,台帳!$E$2:$E$2000,J$4)</f>
        <v>0</v>
      </c>
      <c r="K66" s="37">
        <f>SUMIFS(台帳!$I$2:$I$2000,台帳!$A$2:$A$2000,$A66,台帳!$E$2:$E$2000,K$4)</f>
        <v>0</v>
      </c>
      <c r="L66" s="37">
        <f>SUMIFS(台帳!$I$2:$I$2000,台帳!$A$2:$A$2000,$A66,台帳!$E$2:$E$2000,L$4)</f>
        <v>0</v>
      </c>
      <c r="M66" s="37">
        <f>SUMIFS(台帳!$I$2:$I$2000,台帳!$A$2:$A$2000,$A66,台帳!$E$2:$E$2000,M$4)</f>
        <v>0</v>
      </c>
      <c r="N66" s="37">
        <f>SUMIFS(台帳!$I$2:$I$2000,台帳!$A$2:$A$2000,$A66,台帳!$E$2:$E$2000,N$4)</f>
        <v>0</v>
      </c>
      <c r="O66" s="37">
        <f>SUMIFS(台帳!$I$2:$I$2000,台帳!$A$2:$A$2000,$A66,台帳!$D$2:$D$2000,"自社")</f>
        <v>0</v>
      </c>
      <c r="P66" s="37">
        <f>SUMIFS(台帳!$I$2:$I$2000,台帳!$A$2:$A$2000,$A66,台帳!$D$2:$D$2000,"業者")</f>
        <v>0</v>
      </c>
      <c r="Q66" s="37">
        <f>SUM(C66:N66)</f>
        <v>0</v>
      </c>
      <c r="R66" s="37">
        <f>R65+C66</f>
        <v>0</v>
      </c>
      <c r="S66" s="37">
        <f>S65+D66</f>
        <v>7</v>
      </c>
      <c r="T66" s="37">
        <f>T65+E66</f>
        <v>6</v>
      </c>
      <c r="U66" s="37">
        <f>U65+F66</f>
        <v>24</v>
      </c>
      <c r="V66" s="37">
        <f>V65+G66</f>
        <v>0</v>
      </c>
      <c r="W66" s="37">
        <f>W65+H66</f>
        <v>0</v>
      </c>
      <c r="X66" s="37">
        <f>X65+I66</f>
        <v>0</v>
      </c>
      <c r="Y66" s="37">
        <f>Y65+J66</f>
        <v>0</v>
      </c>
      <c r="Z66" s="37">
        <f>Z65+K66</f>
        <v>0</v>
      </c>
      <c r="AA66" s="37">
        <f>AA65+L66</f>
        <v>0</v>
      </c>
      <c r="AB66" s="37">
        <f>AB65+M66</f>
        <v>0</v>
      </c>
      <c r="AC66" s="37">
        <f>AC65+N66</f>
        <v>0</v>
      </c>
      <c r="AD66" s="37">
        <f>AD65+O66</f>
        <v>13</v>
      </c>
      <c r="AE66" s="37">
        <f>AE65+P66</f>
        <v>24</v>
      </c>
      <c r="AF66" s="37">
        <f>AF65+Q66</f>
        <v>37</v>
      </c>
      <c r="AG66" s="38" t="str">
        <f>IFERROR(INDEX(台帳!$H$2:$H$2000,MATCH($A66,台帳!$A$2:$A$2000,0)),"")</f>
        <v/>
      </c>
    </row>
    <row r="67" spans="1:33" ht="15.75" x14ac:dyDescent="0.25">
      <c r="A67" s="35">
        <v>46194</v>
      </c>
      <c r="B67" s="36" t="str">
        <f>CHOOSE(WEEKDAY(A67),"日","月","火","水","木","金","土")</f>
        <v>日</v>
      </c>
      <c r="C67" s="37">
        <f>SUMIFS(台帳!$I$2:$I$2000,台帳!$A$2:$A$2000,$A67,台帳!$E$2:$E$2000,C$4)</f>
        <v>0</v>
      </c>
      <c r="D67" s="37">
        <f>SUMIFS(台帳!$I$2:$I$2000,台帳!$A$2:$A$2000,$A67,台帳!$E$2:$E$2000,D$4)</f>
        <v>0</v>
      </c>
      <c r="E67" s="37">
        <f>SUMIFS(台帳!$I$2:$I$2000,台帳!$A$2:$A$2000,$A67,台帳!$E$2:$E$2000,E$4)</f>
        <v>0</v>
      </c>
      <c r="F67" s="37">
        <f>SUMIFS(台帳!$I$2:$I$2000,台帳!$A$2:$A$2000,$A67,台帳!$E$2:$E$2000,F$4)</f>
        <v>0</v>
      </c>
      <c r="G67" s="37">
        <f>SUMIFS(台帳!$I$2:$I$2000,台帳!$A$2:$A$2000,$A67,台帳!$E$2:$E$2000,G$4)</f>
        <v>0</v>
      </c>
      <c r="H67" s="37">
        <f>SUMIFS(台帳!$I$2:$I$2000,台帳!$A$2:$A$2000,$A67,台帳!$E$2:$E$2000,H$4)</f>
        <v>0</v>
      </c>
      <c r="I67" s="37">
        <f>SUMIFS(台帳!$I$2:$I$2000,台帳!$A$2:$A$2000,$A67,台帳!$E$2:$E$2000,I$4)</f>
        <v>0</v>
      </c>
      <c r="J67" s="37">
        <f>SUMIFS(台帳!$I$2:$I$2000,台帳!$A$2:$A$2000,$A67,台帳!$E$2:$E$2000,J$4)</f>
        <v>0</v>
      </c>
      <c r="K67" s="37">
        <f>SUMIFS(台帳!$I$2:$I$2000,台帳!$A$2:$A$2000,$A67,台帳!$E$2:$E$2000,K$4)</f>
        <v>0</v>
      </c>
      <c r="L67" s="37">
        <f>SUMIFS(台帳!$I$2:$I$2000,台帳!$A$2:$A$2000,$A67,台帳!$E$2:$E$2000,L$4)</f>
        <v>0</v>
      </c>
      <c r="M67" s="37">
        <f>SUMIFS(台帳!$I$2:$I$2000,台帳!$A$2:$A$2000,$A67,台帳!$E$2:$E$2000,M$4)</f>
        <v>0</v>
      </c>
      <c r="N67" s="37">
        <f>SUMIFS(台帳!$I$2:$I$2000,台帳!$A$2:$A$2000,$A67,台帳!$E$2:$E$2000,N$4)</f>
        <v>0</v>
      </c>
      <c r="O67" s="37">
        <f>SUMIFS(台帳!$I$2:$I$2000,台帳!$A$2:$A$2000,$A67,台帳!$D$2:$D$2000,"自社")</f>
        <v>0</v>
      </c>
      <c r="P67" s="37">
        <f>SUMIFS(台帳!$I$2:$I$2000,台帳!$A$2:$A$2000,$A67,台帳!$D$2:$D$2000,"業者")</f>
        <v>0</v>
      </c>
      <c r="Q67" s="37">
        <f>SUM(C67:N67)</f>
        <v>0</v>
      </c>
      <c r="R67" s="37">
        <f>R66+C67</f>
        <v>0</v>
      </c>
      <c r="S67" s="37">
        <f>S66+D67</f>
        <v>7</v>
      </c>
      <c r="T67" s="37">
        <f>T66+E67</f>
        <v>6</v>
      </c>
      <c r="U67" s="37">
        <f>U66+F67</f>
        <v>24</v>
      </c>
      <c r="V67" s="37">
        <f>V66+G67</f>
        <v>0</v>
      </c>
      <c r="W67" s="37">
        <f>W66+H67</f>
        <v>0</v>
      </c>
      <c r="X67" s="37">
        <f>X66+I67</f>
        <v>0</v>
      </c>
      <c r="Y67" s="37">
        <f>Y66+J67</f>
        <v>0</v>
      </c>
      <c r="Z67" s="37">
        <f>Z66+K67</f>
        <v>0</v>
      </c>
      <c r="AA67" s="37">
        <f>AA66+L67</f>
        <v>0</v>
      </c>
      <c r="AB67" s="37">
        <f>AB66+M67</f>
        <v>0</v>
      </c>
      <c r="AC67" s="37">
        <f>AC66+N67</f>
        <v>0</v>
      </c>
      <c r="AD67" s="37">
        <f>AD66+O67</f>
        <v>13</v>
      </c>
      <c r="AE67" s="37">
        <f>AE66+P67</f>
        <v>24</v>
      </c>
      <c r="AF67" s="37">
        <f>AF66+Q67</f>
        <v>37</v>
      </c>
      <c r="AG67" s="38" t="str">
        <f>IFERROR(INDEX(台帳!$H$2:$H$2000,MATCH($A67,台帳!$A$2:$A$2000,0)),"")</f>
        <v/>
      </c>
    </row>
    <row r="68" spans="1:33" ht="15.75" x14ac:dyDescent="0.25">
      <c r="A68" s="31">
        <v>46195</v>
      </c>
      <c r="B68" s="32" t="str">
        <f>CHOOSE(WEEKDAY(A68),"日","月","火","水","木","金","土")</f>
        <v>月</v>
      </c>
      <c r="C68" s="33">
        <f>SUMIFS(台帳!$I$2:$I$2000,台帳!$A$2:$A$2000,$A68,台帳!$E$2:$E$2000,C$4)</f>
        <v>0</v>
      </c>
      <c r="D68" s="33">
        <f>SUMIFS(台帳!$I$2:$I$2000,台帳!$A$2:$A$2000,$A68,台帳!$E$2:$E$2000,D$4)</f>
        <v>0</v>
      </c>
      <c r="E68" s="33">
        <f>SUMIFS(台帳!$I$2:$I$2000,台帳!$A$2:$A$2000,$A68,台帳!$E$2:$E$2000,E$4)</f>
        <v>0</v>
      </c>
      <c r="F68" s="33">
        <f>SUMIFS(台帳!$I$2:$I$2000,台帳!$A$2:$A$2000,$A68,台帳!$E$2:$E$2000,F$4)</f>
        <v>3</v>
      </c>
      <c r="G68" s="33">
        <f>SUMIFS(台帳!$I$2:$I$2000,台帳!$A$2:$A$2000,$A68,台帳!$E$2:$E$2000,G$4)</f>
        <v>0</v>
      </c>
      <c r="H68" s="33">
        <f>SUMIFS(台帳!$I$2:$I$2000,台帳!$A$2:$A$2000,$A68,台帳!$E$2:$E$2000,H$4)</f>
        <v>0</v>
      </c>
      <c r="I68" s="33">
        <f>SUMIFS(台帳!$I$2:$I$2000,台帳!$A$2:$A$2000,$A68,台帳!$E$2:$E$2000,I$4)</f>
        <v>0</v>
      </c>
      <c r="J68" s="33">
        <f>SUMIFS(台帳!$I$2:$I$2000,台帳!$A$2:$A$2000,$A68,台帳!$E$2:$E$2000,J$4)</f>
        <v>0</v>
      </c>
      <c r="K68" s="33">
        <f>SUMIFS(台帳!$I$2:$I$2000,台帳!$A$2:$A$2000,$A68,台帳!$E$2:$E$2000,K$4)</f>
        <v>0</v>
      </c>
      <c r="L68" s="33">
        <f>SUMIFS(台帳!$I$2:$I$2000,台帳!$A$2:$A$2000,$A68,台帳!$E$2:$E$2000,L$4)</f>
        <v>0</v>
      </c>
      <c r="M68" s="33">
        <f>SUMIFS(台帳!$I$2:$I$2000,台帳!$A$2:$A$2000,$A68,台帳!$E$2:$E$2000,M$4)</f>
        <v>0</v>
      </c>
      <c r="N68" s="33">
        <f>SUMIFS(台帳!$I$2:$I$2000,台帳!$A$2:$A$2000,$A68,台帳!$E$2:$E$2000,N$4)</f>
        <v>0</v>
      </c>
      <c r="O68" s="33">
        <f>SUMIFS(台帳!$I$2:$I$2000,台帳!$A$2:$A$2000,$A68,台帳!$D$2:$D$2000,"自社")</f>
        <v>0</v>
      </c>
      <c r="P68" s="33">
        <f>SUMIFS(台帳!$I$2:$I$2000,台帳!$A$2:$A$2000,$A68,台帳!$D$2:$D$2000,"業者")</f>
        <v>3</v>
      </c>
      <c r="Q68" s="33">
        <f>SUM(C68:N68)</f>
        <v>3</v>
      </c>
      <c r="R68" s="33">
        <f>R67+C68</f>
        <v>0</v>
      </c>
      <c r="S68" s="33">
        <f>S67+D68</f>
        <v>7</v>
      </c>
      <c r="T68" s="33">
        <f>T67+E68</f>
        <v>6</v>
      </c>
      <c r="U68" s="33">
        <f>U67+F68</f>
        <v>27</v>
      </c>
      <c r="V68" s="33">
        <f>V67+G68</f>
        <v>0</v>
      </c>
      <c r="W68" s="33">
        <f>W67+H68</f>
        <v>0</v>
      </c>
      <c r="X68" s="33">
        <f>X67+I68</f>
        <v>0</v>
      </c>
      <c r="Y68" s="33">
        <f>Y67+J68</f>
        <v>0</v>
      </c>
      <c r="Z68" s="33">
        <f>Z67+K68</f>
        <v>0</v>
      </c>
      <c r="AA68" s="33">
        <f>AA67+L68</f>
        <v>0</v>
      </c>
      <c r="AB68" s="33">
        <f>AB67+M68</f>
        <v>0</v>
      </c>
      <c r="AC68" s="33">
        <f>AC67+N68</f>
        <v>0</v>
      </c>
      <c r="AD68" s="33">
        <f>AD67+O68</f>
        <v>13</v>
      </c>
      <c r="AE68" s="33">
        <f>AE67+P68</f>
        <v>27</v>
      </c>
      <c r="AF68" s="33">
        <f>AF67+Q68</f>
        <v>40</v>
      </c>
      <c r="AG68" s="34" t="str">
        <f>IFERROR(INDEX(台帳!$H$2:$H$2000,MATCH($A68,台帳!$A$2:$A$2000,0)),"")</f>
        <v>地盤改良機材 解体片付け</v>
      </c>
    </row>
    <row r="69" spans="1:33" ht="15.75" x14ac:dyDescent="0.25">
      <c r="A69" s="31">
        <v>46196</v>
      </c>
      <c r="B69" s="32" t="str">
        <f>CHOOSE(WEEKDAY(A69),"日","月","火","水","木","金","土")</f>
        <v>火</v>
      </c>
      <c r="C69" s="33">
        <f>SUMIFS(台帳!$I$2:$I$2000,台帳!$A$2:$A$2000,$A69,台帳!$E$2:$E$2000,C$4)</f>
        <v>0</v>
      </c>
      <c r="D69" s="33">
        <f>SUMIFS(台帳!$I$2:$I$2000,台帳!$A$2:$A$2000,$A69,台帳!$E$2:$E$2000,D$4)</f>
        <v>0</v>
      </c>
      <c r="E69" s="33">
        <f>SUMIFS(台帳!$I$2:$I$2000,台帳!$A$2:$A$2000,$A69,台帳!$E$2:$E$2000,E$4)</f>
        <v>0</v>
      </c>
      <c r="F69" s="33">
        <f>SUMIFS(台帳!$I$2:$I$2000,台帳!$A$2:$A$2000,$A69,台帳!$E$2:$E$2000,F$4)</f>
        <v>3</v>
      </c>
      <c r="G69" s="33">
        <f>SUMIFS(台帳!$I$2:$I$2000,台帳!$A$2:$A$2000,$A69,台帳!$E$2:$E$2000,G$4)</f>
        <v>0</v>
      </c>
      <c r="H69" s="33">
        <f>SUMIFS(台帳!$I$2:$I$2000,台帳!$A$2:$A$2000,$A69,台帳!$E$2:$E$2000,H$4)</f>
        <v>0</v>
      </c>
      <c r="I69" s="33">
        <f>SUMIFS(台帳!$I$2:$I$2000,台帳!$A$2:$A$2000,$A69,台帳!$E$2:$E$2000,I$4)</f>
        <v>0</v>
      </c>
      <c r="J69" s="33">
        <f>SUMIFS(台帳!$I$2:$I$2000,台帳!$A$2:$A$2000,$A69,台帳!$E$2:$E$2000,J$4)</f>
        <v>0</v>
      </c>
      <c r="K69" s="33">
        <f>SUMIFS(台帳!$I$2:$I$2000,台帳!$A$2:$A$2000,$A69,台帳!$E$2:$E$2000,K$4)</f>
        <v>0</v>
      </c>
      <c r="L69" s="33">
        <f>SUMIFS(台帳!$I$2:$I$2000,台帳!$A$2:$A$2000,$A69,台帳!$E$2:$E$2000,L$4)</f>
        <v>0</v>
      </c>
      <c r="M69" s="33">
        <f>SUMIFS(台帳!$I$2:$I$2000,台帳!$A$2:$A$2000,$A69,台帳!$E$2:$E$2000,M$4)</f>
        <v>0</v>
      </c>
      <c r="N69" s="33">
        <f>SUMIFS(台帳!$I$2:$I$2000,台帳!$A$2:$A$2000,$A69,台帳!$E$2:$E$2000,N$4)</f>
        <v>0</v>
      </c>
      <c r="O69" s="33">
        <f>SUMIFS(台帳!$I$2:$I$2000,台帳!$A$2:$A$2000,$A69,台帳!$D$2:$D$2000,"自社")</f>
        <v>0</v>
      </c>
      <c r="P69" s="33">
        <f>SUMIFS(台帳!$I$2:$I$2000,台帳!$A$2:$A$2000,$A69,台帳!$D$2:$D$2000,"業者")</f>
        <v>3</v>
      </c>
      <c r="Q69" s="33">
        <f>SUM(C69:N69)</f>
        <v>3</v>
      </c>
      <c r="R69" s="33">
        <f>R68+C69</f>
        <v>0</v>
      </c>
      <c r="S69" s="33">
        <f>S68+D69</f>
        <v>7</v>
      </c>
      <c r="T69" s="33">
        <f>T68+E69</f>
        <v>6</v>
      </c>
      <c r="U69" s="33">
        <f>U68+F69</f>
        <v>30</v>
      </c>
      <c r="V69" s="33">
        <f>V68+G69</f>
        <v>0</v>
      </c>
      <c r="W69" s="33">
        <f>W68+H69</f>
        <v>0</v>
      </c>
      <c r="X69" s="33">
        <f>X68+I69</f>
        <v>0</v>
      </c>
      <c r="Y69" s="33">
        <f>Y68+J69</f>
        <v>0</v>
      </c>
      <c r="Z69" s="33">
        <f>Z68+K69</f>
        <v>0</v>
      </c>
      <c r="AA69" s="33">
        <f>AA68+L69</f>
        <v>0</v>
      </c>
      <c r="AB69" s="33">
        <f>AB68+M69</f>
        <v>0</v>
      </c>
      <c r="AC69" s="33">
        <f>AC68+N69</f>
        <v>0</v>
      </c>
      <c r="AD69" s="33">
        <f>AD68+O69</f>
        <v>13</v>
      </c>
      <c r="AE69" s="33">
        <f>AE68+P69</f>
        <v>30</v>
      </c>
      <c r="AF69" s="33">
        <f>AF68+Q69</f>
        <v>43</v>
      </c>
      <c r="AG69" s="34" t="str">
        <f>IFERROR(INDEX(台帳!$H$2:$H$2000,MATCH($A69,台帳!$A$2:$A$2000,0)),"")</f>
        <v>地盤改良機材 解体片付け（全作業終了）</v>
      </c>
    </row>
    <row r="70" spans="1:33" ht="15.75" x14ac:dyDescent="0.25">
      <c r="A70" s="31">
        <v>46197</v>
      </c>
      <c r="B70" s="32" t="str">
        <f>CHOOSE(WEEKDAY(A70),"日","月","火","水","木","金","土")</f>
        <v>水</v>
      </c>
      <c r="C70" s="33">
        <f>SUMIFS(台帳!$I$2:$I$2000,台帳!$A$2:$A$2000,$A70,台帳!$E$2:$E$2000,C$4)</f>
        <v>0</v>
      </c>
      <c r="D70" s="33">
        <f>SUMIFS(台帳!$I$2:$I$2000,台帳!$A$2:$A$2000,$A70,台帳!$E$2:$E$2000,D$4)</f>
        <v>0</v>
      </c>
      <c r="E70" s="33">
        <f>SUMIFS(台帳!$I$2:$I$2000,台帳!$A$2:$A$2000,$A70,台帳!$E$2:$E$2000,E$4)</f>
        <v>0</v>
      </c>
      <c r="F70" s="33">
        <f>SUMIFS(台帳!$I$2:$I$2000,台帳!$A$2:$A$2000,$A70,台帳!$E$2:$E$2000,F$4)</f>
        <v>0</v>
      </c>
      <c r="G70" s="33">
        <f>SUMIFS(台帳!$I$2:$I$2000,台帳!$A$2:$A$2000,$A70,台帳!$E$2:$E$2000,G$4)</f>
        <v>3</v>
      </c>
      <c r="H70" s="33">
        <f>SUMIFS(台帳!$I$2:$I$2000,台帳!$A$2:$A$2000,$A70,台帳!$E$2:$E$2000,H$4)</f>
        <v>0</v>
      </c>
      <c r="I70" s="33">
        <f>SUMIFS(台帳!$I$2:$I$2000,台帳!$A$2:$A$2000,$A70,台帳!$E$2:$E$2000,I$4)</f>
        <v>0</v>
      </c>
      <c r="J70" s="33">
        <f>SUMIFS(台帳!$I$2:$I$2000,台帳!$A$2:$A$2000,$A70,台帳!$E$2:$E$2000,J$4)</f>
        <v>0</v>
      </c>
      <c r="K70" s="33">
        <f>SUMIFS(台帳!$I$2:$I$2000,台帳!$A$2:$A$2000,$A70,台帳!$E$2:$E$2000,K$4)</f>
        <v>0</v>
      </c>
      <c r="L70" s="33">
        <f>SUMIFS(台帳!$I$2:$I$2000,台帳!$A$2:$A$2000,$A70,台帳!$E$2:$E$2000,L$4)</f>
        <v>0</v>
      </c>
      <c r="M70" s="33">
        <f>SUMIFS(台帳!$I$2:$I$2000,台帳!$A$2:$A$2000,$A70,台帳!$E$2:$E$2000,M$4)</f>
        <v>0</v>
      </c>
      <c r="N70" s="33">
        <f>SUMIFS(台帳!$I$2:$I$2000,台帳!$A$2:$A$2000,$A70,台帳!$E$2:$E$2000,N$4)</f>
        <v>0</v>
      </c>
      <c r="O70" s="33">
        <f>SUMIFS(台帳!$I$2:$I$2000,台帳!$A$2:$A$2000,$A70,台帳!$D$2:$D$2000,"自社")</f>
        <v>3</v>
      </c>
      <c r="P70" s="33">
        <f>SUMIFS(台帳!$I$2:$I$2000,台帳!$A$2:$A$2000,$A70,台帳!$D$2:$D$2000,"業者")</f>
        <v>0</v>
      </c>
      <c r="Q70" s="33">
        <f>SUM(C70:N70)</f>
        <v>3</v>
      </c>
      <c r="R70" s="33">
        <f>R69+C70</f>
        <v>0</v>
      </c>
      <c r="S70" s="33">
        <f>S69+D70</f>
        <v>7</v>
      </c>
      <c r="T70" s="33">
        <f>T69+E70</f>
        <v>6</v>
      </c>
      <c r="U70" s="33">
        <f>U69+F70</f>
        <v>30</v>
      </c>
      <c r="V70" s="33">
        <f>V69+G70</f>
        <v>3</v>
      </c>
      <c r="W70" s="33">
        <f>W69+H70</f>
        <v>0</v>
      </c>
      <c r="X70" s="33">
        <f>X69+I70</f>
        <v>0</v>
      </c>
      <c r="Y70" s="33">
        <f>Y69+J70</f>
        <v>0</v>
      </c>
      <c r="Z70" s="33">
        <f>Z69+K70</f>
        <v>0</v>
      </c>
      <c r="AA70" s="33">
        <f>AA69+L70</f>
        <v>0</v>
      </c>
      <c r="AB70" s="33">
        <f>AB69+M70</f>
        <v>0</v>
      </c>
      <c r="AC70" s="33">
        <f>AC69+N70</f>
        <v>0</v>
      </c>
      <c r="AD70" s="33">
        <f>AD69+O70</f>
        <v>16</v>
      </c>
      <c r="AE70" s="33">
        <f>AE69+P70</f>
        <v>30</v>
      </c>
      <c r="AF70" s="33">
        <f>AF69+Q70</f>
        <v>46</v>
      </c>
      <c r="AG70" s="34" t="str">
        <f>IFERROR(INDEX(台帳!$H$2:$H$2000,MATCH($A70,台帳!$A$2:$A$2000,0)),"")</f>
        <v>掘削作業開始（掘削前整地）、建物位置出し</v>
      </c>
    </row>
    <row r="71" spans="1:33" ht="15.75" x14ac:dyDescent="0.25">
      <c r="A71" s="31">
        <v>46198</v>
      </c>
      <c r="B71" s="32" t="str">
        <f>CHOOSE(WEEKDAY(A71),"日","月","火","水","木","金","土")</f>
        <v>木</v>
      </c>
      <c r="C71" s="33">
        <f>SUMIFS(台帳!$I$2:$I$2000,台帳!$A$2:$A$2000,$A71,台帳!$E$2:$E$2000,C$4)</f>
        <v>0</v>
      </c>
      <c r="D71" s="33">
        <f>SUMIFS(台帳!$I$2:$I$2000,台帳!$A$2:$A$2000,$A71,台帳!$E$2:$E$2000,D$4)</f>
        <v>0</v>
      </c>
      <c r="E71" s="33">
        <f>SUMIFS(台帳!$I$2:$I$2000,台帳!$A$2:$A$2000,$A71,台帳!$E$2:$E$2000,E$4)</f>
        <v>0</v>
      </c>
      <c r="F71" s="33">
        <f>SUMIFS(台帳!$I$2:$I$2000,台帳!$A$2:$A$2000,$A71,台帳!$E$2:$E$2000,F$4)</f>
        <v>0</v>
      </c>
      <c r="G71" s="33">
        <f>SUMIFS(台帳!$I$2:$I$2000,台帳!$A$2:$A$2000,$A71,台帳!$E$2:$E$2000,G$4)</f>
        <v>3</v>
      </c>
      <c r="H71" s="33">
        <f>SUMIFS(台帳!$I$2:$I$2000,台帳!$A$2:$A$2000,$A71,台帳!$E$2:$E$2000,H$4)</f>
        <v>0</v>
      </c>
      <c r="I71" s="33">
        <f>SUMIFS(台帳!$I$2:$I$2000,台帳!$A$2:$A$2000,$A71,台帳!$E$2:$E$2000,I$4)</f>
        <v>0</v>
      </c>
      <c r="J71" s="33">
        <f>SUMIFS(台帳!$I$2:$I$2000,台帳!$A$2:$A$2000,$A71,台帳!$E$2:$E$2000,J$4)</f>
        <v>0</v>
      </c>
      <c r="K71" s="33">
        <f>SUMIFS(台帳!$I$2:$I$2000,台帳!$A$2:$A$2000,$A71,台帳!$E$2:$E$2000,K$4)</f>
        <v>0</v>
      </c>
      <c r="L71" s="33">
        <f>SUMIFS(台帳!$I$2:$I$2000,台帳!$A$2:$A$2000,$A71,台帳!$E$2:$E$2000,L$4)</f>
        <v>0</v>
      </c>
      <c r="M71" s="33">
        <f>SUMIFS(台帳!$I$2:$I$2000,台帳!$A$2:$A$2000,$A71,台帳!$E$2:$E$2000,M$4)</f>
        <v>0</v>
      </c>
      <c r="N71" s="33">
        <f>SUMIFS(台帳!$I$2:$I$2000,台帳!$A$2:$A$2000,$A71,台帳!$E$2:$E$2000,N$4)</f>
        <v>0</v>
      </c>
      <c r="O71" s="33">
        <f>SUMIFS(台帳!$I$2:$I$2000,台帳!$A$2:$A$2000,$A71,台帳!$D$2:$D$2000,"自社")</f>
        <v>3</v>
      </c>
      <c r="P71" s="33">
        <f>SUMIFS(台帳!$I$2:$I$2000,台帳!$A$2:$A$2000,$A71,台帳!$D$2:$D$2000,"業者")</f>
        <v>0</v>
      </c>
      <c r="Q71" s="33">
        <f>SUM(C71:N71)</f>
        <v>3</v>
      </c>
      <c r="R71" s="33">
        <f>R70+C71</f>
        <v>0</v>
      </c>
      <c r="S71" s="33">
        <f>S70+D71</f>
        <v>7</v>
      </c>
      <c r="T71" s="33">
        <f>T70+E71</f>
        <v>6</v>
      </c>
      <c r="U71" s="33">
        <f>U70+F71</f>
        <v>30</v>
      </c>
      <c r="V71" s="33">
        <f>V70+G71</f>
        <v>6</v>
      </c>
      <c r="W71" s="33">
        <f>W70+H71</f>
        <v>0</v>
      </c>
      <c r="X71" s="33">
        <f>X70+I71</f>
        <v>0</v>
      </c>
      <c r="Y71" s="33">
        <f>Y70+J71</f>
        <v>0</v>
      </c>
      <c r="Z71" s="33">
        <f>Z70+K71</f>
        <v>0</v>
      </c>
      <c r="AA71" s="33">
        <f>AA70+L71</f>
        <v>0</v>
      </c>
      <c r="AB71" s="33">
        <f>AB70+M71</f>
        <v>0</v>
      </c>
      <c r="AC71" s="33">
        <f>AC70+N71</f>
        <v>0</v>
      </c>
      <c r="AD71" s="33">
        <f>AD70+O71</f>
        <v>19</v>
      </c>
      <c r="AE71" s="33">
        <f>AE70+P71</f>
        <v>30</v>
      </c>
      <c r="AF71" s="33">
        <f>AF70+Q71</f>
        <v>49</v>
      </c>
      <c r="AG71" s="34" t="str">
        <f>IFERROR(INDEX(台帳!$H$2:$H$2000,MATCH($A71,台帳!$A$2:$A$2000,0)),"")</f>
        <v>基礎掘削作業</v>
      </c>
    </row>
    <row r="72" spans="1:33" ht="15.75" x14ac:dyDescent="0.25">
      <c r="A72" s="31">
        <v>46199</v>
      </c>
      <c r="B72" s="32" t="str">
        <f>CHOOSE(WEEKDAY(A72),"日","月","火","水","木","金","土")</f>
        <v>金</v>
      </c>
      <c r="C72" s="33">
        <f>SUMIFS(台帳!$I$2:$I$2000,台帳!$A$2:$A$2000,$A72,台帳!$E$2:$E$2000,C$4)</f>
        <v>0</v>
      </c>
      <c r="D72" s="33">
        <f>SUMIFS(台帳!$I$2:$I$2000,台帳!$A$2:$A$2000,$A72,台帳!$E$2:$E$2000,D$4)</f>
        <v>0</v>
      </c>
      <c r="E72" s="33">
        <f>SUMIFS(台帳!$I$2:$I$2000,台帳!$A$2:$A$2000,$A72,台帳!$E$2:$E$2000,E$4)</f>
        <v>0</v>
      </c>
      <c r="F72" s="33">
        <f>SUMIFS(台帳!$I$2:$I$2000,台帳!$A$2:$A$2000,$A72,台帳!$E$2:$E$2000,F$4)</f>
        <v>0</v>
      </c>
      <c r="G72" s="33">
        <f>SUMIFS(台帳!$I$2:$I$2000,台帳!$A$2:$A$2000,$A72,台帳!$E$2:$E$2000,G$4)</f>
        <v>2</v>
      </c>
      <c r="H72" s="33">
        <f>SUMIFS(台帳!$I$2:$I$2000,台帳!$A$2:$A$2000,$A72,台帳!$E$2:$E$2000,H$4)</f>
        <v>0</v>
      </c>
      <c r="I72" s="33">
        <f>SUMIFS(台帳!$I$2:$I$2000,台帳!$A$2:$A$2000,$A72,台帳!$E$2:$E$2000,I$4)</f>
        <v>0</v>
      </c>
      <c r="J72" s="33">
        <f>SUMIFS(台帳!$I$2:$I$2000,台帳!$A$2:$A$2000,$A72,台帳!$E$2:$E$2000,J$4)</f>
        <v>0</v>
      </c>
      <c r="K72" s="33">
        <f>SUMIFS(台帳!$I$2:$I$2000,台帳!$A$2:$A$2000,$A72,台帳!$E$2:$E$2000,K$4)</f>
        <v>0</v>
      </c>
      <c r="L72" s="33">
        <f>SUMIFS(台帳!$I$2:$I$2000,台帳!$A$2:$A$2000,$A72,台帳!$E$2:$E$2000,L$4)</f>
        <v>0</v>
      </c>
      <c r="M72" s="33">
        <f>SUMIFS(台帳!$I$2:$I$2000,台帳!$A$2:$A$2000,$A72,台帳!$E$2:$E$2000,M$4)</f>
        <v>0</v>
      </c>
      <c r="N72" s="33">
        <f>SUMIFS(台帳!$I$2:$I$2000,台帳!$A$2:$A$2000,$A72,台帳!$E$2:$E$2000,N$4)</f>
        <v>0</v>
      </c>
      <c r="O72" s="33">
        <f>SUMIFS(台帳!$I$2:$I$2000,台帳!$A$2:$A$2000,$A72,台帳!$D$2:$D$2000,"自社")</f>
        <v>2</v>
      </c>
      <c r="P72" s="33">
        <f>SUMIFS(台帳!$I$2:$I$2000,台帳!$A$2:$A$2000,$A72,台帳!$D$2:$D$2000,"業者")</f>
        <v>0</v>
      </c>
      <c r="Q72" s="33">
        <f>SUM(C72:N72)</f>
        <v>2</v>
      </c>
      <c r="R72" s="33">
        <f>R71+C72</f>
        <v>0</v>
      </c>
      <c r="S72" s="33">
        <f>S71+D72</f>
        <v>7</v>
      </c>
      <c r="T72" s="33">
        <f>T71+E72</f>
        <v>6</v>
      </c>
      <c r="U72" s="33">
        <f>U71+F72</f>
        <v>30</v>
      </c>
      <c r="V72" s="33">
        <f>V71+G72</f>
        <v>8</v>
      </c>
      <c r="W72" s="33">
        <f>W71+H72</f>
        <v>0</v>
      </c>
      <c r="X72" s="33">
        <f>X71+I72</f>
        <v>0</v>
      </c>
      <c r="Y72" s="33">
        <f>Y71+J72</f>
        <v>0</v>
      </c>
      <c r="Z72" s="33">
        <f>Z71+K72</f>
        <v>0</v>
      </c>
      <c r="AA72" s="33">
        <f>AA71+L72</f>
        <v>0</v>
      </c>
      <c r="AB72" s="33">
        <f>AB71+M72</f>
        <v>0</v>
      </c>
      <c r="AC72" s="33">
        <f>AC71+N72</f>
        <v>0</v>
      </c>
      <c r="AD72" s="33">
        <f>AD71+O72</f>
        <v>21</v>
      </c>
      <c r="AE72" s="33">
        <f>AE71+P72</f>
        <v>30</v>
      </c>
      <c r="AF72" s="33">
        <f>AF71+Q72</f>
        <v>51</v>
      </c>
      <c r="AG72" s="34" t="str">
        <f>IFERROR(INDEX(台帳!$H$2:$H$2000,MATCH($A72,台帳!$A$2:$A$2000,0)),"")</f>
        <v>基礎掘削作業</v>
      </c>
    </row>
    <row r="73" spans="1:33" ht="15.75" x14ac:dyDescent="0.25">
      <c r="A73" s="35">
        <v>46200</v>
      </c>
      <c r="B73" s="36" t="str">
        <f>CHOOSE(WEEKDAY(A73),"日","月","火","水","木","金","土")</f>
        <v>土</v>
      </c>
      <c r="C73" s="37">
        <f>SUMIFS(台帳!$I$2:$I$2000,台帳!$A$2:$A$2000,$A73,台帳!$E$2:$E$2000,C$4)</f>
        <v>0</v>
      </c>
      <c r="D73" s="37">
        <f>SUMIFS(台帳!$I$2:$I$2000,台帳!$A$2:$A$2000,$A73,台帳!$E$2:$E$2000,D$4)</f>
        <v>0</v>
      </c>
      <c r="E73" s="37">
        <f>SUMIFS(台帳!$I$2:$I$2000,台帳!$A$2:$A$2000,$A73,台帳!$E$2:$E$2000,E$4)</f>
        <v>0</v>
      </c>
      <c r="F73" s="37">
        <f>SUMIFS(台帳!$I$2:$I$2000,台帳!$A$2:$A$2000,$A73,台帳!$E$2:$E$2000,F$4)</f>
        <v>0</v>
      </c>
      <c r="G73" s="37">
        <f>SUMIFS(台帳!$I$2:$I$2000,台帳!$A$2:$A$2000,$A73,台帳!$E$2:$E$2000,G$4)</f>
        <v>0</v>
      </c>
      <c r="H73" s="37">
        <f>SUMIFS(台帳!$I$2:$I$2000,台帳!$A$2:$A$2000,$A73,台帳!$E$2:$E$2000,H$4)</f>
        <v>0</v>
      </c>
      <c r="I73" s="37">
        <f>SUMIFS(台帳!$I$2:$I$2000,台帳!$A$2:$A$2000,$A73,台帳!$E$2:$E$2000,I$4)</f>
        <v>0</v>
      </c>
      <c r="J73" s="37">
        <f>SUMIFS(台帳!$I$2:$I$2000,台帳!$A$2:$A$2000,$A73,台帳!$E$2:$E$2000,J$4)</f>
        <v>0</v>
      </c>
      <c r="K73" s="37">
        <f>SUMIFS(台帳!$I$2:$I$2000,台帳!$A$2:$A$2000,$A73,台帳!$E$2:$E$2000,K$4)</f>
        <v>0</v>
      </c>
      <c r="L73" s="37">
        <f>SUMIFS(台帳!$I$2:$I$2000,台帳!$A$2:$A$2000,$A73,台帳!$E$2:$E$2000,L$4)</f>
        <v>0</v>
      </c>
      <c r="M73" s="37">
        <f>SUMIFS(台帳!$I$2:$I$2000,台帳!$A$2:$A$2000,$A73,台帳!$E$2:$E$2000,M$4)</f>
        <v>0</v>
      </c>
      <c r="N73" s="37">
        <f>SUMIFS(台帳!$I$2:$I$2000,台帳!$A$2:$A$2000,$A73,台帳!$E$2:$E$2000,N$4)</f>
        <v>0</v>
      </c>
      <c r="O73" s="37">
        <f>SUMIFS(台帳!$I$2:$I$2000,台帳!$A$2:$A$2000,$A73,台帳!$D$2:$D$2000,"自社")</f>
        <v>0</v>
      </c>
      <c r="P73" s="37">
        <f>SUMIFS(台帳!$I$2:$I$2000,台帳!$A$2:$A$2000,$A73,台帳!$D$2:$D$2000,"業者")</f>
        <v>0</v>
      </c>
      <c r="Q73" s="37">
        <f>SUM(C73:N73)</f>
        <v>0</v>
      </c>
      <c r="R73" s="37">
        <f>R72+C73</f>
        <v>0</v>
      </c>
      <c r="S73" s="37">
        <f>S72+D73</f>
        <v>7</v>
      </c>
      <c r="T73" s="37">
        <f>T72+E73</f>
        <v>6</v>
      </c>
      <c r="U73" s="37">
        <f>U72+F73</f>
        <v>30</v>
      </c>
      <c r="V73" s="37">
        <f>V72+G73</f>
        <v>8</v>
      </c>
      <c r="W73" s="37">
        <f>W72+H73</f>
        <v>0</v>
      </c>
      <c r="X73" s="37">
        <f>X72+I73</f>
        <v>0</v>
      </c>
      <c r="Y73" s="37">
        <f>Y72+J73</f>
        <v>0</v>
      </c>
      <c r="Z73" s="37">
        <f>Z72+K73</f>
        <v>0</v>
      </c>
      <c r="AA73" s="37">
        <f>AA72+L73</f>
        <v>0</v>
      </c>
      <c r="AB73" s="37">
        <f>AB72+M73</f>
        <v>0</v>
      </c>
      <c r="AC73" s="37">
        <f>AC72+N73</f>
        <v>0</v>
      </c>
      <c r="AD73" s="37">
        <f>AD72+O73</f>
        <v>21</v>
      </c>
      <c r="AE73" s="37">
        <f>AE72+P73</f>
        <v>30</v>
      </c>
      <c r="AF73" s="37">
        <f>AF72+Q73</f>
        <v>51</v>
      </c>
      <c r="AG73" s="38" t="str">
        <f>IFERROR(INDEX(台帳!$H$2:$H$2000,MATCH($A73,台帳!$A$2:$A$2000,0)),"")</f>
        <v>台風のため作業中断（6/26〜28）</v>
      </c>
    </row>
    <row r="74" spans="1:33" ht="15.75" x14ac:dyDescent="0.25">
      <c r="A74" s="35">
        <v>46201</v>
      </c>
      <c r="B74" s="36" t="str">
        <f>CHOOSE(WEEKDAY(A74),"日","月","火","水","木","金","土")</f>
        <v>日</v>
      </c>
      <c r="C74" s="37">
        <f>SUMIFS(台帳!$I$2:$I$2000,台帳!$A$2:$A$2000,$A74,台帳!$E$2:$E$2000,C$4)</f>
        <v>0</v>
      </c>
      <c r="D74" s="37">
        <f>SUMIFS(台帳!$I$2:$I$2000,台帳!$A$2:$A$2000,$A74,台帳!$E$2:$E$2000,D$4)</f>
        <v>0</v>
      </c>
      <c r="E74" s="37">
        <f>SUMIFS(台帳!$I$2:$I$2000,台帳!$A$2:$A$2000,$A74,台帳!$E$2:$E$2000,E$4)</f>
        <v>0</v>
      </c>
      <c r="F74" s="37">
        <f>SUMIFS(台帳!$I$2:$I$2000,台帳!$A$2:$A$2000,$A74,台帳!$E$2:$E$2000,F$4)</f>
        <v>0</v>
      </c>
      <c r="G74" s="37">
        <f>SUMIFS(台帳!$I$2:$I$2000,台帳!$A$2:$A$2000,$A74,台帳!$E$2:$E$2000,G$4)</f>
        <v>0</v>
      </c>
      <c r="H74" s="37">
        <f>SUMIFS(台帳!$I$2:$I$2000,台帳!$A$2:$A$2000,$A74,台帳!$E$2:$E$2000,H$4)</f>
        <v>0</v>
      </c>
      <c r="I74" s="37">
        <f>SUMIFS(台帳!$I$2:$I$2000,台帳!$A$2:$A$2000,$A74,台帳!$E$2:$E$2000,I$4)</f>
        <v>0</v>
      </c>
      <c r="J74" s="37">
        <f>SUMIFS(台帳!$I$2:$I$2000,台帳!$A$2:$A$2000,$A74,台帳!$E$2:$E$2000,J$4)</f>
        <v>0</v>
      </c>
      <c r="K74" s="37">
        <f>SUMIFS(台帳!$I$2:$I$2000,台帳!$A$2:$A$2000,$A74,台帳!$E$2:$E$2000,K$4)</f>
        <v>0</v>
      </c>
      <c r="L74" s="37">
        <f>SUMIFS(台帳!$I$2:$I$2000,台帳!$A$2:$A$2000,$A74,台帳!$E$2:$E$2000,L$4)</f>
        <v>0</v>
      </c>
      <c r="M74" s="37">
        <f>SUMIFS(台帳!$I$2:$I$2000,台帳!$A$2:$A$2000,$A74,台帳!$E$2:$E$2000,M$4)</f>
        <v>0</v>
      </c>
      <c r="N74" s="37">
        <f>SUMIFS(台帳!$I$2:$I$2000,台帳!$A$2:$A$2000,$A74,台帳!$E$2:$E$2000,N$4)</f>
        <v>0</v>
      </c>
      <c r="O74" s="37">
        <f>SUMIFS(台帳!$I$2:$I$2000,台帳!$A$2:$A$2000,$A74,台帳!$D$2:$D$2000,"自社")</f>
        <v>0</v>
      </c>
      <c r="P74" s="37">
        <f>SUMIFS(台帳!$I$2:$I$2000,台帳!$A$2:$A$2000,$A74,台帳!$D$2:$D$2000,"業者")</f>
        <v>0</v>
      </c>
      <c r="Q74" s="37">
        <f>SUM(C74:N74)</f>
        <v>0</v>
      </c>
      <c r="R74" s="37">
        <f>R73+C74</f>
        <v>0</v>
      </c>
      <c r="S74" s="37">
        <f>S73+D74</f>
        <v>7</v>
      </c>
      <c r="T74" s="37">
        <f>T73+E74</f>
        <v>6</v>
      </c>
      <c r="U74" s="37">
        <f>U73+F74</f>
        <v>30</v>
      </c>
      <c r="V74" s="37">
        <f>V73+G74</f>
        <v>8</v>
      </c>
      <c r="W74" s="37">
        <f>W73+H74</f>
        <v>0</v>
      </c>
      <c r="X74" s="37">
        <f>X73+I74</f>
        <v>0</v>
      </c>
      <c r="Y74" s="37">
        <f>Y73+J74</f>
        <v>0</v>
      </c>
      <c r="Z74" s="37">
        <f>Z73+K74</f>
        <v>0</v>
      </c>
      <c r="AA74" s="37">
        <f>AA73+L74</f>
        <v>0</v>
      </c>
      <c r="AB74" s="37">
        <f>AB73+M74</f>
        <v>0</v>
      </c>
      <c r="AC74" s="37">
        <f>AC73+N74</f>
        <v>0</v>
      </c>
      <c r="AD74" s="37">
        <f>AD73+O74</f>
        <v>21</v>
      </c>
      <c r="AE74" s="37">
        <f>AE73+P74</f>
        <v>30</v>
      </c>
      <c r="AF74" s="37">
        <f>AF73+Q74</f>
        <v>51</v>
      </c>
      <c r="AG74" s="38" t="str">
        <f>IFERROR(INDEX(台帳!$H$2:$H$2000,MATCH($A74,台帳!$A$2:$A$2000,0)),"")</f>
        <v>台風のため作業中断</v>
      </c>
    </row>
    <row r="75" spans="1:33" ht="15.75" x14ac:dyDescent="0.25">
      <c r="A75" s="31">
        <v>46202</v>
      </c>
      <c r="B75" s="32" t="str">
        <f>CHOOSE(WEEKDAY(A75),"日","月","火","水","木","金","土")</f>
        <v>月</v>
      </c>
      <c r="C75" s="33">
        <f>SUMIFS(台帳!$I$2:$I$2000,台帳!$A$2:$A$2000,$A75,台帳!$E$2:$E$2000,C$4)</f>
        <v>0</v>
      </c>
      <c r="D75" s="33">
        <f>SUMIFS(台帳!$I$2:$I$2000,台帳!$A$2:$A$2000,$A75,台帳!$E$2:$E$2000,D$4)</f>
        <v>0</v>
      </c>
      <c r="E75" s="33">
        <f>SUMIFS(台帳!$I$2:$I$2000,台帳!$A$2:$A$2000,$A75,台帳!$E$2:$E$2000,E$4)</f>
        <v>0</v>
      </c>
      <c r="F75" s="33">
        <f>SUMIFS(台帳!$I$2:$I$2000,台帳!$A$2:$A$2000,$A75,台帳!$E$2:$E$2000,F$4)</f>
        <v>0</v>
      </c>
      <c r="G75" s="33">
        <f>SUMIFS(台帳!$I$2:$I$2000,台帳!$A$2:$A$2000,$A75,台帳!$E$2:$E$2000,G$4)</f>
        <v>4</v>
      </c>
      <c r="H75" s="33">
        <f>SUMIFS(台帳!$I$2:$I$2000,台帳!$A$2:$A$2000,$A75,台帳!$E$2:$E$2000,H$4)</f>
        <v>0</v>
      </c>
      <c r="I75" s="33">
        <f>SUMIFS(台帳!$I$2:$I$2000,台帳!$A$2:$A$2000,$A75,台帳!$E$2:$E$2000,I$4)</f>
        <v>0</v>
      </c>
      <c r="J75" s="33">
        <f>SUMIFS(台帳!$I$2:$I$2000,台帳!$A$2:$A$2000,$A75,台帳!$E$2:$E$2000,J$4)</f>
        <v>0</v>
      </c>
      <c r="K75" s="33">
        <f>SUMIFS(台帳!$I$2:$I$2000,台帳!$A$2:$A$2000,$A75,台帳!$E$2:$E$2000,K$4)</f>
        <v>0</v>
      </c>
      <c r="L75" s="33">
        <f>SUMIFS(台帳!$I$2:$I$2000,台帳!$A$2:$A$2000,$A75,台帳!$E$2:$E$2000,L$4)</f>
        <v>0</v>
      </c>
      <c r="M75" s="33">
        <f>SUMIFS(台帳!$I$2:$I$2000,台帳!$A$2:$A$2000,$A75,台帳!$E$2:$E$2000,M$4)</f>
        <v>0</v>
      </c>
      <c r="N75" s="33">
        <f>SUMIFS(台帳!$I$2:$I$2000,台帳!$A$2:$A$2000,$A75,台帳!$E$2:$E$2000,N$4)</f>
        <v>0</v>
      </c>
      <c r="O75" s="33">
        <f>SUMIFS(台帳!$I$2:$I$2000,台帳!$A$2:$A$2000,$A75,台帳!$D$2:$D$2000,"自社")</f>
        <v>4</v>
      </c>
      <c r="P75" s="33">
        <f>SUMIFS(台帳!$I$2:$I$2000,台帳!$A$2:$A$2000,$A75,台帳!$D$2:$D$2000,"業者")</f>
        <v>0</v>
      </c>
      <c r="Q75" s="33">
        <f>SUM(C75:N75)</f>
        <v>4</v>
      </c>
      <c r="R75" s="33">
        <f>R74+C75</f>
        <v>0</v>
      </c>
      <c r="S75" s="33">
        <f>S74+D75</f>
        <v>7</v>
      </c>
      <c r="T75" s="33">
        <f>T74+E75</f>
        <v>6</v>
      </c>
      <c r="U75" s="33">
        <f>U74+F75</f>
        <v>30</v>
      </c>
      <c r="V75" s="33">
        <f>V74+G75</f>
        <v>12</v>
      </c>
      <c r="W75" s="33">
        <f>W74+H75</f>
        <v>0</v>
      </c>
      <c r="X75" s="33">
        <f>X74+I75</f>
        <v>0</v>
      </c>
      <c r="Y75" s="33">
        <f>Y74+J75</f>
        <v>0</v>
      </c>
      <c r="Z75" s="33">
        <f>Z74+K75</f>
        <v>0</v>
      </c>
      <c r="AA75" s="33">
        <f>AA74+L75</f>
        <v>0</v>
      </c>
      <c r="AB75" s="33">
        <f>AB74+M75</f>
        <v>0</v>
      </c>
      <c r="AC75" s="33">
        <f>AC74+N75</f>
        <v>0</v>
      </c>
      <c r="AD75" s="33">
        <f>AD74+O75</f>
        <v>25</v>
      </c>
      <c r="AE75" s="33">
        <f>AE74+P75</f>
        <v>30</v>
      </c>
      <c r="AF75" s="33">
        <f>AF74+Q75</f>
        <v>55</v>
      </c>
      <c r="AG75" s="34" t="str">
        <f>IFERROR(INDEX(台帳!$H$2:$H$2000,MATCH($A75,台帳!$A$2:$A$2000,0)),"")</f>
        <v>残りの掘削、白蟻防除散布・土壌処理、土間防湿ポリシート敷込み、捨てコン打設2m3</v>
      </c>
    </row>
    <row r="76" spans="1:33" ht="15.75" x14ac:dyDescent="0.25">
      <c r="A76" s="31">
        <v>46203</v>
      </c>
      <c r="B76" s="32" t="str">
        <f>CHOOSE(WEEKDAY(A76),"日","月","火","水","木","金","土")</f>
        <v>火</v>
      </c>
      <c r="C76" s="33">
        <f>SUMIFS(台帳!$I$2:$I$2000,台帳!$A$2:$A$2000,$A76,台帳!$E$2:$E$2000,C$4)</f>
        <v>0</v>
      </c>
      <c r="D76" s="33">
        <f>SUMIFS(台帳!$I$2:$I$2000,台帳!$A$2:$A$2000,$A76,台帳!$E$2:$E$2000,D$4)</f>
        <v>0</v>
      </c>
      <c r="E76" s="33">
        <f>SUMIFS(台帳!$I$2:$I$2000,台帳!$A$2:$A$2000,$A76,台帳!$E$2:$E$2000,E$4)</f>
        <v>0</v>
      </c>
      <c r="F76" s="33">
        <f>SUMIFS(台帳!$I$2:$I$2000,台帳!$A$2:$A$2000,$A76,台帳!$E$2:$E$2000,F$4)</f>
        <v>0</v>
      </c>
      <c r="G76" s="33">
        <f>SUMIFS(台帳!$I$2:$I$2000,台帳!$A$2:$A$2000,$A76,台帳!$E$2:$E$2000,G$4)</f>
        <v>3</v>
      </c>
      <c r="H76" s="33">
        <f>SUMIFS(台帳!$I$2:$I$2000,台帳!$A$2:$A$2000,$A76,台帳!$E$2:$E$2000,H$4)</f>
        <v>0</v>
      </c>
      <c r="I76" s="33">
        <f>SUMIFS(台帳!$I$2:$I$2000,台帳!$A$2:$A$2000,$A76,台帳!$E$2:$E$2000,I$4)</f>
        <v>0</v>
      </c>
      <c r="J76" s="33">
        <f>SUMIFS(台帳!$I$2:$I$2000,台帳!$A$2:$A$2000,$A76,台帳!$E$2:$E$2000,J$4)</f>
        <v>0</v>
      </c>
      <c r="K76" s="33">
        <f>SUMIFS(台帳!$I$2:$I$2000,台帳!$A$2:$A$2000,$A76,台帳!$E$2:$E$2000,K$4)</f>
        <v>0</v>
      </c>
      <c r="L76" s="33">
        <f>SUMIFS(台帳!$I$2:$I$2000,台帳!$A$2:$A$2000,$A76,台帳!$E$2:$E$2000,L$4)</f>
        <v>0</v>
      </c>
      <c r="M76" s="33">
        <f>SUMIFS(台帳!$I$2:$I$2000,台帳!$A$2:$A$2000,$A76,台帳!$E$2:$E$2000,M$4)</f>
        <v>0</v>
      </c>
      <c r="N76" s="33">
        <f>SUMIFS(台帳!$I$2:$I$2000,台帳!$A$2:$A$2000,$A76,台帳!$E$2:$E$2000,N$4)</f>
        <v>0</v>
      </c>
      <c r="O76" s="33">
        <f>SUMIFS(台帳!$I$2:$I$2000,台帳!$A$2:$A$2000,$A76,台帳!$D$2:$D$2000,"自社")</f>
        <v>3</v>
      </c>
      <c r="P76" s="33">
        <f>SUMIFS(台帳!$I$2:$I$2000,台帳!$A$2:$A$2000,$A76,台帳!$D$2:$D$2000,"業者")</f>
        <v>0</v>
      </c>
      <c r="Q76" s="33">
        <f>SUM(C76:N76)</f>
        <v>3</v>
      </c>
      <c r="R76" s="33">
        <f>R75+C76</f>
        <v>0</v>
      </c>
      <c r="S76" s="33">
        <f>S75+D76</f>
        <v>7</v>
      </c>
      <c r="T76" s="33">
        <f>T75+E76</f>
        <v>6</v>
      </c>
      <c r="U76" s="33">
        <f>U75+F76</f>
        <v>30</v>
      </c>
      <c r="V76" s="33">
        <f>V75+G76</f>
        <v>15</v>
      </c>
      <c r="W76" s="33">
        <f>W75+H76</f>
        <v>0</v>
      </c>
      <c r="X76" s="33">
        <f>X75+I76</f>
        <v>0</v>
      </c>
      <c r="Y76" s="33">
        <f>Y75+J76</f>
        <v>0</v>
      </c>
      <c r="Z76" s="33">
        <f>Z75+K76</f>
        <v>0</v>
      </c>
      <c r="AA76" s="33">
        <f>AA75+L76</f>
        <v>0</v>
      </c>
      <c r="AB76" s="33">
        <f>AB75+M76</f>
        <v>0</v>
      </c>
      <c r="AC76" s="33">
        <f>AC75+N76</f>
        <v>0</v>
      </c>
      <c r="AD76" s="33">
        <f>AD75+O76</f>
        <v>28</v>
      </c>
      <c r="AE76" s="33">
        <f>AE75+P76</f>
        <v>30</v>
      </c>
      <c r="AF76" s="33">
        <f>AF75+Q76</f>
        <v>58</v>
      </c>
      <c r="AG76" s="34" t="str">
        <f>IFERROR(INDEX(台帳!$H$2:$H$2000,MATCH($A76,台帳!$A$2:$A$2000,0)),"")</f>
        <v>基礎建物位置墨出し、基礎外回り型枠組</v>
      </c>
    </row>
    <row r="77" spans="1:33" ht="15.75" x14ac:dyDescent="0.25">
      <c r="A77" s="31">
        <v>46204</v>
      </c>
      <c r="B77" s="32" t="str">
        <f>CHOOSE(WEEKDAY(A77),"日","月","火","水","木","金","土")</f>
        <v>水</v>
      </c>
      <c r="C77" s="33">
        <f>SUMIFS(台帳!$I$2:$I$2000,台帳!$A$2:$A$2000,$A77,台帳!$E$2:$E$2000,C$4)</f>
        <v>0</v>
      </c>
      <c r="D77" s="33">
        <f>SUMIFS(台帳!$I$2:$I$2000,台帳!$A$2:$A$2000,$A77,台帳!$E$2:$E$2000,D$4)</f>
        <v>0</v>
      </c>
      <c r="E77" s="33">
        <f>SUMIFS(台帳!$I$2:$I$2000,台帳!$A$2:$A$2000,$A77,台帳!$E$2:$E$2000,E$4)</f>
        <v>0</v>
      </c>
      <c r="F77" s="33">
        <f>SUMIFS(台帳!$I$2:$I$2000,台帳!$A$2:$A$2000,$A77,台帳!$E$2:$E$2000,F$4)</f>
        <v>0</v>
      </c>
      <c r="G77" s="33">
        <f>SUMIFS(台帳!$I$2:$I$2000,台帳!$A$2:$A$2000,$A77,台帳!$E$2:$E$2000,G$4)</f>
        <v>4</v>
      </c>
      <c r="H77" s="33">
        <f>SUMIFS(台帳!$I$2:$I$2000,台帳!$A$2:$A$2000,$A77,台帳!$E$2:$E$2000,H$4)</f>
        <v>0</v>
      </c>
      <c r="I77" s="33">
        <f>SUMIFS(台帳!$I$2:$I$2000,台帳!$A$2:$A$2000,$A77,台帳!$E$2:$E$2000,I$4)</f>
        <v>0</v>
      </c>
      <c r="J77" s="33">
        <f>SUMIFS(台帳!$I$2:$I$2000,台帳!$A$2:$A$2000,$A77,台帳!$E$2:$E$2000,J$4)</f>
        <v>0</v>
      </c>
      <c r="K77" s="33">
        <f>SUMIFS(台帳!$I$2:$I$2000,台帳!$A$2:$A$2000,$A77,台帳!$E$2:$E$2000,K$4)</f>
        <v>0</v>
      </c>
      <c r="L77" s="33">
        <f>SUMIFS(台帳!$I$2:$I$2000,台帳!$A$2:$A$2000,$A77,台帳!$E$2:$E$2000,L$4)</f>
        <v>0</v>
      </c>
      <c r="M77" s="33">
        <f>SUMIFS(台帳!$I$2:$I$2000,台帳!$A$2:$A$2000,$A77,台帳!$E$2:$E$2000,M$4)</f>
        <v>0</v>
      </c>
      <c r="N77" s="33">
        <f>SUMIFS(台帳!$I$2:$I$2000,台帳!$A$2:$A$2000,$A77,台帳!$E$2:$E$2000,N$4)</f>
        <v>0</v>
      </c>
      <c r="O77" s="33">
        <f>SUMIFS(台帳!$I$2:$I$2000,台帳!$A$2:$A$2000,$A77,台帳!$D$2:$D$2000,"自社")</f>
        <v>2</v>
      </c>
      <c r="P77" s="33">
        <f>SUMIFS(台帳!$I$2:$I$2000,台帳!$A$2:$A$2000,$A77,台帳!$D$2:$D$2000,"業者")</f>
        <v>2</v>
      </c>
      <c r="Q77" s="33">
        <f>SUM(C77:N77)</f>
        <v>4</v>
      </c>
      <c r="R77" s="33">
        <f>R76+C77</f>
        <v>0</v>
      </c>
      <c r="S77" s="33">
        <f>S76+D77</f>
        <v>7</v>
      </c>
      <c r="T77" s="33">
        <f>T76+E77</f>
        <v>6</v>
      </c>
      <c r="U77" s="33">
        <f>U76+F77</f>
        <v>30</v>
      </c>
      <c r="V77" s="33">
        <f>V76+G77</f>
        <v>19</v>
      </c>
      <c r="W77" s="33">
        <f>W76+H77</f>
        <v>0</v>
      </c>
      <c r="X77" s="33">
        <f>X76+I77</f>
        <v>0</v>
      </c>
      <c r="Y77" s="33">
        <f>Y76+J77</f>
        <v>0</v>
      </c>
      <c r="Z77" s="33">
        <f>Z76+K77</f>
        <v>0</v>
      </c>
      <c r="AA77" s="33">
        <f>AA76+L77</f>
        <v>0</v>
      </c>
      <c r="AB77" s="33">
        <f>AB76+M77</f>
        <v>0</v>
      </c>
      <c r="AC77" s="33">
        <f>AC76+N77</f>
        <v>0</v>
      </c>
      <c r="AD77" s="33">
        <f>AD76+O77</f>
        <v>30</v>
      </c>
      <c r="AE77" s="33">
        <f>AE76+P77</f>
        <v>32</v>
      </c>
      <c r="AF77" s="33">
        <f>AF76+Q77</f>
        <v>62</v>
      </c>
      <c r="AG77" s="34" t="str">
        <f>IFERROR(INDEX(台帳!$H$2:$H$2000,MATCH($A77,台帳!$A$2:$A$2000,0)),"")</f>
        <v>基礎底盤型枠組</v>
      </c>
    </row>
    <row r="78" spans="1:33" ht="15.75" x14ac:dyDescent="0.25">
      <c r="A78" s="31">
        <v>46205</v>
      </c>
      <c r="B78" s="32" t="str">
        <f>CHOOSE(WEEKDAY(A78),"日","月","火","水","木","金","土")</f>
        <v>木</v>
      </c>
      <c r="C78" s="33">
        <f>SUMIFS(台帳!$I$2:$I$2000,台帳!$A$2:$A$2000,$A78,台帳!$E$2:$E$2000,C$4)</f>
        <v>0</v>
      </c>
      <c r="D78" s="33">
        <f>SUMIFS(台帳!$I$2:$I$2000,台帳!$A$2:$A$2000,$A78,台帳!$E$2:$E$2000,D$4)</f>
        <v>0</v>
      </c>
      <c r="E78" s="33">
        <f>SUMIFS(台帳!$I$2:$I$2000,台帳!$A$2:$A$2000,$A78,台帳!$E$2:$E$2000,E$4)</f>
        <v>0</v>
      </c>
      <c r="F78" s="33">
        <f>SUMIFS(台帳!$I$2:$I$2000,台帳!$A$2:$A$2000,$A78,台帳!$E$2:$E$2000,F$4)</f>
        <v>0</v>
      </c>
      <c r="G78" s="33">
        <f>SUMIFS(台帳!$I$2:$I$2000,台帳!$A$2:$A$2000,$A78,台帳!$E$2:$E$2000,G$4)</f>
        <v>2</v>
      </c>
      <c r="H78" s="33">
        <f>SUMIFS(台帳!$I$2:$I$2000,台帳!$A$2:$A$2000,$A78,台帳!$E$2:$E$2000,H$4)</f>
        <v>0</v>
      </c>
      <c r="I78" s="33">
        <f>SUMIFS(台帳!$I$2:$I$2000,台帳!$A$2:$A$2000,$A78,台帳!$E$2:$E$2000,I$4)</f>
        <v>0</v>
      </c>
      <c r="J78" s="33">
        <f>SUMIFS(台帳!$I$2:$I$2000,台帳!$A$2:$A$2000,$A78,台帳!$E$2:$E$2000,J$4)</f>
        <v>0</v>
      </c>
      <c r="K78" s="33">
        <f>SUMIFS(台帳!$I$2:$I$2000,台帳!$A$2:$A$2000,$A78,台帳!$E$2:$E$2000,K$4)</f>
        <v>0</v>
      </c>
      <c r="L78" s="33">
        <f>SUMIFS(台帳!$I$2:$I$2000,台帳!$A$2:$A$2000,$A78,台帳!$E$2:$E$2000,L$4)</f>
        <v>0</v>
      </c>
      <c r="M78" s="33">
        <f>SUMIFS(台帳!$I$2:$I$2000,台帳!$A$2:$A$2000,$A78,台帳!$E$2:$E$2000,M$4)</f>
        <v>0</v>
      </c>
      <c r="N78" s="33">
        <f>SUMIFS(台帳!$I$2:$I$2000,台帳!$A$2:$A$2000,$A78,台帳!$E$2:$E$2000,N$4)</f>
        <v>0</v>
      </c>
      <c r="O78" s="33">
        <f>SUMIFS(台帳!$I$2:$I$2000,台帳!$A$2:$A$2000,$A78,台帳!$D$2:$D$2000,"自社")</f>
        <v>2</v>
      </c>
      <c r="P78" s="33">
        <f>SUMIFS(台帳!$I$2:$I$2000,台帳!$A$2:$A$2000,$A78,台帳!$D$2:$D$2000,"業者")</f>
        <v>0</v>
      </c>
      <c r="Q78" s="33">
        <f>SUM(C78:N78)</f>
        <v>2</v>
      </c>
      <c r="R78" s="33">
        <f>R77+C78</f>
        <v>0</v>
      </c>
      <c r="S78" s="33">
        <f>S77+D78</f>
        <v>7</v>
      </c>
      <c r="T78" s="33">
        <f>T77+E78</f>
        <v>6</v>
      </c>
      <c r="U78" s="33">
        <f>U77+F78</f>
        <v>30</v>
      </c>
      <c r="V78" s="33">
        <f>V77+G78</f>
        <v>21</v>
      </c>
      <c r="W78" s="33">
        <f>W77+H78</f>
        <v>0</v>
      </c>
      <c r="X78" s="33">
        <f>X77+I78</f>
        <v>0</v>
      </c>
      <c r="Y78" s="33">
        <f>Y77+J78</f>
        <v>0</v>
      </c>
      <c r="Z78" s="33">
        <f>Z77+K78</f>
        <v>0</v>
      </c>
      <c r="AA78" s="33">
        <f>AA77+L78</f>
        <v>0</v>
      </c>
      <c r="AB78" s="33">
        <f>AB77+M78</f>
        <v>0</v>
      </c>
      <c r="AC78" s="33">
        <f>AC77+N78</f>
        <v>0</v>
      </c>
      <c r="AD78" s="33">
        <f>AD77+O78</f>
        <v>32</v>
      </c>
      <c r="AE78" s="33">
        <f>AE77+P78</f>
        <v>32</v>
      </c>
      <c r="AF78" s="33">
        <f>AF77+Q78</f>
        <v>64</v>
      </c>
      <c r="AG78" s="34" t="str">
        <f>IFERROR(INDEX(台帳!$H$2:$H$2000,MATCH($A78,台帳!$A$2:$A$2000,0)),"")</f>
        <v>底盤型枠組</v>
      </c>
    </row>
    <row r="79" spans="1:33" ht="15.75" x14ac:dyDescent="0.25">
      <c r="A79" s="31">
        <v>46206</v>
      </c>
      <c r="B79" s="32" t="str">
        <f>CHOOSE(WEEKDAY(A79),"日","月","火","水","木","金","土")</f>
        <v>金</v>
      </c>
      <c r="C79" s="33">
        <f>SUMIFS(台帳!$I$2:$I$2000,台帳!$A$2:$A$2000,$A79,台帳!$E$2:$E$2000,C$4)</f>
        <v>0</v>
      </c>
      <c r="D79" s="33">
        <f>SUMIFS(台帳!$I$2:$I$2000,台帳!$A$2:$A$2000,$A79,台帳!$E$2:$E$2000,D$4)</f>
        <v>0</v>
      </c>
      <c r="E79" s="33">
        <f>SUMIFS(台帳!$I$2:$I$2000,台帳!$A$2:$A$2000,$A79,台帳!$E$2:$E$2000,E$4)</f>
        <v>0</v>
      </c>
      <c r="F79" s="33">
        <f>SUMIFS(台帳!$I$2:$I$2000,台帳!$A$2:$A$2000,$A79,台帳!$E$2:$E$2000,F$4)</f>
        <v>0</v>
      </c>
      <c r="G79" s="33">
        <f>SUMIFS(台帳!$I$2:$I$2000,台帳!$A$2:$A$2000,$A79,台帳!$E$2:$E$2000,G$4)</f>
        <v>6</v>
      </c>
      <c r="H79" s="33">
        <f>SUMIFS(台帳!$I$2:$I$2000,台帳!$A$2:$A$2000,$A79,台帳!$E$2:$E$2000,H$4)</f>
        <v>0</v>
      </c>
      <c r="I79" s="33">
        <f>SUMIFS(台帳!$I$2:$I$2000,台帳!$A$2:$A$2000,$A79,台帳!$E$2:$E$2000,I$4)</f>
        <v>0</v>
      </c>
      <c r="J79" s="33">
        <f>SUMIFS(台帳!$I$2:$I$2000,台帳!$A$2:$A$2000,$A79,台帳!$E$2:$E$2000,J$4)</f>
        <v>0</v>
      </c>
      <c r="K79" s="33">
        <f>SUMIFS(台帳!$I$2:$I$2000,台帳!$A$2:$A$2000,$A79,台帳!$E$2:$E$2000,K$4)</f>
        <v>0</v>
      </c>
      <c r="L79" s="33">
        <f>SUMIFS(台帳!$I$2:$I$2000,台帳!$A$2:$A$2000,$A79,台帳!$E$2:$E$2000,L$4)</f>
        <v>0</v>
      </c>
      <c r="M79" s="33">
        <f>SUMIFS(台帳!$I$2:$I$2000,台帳!$A$2:$A$2000,$A79,台帳!$E$2:$E$2000,M$4)</f>
        <v>0</v>
      </c>
      <c r="N79" s="33">
        <f>SUMIFS(台帳!$I$2:$I$2000,台帳!$A$2:$A$2000,$A79,台帳!$E$2:$E$2000,N$4)</f>
        <v>0</v>
      </c>
      <c r="O79" s="33">
        <f>SUMIFS(台帳!$I$2:$I$2000,台帳!$A$2:$A$2000,$A79,台帳!$D$2:$D$2000,"自社")</f>
        <v>3</v>
      </c>
      <c r="P79" s="33">
        <f>SUMIFS(台帳!$I$2:$I$2000,台帳!$A$2:$A$2000,$A79,台帳!$D$2:$D$2000,"業者")</f>
        <v>3</v>
      </c>
      <c r="Q79" s="33">
        <f>SUM(C79:N79)</f>
        <v>6</v>
      </c>
      <c r="R79" s="33">
        <f>R78+C79</f>
        <v>0</v>
      </c>
      <c r="S79" s="33">
        <f>S78+D79</f>
        <v>7</v>
      </c>
      <c r="T79" s="33">
        <f>T78+E79</f>
        <v>6</v>
      </c>
      <c r="U79" s="33">
        <f>U78+F79</f>
        <v>30</v>
      </c>
      <c r="V79" s="33">
        <f>V78+G79</f>
        <v>27</v>
      </c>
      <c r="W79" s="33">
        <f>W78+H79</f>
        <v>0</v>
      </c>
      <c r="X79" s="33">
        <f>X78+I79</f>
        <v>0</v>
      </c>
      <c r="Y79" s="33">
        <f>Y78+J79</f>
        <v>0</v>
      </c>
      <c r="Z79" s="33">
        <f>Z78+K79</f>
        <v>0</v>
      </c>
      <c r="AA79" s="33">
        <f>AA78+L79</f>
        <v>0</v>
      </c>
      <c r="AB79" s="33">
        <f>AB78+M79</f>
        <v>0</v>
      </c>
      <c r="AC79" s="33">
        <f>AC78+N79</f>
        <v>0</v>
      </c>
      <c r="AD79" s="33">
        <f>AD78+O79</f>
        <v>35</v>
      </c>
      <c r="AE79" s="33">
        <f>AE78+P79</f>
        <v>35</v>
      </c>
      <c r="AF79" s="33">
        <f>AF78+Q79</f>
        <v>70</v>
      </c>
      <c r="AG79" s="34" t="str">
        <f>IFERROR(INDEX(台帳!$H$2:$H$2000,MATCH($A79,台帳!$A$2:$A$2000,0)),"")</f>
        <v>基礎底盤打設（生コン24m3）</v>
      </c>
    </row>
    <row r="80" spans="1:33" ht="15.75" x14ac:dyDescent="0.25">
      <c r="A80" s="35">
        <v>46207</v>
      </c>
      <c r="B80" s="36" t="str">
        <f>CHOOSE(WEEKDAY(A80),"日","月","火","水","木","金","土")</f>
        <v>土</v>
      </c>
      <c r="C80" s="37">
        <f>SUMIFS(台帳!$I$2:$I$2000,台帳!$A$2:$A$2000,$A80,台帳!$E$2:$E$2000,C$4)</f>
        <v>0</v>
      </c>
      <c r="D80" s="37">
        <f>SUMIFS(台帳!$I$2:$I$2000,台帳!$A$2:$A$2000,$A80,台帳!$E$2:$E$2000,D$4)</f>
        <v>0</v>
      </c>
      <c r="E80" s="37">
        <f>SUMIFS(台帳!$I$2:$I$2000,台帳!$A$2:$A$2000,$A80,台帳!$E$2:$E$2000,E$4)</f>
        <v>0</v>
      </c>
      <c r="F80" s="37">
        <f>SUMIFS(台帳!$I$2:$I$2000,台帳!$A$2:$A$2000,$A80,台帳!$E$2:$E$2000,F$4)</f>
        <v>0</v>
      </c>
      <c r="G80" s="37">
        <f>SUMIFS(台帳!$I$2:$I$2000,台帳!$A$2:$A$2000,$A80,台帳!$E$2:$E$2000,G$4)</f>
        <v>5</v>
      </c>
      <c r="H80" s="37">
        <f>SUMIFS(台帳!$I$2:$I$2000,台帳!$A$2:$A$2000,$A80,台帳!$E$2:$E$2000,H$4)</f>
        <v>0</v>
      </c>
      <c r="I80" s="37">
        <f>SUMIFS(台帳!$I$2:$I$2000,台帳!$A$2:$A$2000,$A80,台帳!$E$2:$E$2000,I$4)</f>
        <v>0</v>
      </c>
      <c r="J80" s="37">
        <f>SUMIFS(台帳!$I$2:$I$2000,台帳!$A$2:$A$2000,$A80,台帳!$E$2:$E$2000,J$4)</f>
        <v>0</v>
      </c>
      <c r="K80" s="37">
        <f>SUMIFS(台帳!$I$2:$I$2000,台帳!$A$2:$A$2000,$A80,台帳!$E$2:$E$2000,K$4)</f>
        <v>0</v>
      </c>
      <c r="L80" s="37">
        <f>SUMIFS(台帳!$I$2:$I$2000,台帳!$A$2:$A$2000,$A80,台帳!$E$2:$E$2000,L$4)</f>
        <v>0</v>
      </c>
      <c r="M80" s="37">
        <f>SUMIFS(台帳!$I$2:$I$2000,台帳!$A$2:$A$2000,$A80,台帳!$E$2:$E$2000,M$4)</f>
        <v>0</v>
      </c>
      <c r="N80" s="37">
        <f>SUMIFS(台帳!$I$2:$I$2000,台帳!$A$2:$A$2000,$A80,台帳!$E$2:$E$2000,N$4)</f>
        <v>0</v>
      </c>
      <c r="O80" s="37">
        <f>SUMIFS(台帳!$I$2:$I$2000,台帳!$A$2:$A$2000,$A80,台帳!$D$2:$D$2000,"自社")</f>
        <v>5</v>
      </c>
      <c r="P80" s="37">
        <f>SUMIFS(台帳!$I$2:$I$2000,台帳!$A$2:$A$2000,$A80,台帳!$D$2:$D$2000,"業者")</f>
        <v>0</v>
      </c>
      <c r="Q80" s="37">
        <f>SUM(C80:N80)</f>
        <v>5</v>
      </c>
      <c r="R80" s="37">
        <f>R79+C80</f>
        <v>0</v>
      </c>
      <c r="S80" s="37">
        <f>S79+D80</f>
        <v>7</v>
      </c>
      <c r="T80" s="37">
        <f>T79+E80</f>
        <v>6</v>
      </c>
      <c r="U80" s="37">
        <f>U79+F80</f>
        <v>30</v>
      </c>
      <c r="V80" s="37">
        <f>V79+G80</f>
        <v>32</v>
      </c>
      <c r="W80" s="37">
        <f>W79+H80</f>
        <v>0</v>
      </c>
      <c r="X80" s="37">
        <f>X79+I80</f>
        <v>0</v>
      </c>
      <c r="Y80" s="37">
        <f>Y79+J80</f>
        <v>0</v>
      </c>
      <c r="Z80" s="37">
        <f>Z79+K80</f>
        <v>0</v>
      </c>
      <c r="AA80" s="37">
        <f>AA79+L80</f>
        <v>0</v>
      </c>
      <c r="AB80" s="37">
        <f>AB79+M80</f>
        <v>0</v>
      </c>
      <c r="AC80" s="37">
        <f>AC79+N80</f>
        <v>0</v>
      </c>
      <c r="AD80" s="37">
        <f>AD79+O80</f>
        <v>40</v>
      </c>
      <c r="AE80" s="37">
        <f>AE79+P80</f>
        <v>35</v>
      </c>
      <c r="AF80" s="37">
        <f>AF79+Q80</f>
        <v>75</v>
      </c>
      <c r="AG80" s="38" t="str">
        <f>IFERROR(INDEX(台帳!$H$2:$H$2000,MATCH($A80,台帳!$A$2:$A$2000,0)),"")</f>
        <v>基礎墨出し及び型枠組</v>
      </c>
    </row>
    <row r="81" spans="1:33" ht="15.75" x14ac:dyDescent="0.25">
      <c r="A81" s="35">
        <v>46208</v>
      </c>
      <c r="B81" s="36" t="str">
        <f>CHOOSE(WEEKDAY(A81),"日","月","火","水","木","金","土")</f>
        <v>日</v>
      </c>
      <c r="C81" s="37">
        <f>SUMIFS(台帳!$I$2:$I$2000,台帳!$A$2:$A$2000,$A81,台帳!$E$2:$E$2000,C$4)</f>
        <v>0</v>
      </c>
      <c r="D81" s="37">
        <f>SUMIFS(台帳!$I$2:$I$2000,台帳!$A$2:$A$2000,$A81,台帳!$E$2:$E$2000,D$4)</f>
        <v>0</v>
      </c>
      <c r="E81" s="37">
        <f>SUMIFS(台帳!$I$2:$I$2000,台帳!$A$2:$A$2000,$A81,台帳!$E$2:$E$2000,E$4)</f>
        <v>0</v>
      </c>
      <c r="F81" s="37">
        <f>SUMIFS(台帳!$I$2:$I$2000,台帳!$A$2:$A$2000,$A81,台帳!$E$2:$E$2000,F$4)</f>
        <v>0</v>
      </c>
      <c r="G81" s="37">
        <f>SUMIFS(台帳!$I$2:$I$2000,台帳!$A$2:$A$2000,$A81,台帳!$E$2:$E$2000,G$4)</f>
        <v>0</v>
      </c>
      <c r="H81" s="37">
        <f>SUMIFS(台帳!$I$2:$I$2000,台帳!$A$2:$A$2000,$A81,台帳!$E$2:$E$2000,H$4)</f>
        <v>0</v>
      </c>
      <c r="I81" s="37">
        <f>SUMIFS(台帳!$I$2:$I$2000,台帳!$A$2:$A$2000,$A81,台帳!$E$2:$E$2000,I$4)</f>
        <v>0</v>
      </c>
      <c r="J81" s="37">
        <f>SUMIFS(台帳!$I$2:$I$2000,台帳!$A$2:$A$2000,$A81,台帳!$E$2:$E$2000,J$4)</f>
        <v>0</v>
      </c>
      <c r="K81" s="37">
        <f>SUMIFS(台帳!$I$2:$I$2000,台帳!$A$2:$A$2000,$A81,台帳!$E$2:$E$2000,K$4)</f>
        <v>0</v>
      </c>
      <c r="L81" s="37">
        <f>SUMIFS(台帳!$I$2:$I$2000,台帳!$A$2:$A$2000,$A81,台帳!$E$2:$E$2000,L$4)</f>
        <v>0</v>
      </c>
      <c r="M81" s="37">
        <f>SUMIFS(台帳!$I$2:$I$2000,台帳!$A$2:$A$2000,$A81,台帳!$E$2:$E$2000,M$4)</f>
        <v>0</v>
      </c>
      <c r="N81" s="37">
        <f>SUMIFS(台帳!$I$2:$I$2000,台帳!$A$2:$A$2000,$A81,台帳!$E$2:$E$2000,N$4)</f>
        <v>0</v>
      </c>
      <c r="O81" s="37">
        <f>SUMIFS(台帳!$I$2:$I$2000,台帳!$A$2:$A$2000,$A81,台帳!$D$2:$D$2000,"自社")</f>
        <v>0</v>
      </c>
      <c r="P81" s="37">
        <f>SUMIFS(台帳!$I$2:$I$2000,台帳!$A$2:$A$2000,$A81,台帳!$D$2:$D$2000,"業者")</f>
        <v>0</v>
      </c>
      <c r="Q81" s="37">
        <f>SUM(C81:N81)</f>
        <v>0</v>
      </c>
      <c r="R81" s="37">
        <f>R80+C81</f>
        <v>0</v>
      </c>
      <c r="S81" s="37">
        <f>S80+D81</f>
        <v>7</v>
      </c>
      <c r="T81" s="37">
        <f>T80+E81</f>
        <v>6</v>
      </c>
      <c r="U81" s="37">
        <f>U80+F81</f>
        <v>30</v>
      </c>
      <c r="V81" s="37">
        <f>V80+G81</f>
        <v>32</v>
      </c>
      <c r="W81" s="37">
        <f>W80+H81</f>
        <v>0</v>
      </c>
      <c r="X81" s="37">
        <f>X80+I81</f>
        <v>0</v>
      </c>
      <c r="Y81" s="37">
        <f>Y80+J81</f>
        <v>0</v>
      </c>
      <c r="Z81" s="37">
        <f>Z80+K81</f>
        <v>0</v>
      </c>
      <c r="AA81" s="37">
        <f>AA80+L81</f>
        <v>0</v>
      </c>
      <c r="AB81" s="37">
        <f>AB80+M81</f>
        <v>0</v>
      </c>
      <c r="AC81" s="37">
        <f>AC80+N81</f>
        <v>0</v>
      </c>
      <c r="AD81" s="37">
        <f>AD80+O81</f>
        <v>40</v>
      </c>
      <c r="AE81" s="37">
        <f>AE80+P81</f>
        <v>35</v>
      </c>
      <c r="AF81" s="37">
        <f>AF80+Q81</f>
        <v>75</v>
      </c>
      <c r="AG81" s="38" t="str">
        <f>IFERROR(INDEX(台帳!$H$2:$H$2000,MATCH($A81,台帳!$A$2:$A$2000,0)),"")</f>
        <v/>
      </c>
    </row>
    <row r="82" spans="1:33" ht="15.75" x14ac:dyDescent="0.25">
      <c r="A82" s="31">
        <v>46209</v>
      </c>
      <c r="B82" s="32" t="str">
        <f>CHOOSE(WEEKDAY(A82),"日","月","火","水","木","金","土")</f>
        <v>月</v>
      </c>
      <c r="C82" s="33">
        <f>SUMIFS(台帳!$I$2:$I$2000,台帳!$A$2:$A$2000,$A82,台帳!$E$2:$E$2000,C$4)</f>
        <v>0</v>
      </c>
      <c r="D82" s="33">
        <f>SUMIFS(台帳!$I$2:$I$2000,台帳!$A$2:$A$2000,$A82,台帳!$E$2:$E$2000,D$4)</f>
        <v>0</v>
      </c>
      <c r="E82" s="33">
        <f>SUMIFS(台帳!$I$2:$I$2000,台帳!$A$2:$A$2000,$A82,台帳!$E$2:$E$2000,E$4)</f>
        <v>0</v>
      </c>
      <c r="F82" s="33">
        <f>SUMIFS(台帳!$I$2:$I$2000,台帳!$A$2:$A$2000,$A82,台帳!$E$2:$E$2000,F$4)</f>
        <v>0</v>
      </c>
      <c r="G82" s="33">
        <f>SUMIFS(台帳!$I$2:$I$2000,台帳!$A$2:$A$2000,$A82,台帳!$E$2:$E$2000,G$4)</f>
        <v>4</v>
      </c>
      <c r="H82" s="33">
        <f>SUMIFS(台帳!$I$2:$I$2000,台帳!$A$2:$A$2000,$A82,台帳!$E$2:$E$2000,H$4)</f>
        <v>0</v>
      </c>
      <c r="I82" s="33">
        <f>SUMIFS(台帳!$I$2:$I$2000,台帳!$A$2:$A$2000,$A82,台帳!$E$2:$E$2000,I$4)</f>
        <v>0</v>
      </c>
      <c r="J82" s="33">
        <f>SUMIFS(台帳!$I$2:$I$2000,台帳!$A$2:$A$2000,$A82,台帳!$E$2:$E$2000,J$4)</f>
        <v>0</v>
      </c>
      <c r="K82" s="33">
        <f>SUMIFS(台帳!$I$2:$I$2000,台帳!$A$2:$A$2000,$A82,台帳!$E$2:$E$2000,K$4)</f>
        <v>0</v>
      </c>
      <c r="L82" s="33">
        <f>SUMIFS(台帳!$I$2:$I$2000,台帳!$A$2:$A$2000,$A82,台帳!$E$2:$E$2000,L$4)</f>
        <v>0</v>
      </c>
      <c r="M82" s="33">
        <f>SUMIFS(台帳!$I$2:$I$2000,台帳!$A$2:$A$2000,$A82,台帳!$E$2:$E$2000,M$4)</f>
        <v>0</v>
      </c>
      <c r="N82" s="33">
        <f>SUMIFS(台帳!$I$2:$I$2000,台帳!$A$2:$A$2000,$A82,台帳!$E$2:$E$2000,N$4)</f>
        <v>0</v>
      </c>
      <c r="O82" s="33">
        <f>SUMIFS(台帳!$I$2:$I$2000,台帳!$A$2:$A$2000,$A82,台帳!$D$2:$D$2000,"自社")</f>
        <v>4</v>
      </c>
      <c r="P82" s="33">
        <f>SUMIFS(台帳!$I$2:$I$2000,台帳!$A$2:$A$2000,$A82,台帳!$D$2:$D$2000,"業者")</f>
        <v>0</v>
      </c>
      <c r="Q82" s="33">
        <f>SUM(C82:N82)</f>
        <v>4</v>
      </c>
      <c r="R82" s="33">
        <f>R81+C82</f>
        <v>0</v>
      </c>
      <c r="S82" s="33">
        <f>S81+D82</f>
        <v>7</v>
      </c>
      <c r="T82" s="33">
        <f>T81+E82</f>
        <v>6</v>
      </c>
      <c r="U82" s="33">
        <f>U81+F82</f>
        <v>30</v>
      </c>
      <c r="V82" s="33">
        <f>V81+G82</f>
        <v>36</v>
      </c>
      <c r="W82" s="33">
        <f>W81+H82</f>
        <v>0</v>
      </c>
      <c r="X82" s="33">
        <f>X81+I82</f>
        <v>0</v>
      </c>
      <c r="Y82" s="33">
        <f>Y81+J82</f>
        <v>0</v>
      </c>
      <c r="Z82" s="33">
        <f>Z81+K82</f>
        <v>0</v>
      </c>
      <c r="AA82" s="33">
        <f>AA81+L82</f>
        <v>0</v>
      </c>
      <c r="AB82" s="33">
        <f>AB81+M82</f>
        <v>0</v>
      </c>
      <c r="AC82" s="33">
        <f>AC81+N82</f>
        <v>0</v>
      </c>
      <c r="AD82" s="33">
        <f>AD81+O82</f>
        <v>44</v>
      </c>
      <c r="AE82" s="33">
        <f>AE81+P82</f>
        <v>35</v>
      </c>
      <c r="AF82" s="33">
        <f>AF81+Q82</f>
        <v>79</v>
      </c>
      <c r="AG82" s="34" t="str">
        <f>IFERROR(INDEX(台帳!$H$2:$H$2000,MATCH($A82,台帳!$A$2:$A$2000,0)),"")</f>
        <v>基礎型枠組</v>
      </c>
    </row>
    <row r="83" spans="1:33" ht="15.75" x14ac:dyDescent="0.25">
      <c r="A83" s="31">
        <v>46210</v>
      </c>
      <c r="B83" s="32" t="str">
        <f>CHOOSE(WEEKDAY(A83),"日","月","火","水","木","金","土")</f>
        <v>火</v>
      </c>
      <c r="C83" s="33">
        <f>SUMIFS(台帳!$I$2:$I$2000,台帳!$A$2:$A$2000,$A83,台帳!$E$2:$E$2000,C$4)</f>
        <v>0</v>
      </c>
      <c r="D83" s="33">
        <f>SUMIFS(台帳!$I$2:$I$2000,台帳!$A$2:$A$2000,$A83,台帳!$E$2:$E$2000,D$4)</f>
        <v>0</v>
      </c>
      <c r="E83" s="33">
        <f>SUMIFS(台帳!$I$2:$I$2000,台帳!$A$2:$A$2000,$A83,台帳!$E$2:$E$2000,E$4)</f>
        <v>0</v>
      </c>
      <c r="F83" s="33">
        <f>SUMIFS(台帳!$I$2:$I$2000,台帳!$A$2:$A$2000,$A83,台帳!$E$2:$E$2000,F$4)</f>
        <v>0</v>
      </c>
      <c r="G83" s="33">
        <f>SUMIFS(台帳!$I$2:$I$2000,台帳!$A$2:$A$2000,$A83,台帳!$E$2:$E$2000,G$4)</f>
        <v>5</v>
      </c>
      <c r="H83" s="33">
        <f>SUMIFS(台帳!$I$2:$I$2000,台帳!$A$2:$A$2000,$A83,台帳!$E$2:$E$2000,H$4)</f>
        <v>0</v>
      </c>
      <c r="I83" s="33">
        <f>SUMIFS(台帳!$I$2:$I$2000,台帳!$A$2:$A$2000,$A83,台帳!$E$2:$E$2000,I$4)</f>
        <v>0</v>
      </c>
      <c r="J83" s="33">
        <f>SUMIFS(台帳!$I$2:$I$2000,台帳!$A$2:$A$2000,$A83,台帳!$E$2:$E$2000,J$4)</f>
        <v>0</v>
      </c>
      <c r="K83" s="33">
        <f>SUMIFS(台帳!$I$2:$I$2000,台帳!$A$2:$A$2000,$A83,台帳!$E$2:$E$2000,K$4)</f>
        <v>0</v>
      </c>
      <c r="L83" s="33">
        <f>SUMIFS(台帳!$I$2:$I$2000,台帳!$A$2:$A$2000,$A83,台帳!$E$2:$E$2000,L$4)</f>
        <v>0</v>
      </c>
      <c r="M83" s="33">
        <f>SUMIFS(台帳!$I$2:$I$2000,台帳!$A$2:$A$2000,$A83,台帳!$E$2:$E$2000,M$4)</f>
        <v>0</v>
      </c>
      <c r="N83" s="33">
        <f>SUMIFS(台帳!$I$2:$I$2000,台帳!$A$2:$A$2000,$A83,台帳!$E$2:$E$2000,N$4)</f>
        <v>0</v>
      </c>
      <c r="O83" s="33">
        <f>SUMIFS(台帳!$I$2:$I$2000,台帳!$A$2:$A$2000,$A83,台帳!$D$2:$D$2000,"自社")</f>
        <v>5</v>
      </c>
      <c r="P83" s="33">
        <f>SUMIFS(台帳!$I$2:$I$2000,台帳!$A$2:$A$2000,$A83,台帳!$D$2:$D$2000,"業者")</f>
        <v>0</v>
      </c>
      <c r="Q83" s="33">
        <f>SUM(C83:N83)</f>
        <v>5</v>
      </c>
      <c r="R83" s="33">
        <f>R82+C83</f>
        <v>0</v>
      </c>
      <c r="S83" s="33">
        <f>S82+D83</f>
        <v>7</v>
      </c>
      <c r="T83" s="33">
        <f>T82+E83</f>
        <v>6</v>
      </c>
      <c r="U83" s="33">
        <f>U82+F83</f>
        <v>30</v>
      </c>
      <c r="V83" s="33">
        <f>V82+G83</f>
        <v>41</v>
      </c>
      <c r="W83" s="33">
        <f>W82+H83</f>
        <v>0</v>
      </c>
      <c r="X83" s="33">
        <f>X82+I83</f>
        <v>0</v>
      </c>
      <c r="Y83" s="33">
        <f>Y82+J83</f>
        <v>0</v>
      </c>
      <c r="Z83" s="33">
        <f>Z82+K83</f>
        <v>0</v>
      </c>
      <c r="AA83" s="33">
        <f>AA82+L83</f>
        <v>0</v>
      </c>
      <c r="AB83" s="33">
        <f>AB82+M83</f>
        <v>0</v>
      </c>
      <c r="AC83" s="33">
        <f>AC82+N83</f>
        <v>0</v>
      </c>
      <c r="AD83" s="33">
        <f>AD82+O83</f>
        <v>49</v>
      </c>
      <c r="AE83" s="33">
        <f>AE82+P83</f>
        <v>35</v>
      </c>
      <c r="AF83" s="33">
        <f>AF82+Q83</f>
        <v>84</v>
      </c>
      <c r="AG83" s="34" t="str">
        <f>IFERROR(INDEX(台帳!$H$2:$H$2000,MATCH($A83,台帳!$A$2:$A$2000,0)),"")</f>
        <v>型枠組</v>
      </c>
    </row>
    <row r="84" spans="1:33" ht="15.75" x14ac:dyDescent="0.25">
      <c r="A84" s="31">
        <v>46211</v>
      </c>
      <c r="B84" s="32" t="str">
        <f>CHOOSE(WEEKDAY(A84),"日","月","火","水","木","金","土")</f>
        <v>水</v>
      </c>
      <c r="C84" s="33">
        <f>SUMIFS(台帳!$I$2:$I$2000,台帳!$A$2:$A$2000,$A84,台帳!$E$2:$E$2000,C$4)</f>
        <v>0</v>
      </c>
      <c r="D84" s="33">
        <f>SUMIFS(台帳!$I$2:$I$2000,台帳!$A$2:$A$2000,$A84,台帳!$E$2:$E$2000,D$4)</f>
        <v>0</v>
      </c>
      <c r="E84" s="33">
        <f>SUMIFS(台帳!$I$2:$I$2000,台帳!$A$2:$A$2000,$A84,台帳!$E$2:$E$2000,E$4)</f>
        <v>0</v>
      </c>
      <c r="F84" s="33">
        <f>SUMIFS(台帳!$I$2:$I$2000,台帳!$A$2:$A$2000,$A84,台帳!$E$2:$E$2000,F$4)</f>
        <v>0</v>
      </c>
      <c r="G84" s="33">
        <f>SUMIFS(台帳!$I$2:$I$2000,台帳!$A$2:$A$2000,$A84,台帳!$E$2:$E$2000,G$4)</f>
        <v>5</v>
      </c>
      <c r="H84" s="33">
        <f>SUMIFS(台帳!$I$2:$I$2000,台帳!$A$2:$A$2000,$A84,台帳!$E$2:$E$2000,H$4)</f>
        <v>0</v>
      </c>
      <c r="I84" s="33">
        <f>SUMIFS(台帳!$I$2:$I$2000,台帳!$A$2:$A$2000,$A84,台帳!$E$2:$E$2000,I$4)</f>
        <v>0</v>
      </c>
      <c r="J84" s="33">
        <f>SUMIFS(台帳!$I$2:$I$2000,台帳!$A$2:$A$2000,$A84,台帳!$E$2:$E$2000,J$4)</f>
        <v>0</v>
      </c>
      <c r="K84" s="33">
        <f>SUMIFS(台帳!$I$2:$I$2000,台帳!$A$2:$A$2000,$A84,台帳!$E$2:$E$2000,K$4)</f>
        <v>0</v>
      </c>
      <c r="L84" s="33">
        <f>SUMIFS(台帳!$I$2:$I$2000,台帳!$A$2:$A$2000,$A84,台帳!$E$2:$E$2000,L$4)</f>
        <v>0</v>
      </c>
      <c r="M84" s="33">
        <f>SUMIFS(台帳!$I$2:$I$2000,台帳!$A$2:$A$2000,$A84,台帳!$E$2:$E$2000,M$4)</f>
        <v>0</v>
      </c>
      <c r="N84" s="33">
        <f>SUMIFS(台帳!$I$2:$I$2000,台帳!$A$2:$A$2000,$A84,台帳!$E$2:$E$2000,N$4)</f>
        <v>0</v>
      </c>
      <c r="O84" s="33">
        <f>SUMIFS(台帳!$I$2:$I$2000,台帳!$A$2:$A$2000,$A84,台帳!$D$2:$D$2000,"自社")</f>
        <v>4</v>
      </c>
      <c r="P84" s="33">
        <f>SUMIFS(台帳!$I$2:$I$2000,台帳!$A$2:$A$2000,$A84,台帳!$D$2:$D$2000,"業者")</f>
        <v>1</v>
      </c>
      <c r="Q84" s="33">
        <f>SUM(C84:N84)</f>
        <v>5</v>
      </c>
      <c r="R84" s="33">
        <f>R83+C84</f>
        <v>0</v>
      </c>
      <c r="S84" s="33">
        <f>S83+D84</f>
        <v>7</v>
      </c>
      <c r="T84" s="33">
        <f>T83+E84</f>
        <v>6</v>
      </c>
      <c r="U84" s="33">
        <f>U83+F84</f>
        <v>30</v>
      </c>
      <c r="V84" s="33">
        <f>V83+G84</f>
        <v>46</v>
      </c>
      <c r="W84" s="33">
        <f>W83+H84</f>
        <v>0</v>
      </c>
      <c r="X84" s="33">
        <f>X83+I84</f>
        <v>0</v>
      </c>
      <c r="Y84" s="33">
        <f>Y83+J84</f>
        <v>0</v>
      </c>
      <c r="Z84" s="33">
        <f>Z83+K84</f>
        <v>0</v>
      </c>
      <c r="AA84" s="33">
        <f>AA83+L84</f>
        <v>0</v>
      </c>
      <c r="AB84" s="33">
        <f>AB83+M84</f>
        <v>0</v>
      </c>
      <c r="AC84" s="33">
        <f>AC83+N84</f>
        <v>0</v>
      </c>
      <c r="AD84" s="33">
        <f>AD83+O84</f>
        <v>53</v>
      </c>
      <c r="AE84" s="33">
        <f>AE83+P84</f>
        <v>36</v>
      </c>
      <c r="AF84" s="33">
        <f>AF83+Q84</f>
        <v>89</v>
      </c>
      <c r="AG84" s="34" t="str">
        <f>IFERROR(INDEX(台帳!$H$2:$H$2000,MATCH($A84,台帳!$A$2:$A$2000,0)),"")</f>
        <v>基礎コンクリート打設（生コン車1台 4m3）</v>
      </c>
    </row>
    <row r="85" spans="1:33" ht="15.75" x14ac:dyDescent="0.25">
      <c r="A85" s="31">
        <v>46212</v>
      </c>
      <c r="B85" s="32" t="str">
        <f>CHOOSE(WEEKDAY(A85),"日","月","火","水","木","金","土")</f>
        <v>木</v>
      </c>
      <c r="C85" s="33">
        <f>SUMIFS(台帳!$I$2:$I$2000,台帳!$A$2:$A$2000,$A85,台帳!$E$2:$E$2000,C$4)</f>
        <v>0</v>
      </c>
      <c r="D85" s="33">
        <f>SUMIFS(台帳!$I$2:$I$2000,台帳!$A$2:$A$2000,$A85,台帳!$E$2:$E$2000,D$4)</f>
        <v>0</v>
      </c>
      <c r="E85" s="33">
        <f>SUMIFS(台帳!$I$2:$I$2000,台帳!$A$2:$A$2000,$A85,台帳!$E$2:$E$2000,E$4)</f>
        <v>0</v>
      </c>
      <c r="F85" s="33">
        <f>SUMIFS(台帳!$I$2:$I$2000,台帳!$A$2:$A$2000,$A85,台帳!$E$2:$E$2000,F$4)</f>
        <v>0</v>
      </c>
      <c r="G85" s="33">
        <f>SUMIFS(台帳!$I$2:$I$2000,台帳!$A$2:$A$2000,$A85,台帳!$E$2:$E$2000,G$4)</f>
        <v>0</v>
      </c>
      <c r="H85" s="33">
        <f>SUMIFS(台帳!$I$2:$I$2000,台帳!$A$2:$A$2000,$A85,台帳!$E$2:$E$2000,H$4)</f>
        <v>0</v>
      </c>
      <c r="I85" s="33">
        <f>SUMIFS(台帳!$I$2:$I$2000,台帳!$A$2:$A$2000,$A85,台帳!$E$2:$E$2000,I$4)</f>
        <v>0</v>
      </c>
      <c r="J85" s="33">
        <f>SUMIFS(台帳!$I$2:$I$2000,台帳!$A$2:$A$2000,$A85,台帳!$E$2:$E$2000,J$4)</f>
        <v>0</v>
      </c>
      <c r="K85" s="33">
        <f>SUMIFS(台帳!$I$2:$I$2000,台帳!$A$2:$A$2000,$A85,台帳!$E$2:$E$2000,K$4)</f>
        <v>0</v>
      </c>
      <c r="L85" s="33">
        <f>SUMIFS(台帳!$I$2:$I$2000,台帳!$A$2:$A$2000,$A85,台帳!$E$2:$E$2000,L$4)</f>
        <v>0</v>
      </c>
      <c r="M85" s="33">
        <f>SUMIFS(台帳!$I$2:$I$2000,台帳!$A$2:$A$2000,$A85,台帳!$E$2:$E$2000,M$4)</f>
        <v>0</v>
      </c>
      <c r="N85" s="33">
        <f>SUMIFS(台帳!$I$2:$I$2000,台帳!$A$2:$A$2000,$A85,台帳!$E$2:$E$2000,N$4)</f>
        <v>0</v>
      </c>
      <c r="O85" s="33">
        <f>SUMIFS(台帳!$I$2:$I$2000,台帳!$A$2:$A$2000,$A85,台帳!$D$2:$D$2000,"自社")</f>
        <v>0</v>
      </c>
      <c r="P85" s="33">
        <f>SUMIFS(台帳!$I$2:$I$2000,台帳!$A$2:$A$2000,$A85,台帳!$D$2:$D$2000,"業者")</f>
        <v>0</v>
      </c>
      <c r="Q85" s="33">
        <f>SUM(C85:N85)</f>
        <v>0</v>
      </c>
      <c r="R85" s="33">
        <f>R84+C85</f>
        <v>0</v>
      </c>
      <c r="S85" s="33">
        <f>S84+D85</f>
        <v>7</v>
      </c>
      <c r="T85" s="33">
        <f>T84+E85</f>
        <v>6</v>
      </c>
      <c r="U85" s="33">
        <f>U84+F85</f>
        <v>30</v>
      </c>
      <c r="V85" s="33">
        <f>V84+G85</f>
        <v>46</v>
      </c>
      <c r="W85" s="33">
        <f>W84+H85</f>
        <v>0</v>
      </c>
      <c r="X85" s="33">
        <f>X84+I85</f>
        <v>0</v>
      </c>
      <c r="Y85" s="33">
        <f>Y84+J85</f>
        <v>0</v>
      </c>
      <c r="Z85" s="33">
        <f>Z84+K85</f>
        <v>0</v>
      </c>
      <c r="AA85" s="33">
        <f>AA84+L85</f>
        <v>0</v>
      </c>
      <c r="AB85" s="33">
        <f>AB84+M85</f>
        <v>0</v>
      </c>
      <c r="AC85" s="33">
        <f>AC84+N85</f>
        <v>0</v>
      </c>
      <c r="AD85" s="33">
        <f>AD84+O85</f>
        <v>53</v>
      </c>
      <c r="AE85" s="33">
        <f>AE84+P85</f>
        <v>36</v>
      </c>
      <c r="AF85" s="33">
        <f>AF84+Q85</f>
        <v>89</v>
      </c>
      <c r="AG85" s="34" t="str">
        <f>IFERROR(INDEX(台帳!$H$2:$H$2000,MATCH($A85,台帳!$A$2:$A$2000,0)),"")</f>
        <v>基礎コンクリート養生期間</v>
      </c>
    </row>
    <row r="86" spans="1:33" ht="15.75" x14ac:dyDescent="0.25">
      <c r="A86" s="31">
        <v>46213</v>
      </c>
      <c r="B86" s="32" t="str">
        <f>CHOOSE(WEEKDAY(A86),"日","月","火","水","木","金","土")</f>
        <v>金</v>
      </c>
      <c r="C86" s="33">
        <f>SUMIFS(台帳!$I$2:$I$2000,台帳!$A$2:$A$2000,$A86,台帳!$E$2:$E$2000,C$4)</f>
        <v>0</v>
      </c>
      <c r="D86" s="33">
        <f>SUMIFS(台帳!$I$2:$I$2000,台帳!$A$2:$A$2000,$A86,台帳!$E$2:$E$2000,D$4)</f>
        <v>0</v>
      </c>
      <c r="E86" s="33">
        <f>SUMIFS(台帳!$I$2:$I$2000,台帳!$A$2:$A$2000,$A86,台帳!$E$2:$E$2000,E$4)</f>
        <v>0</v>
      </c>
      <c r="F86" s="33">
        <f>SUMIFS(台帳!$I$2:$I$2000,台帳!$A$2:$A$2000,$A86,台帳!$E$2:$E$2000,F$4)</f>
        <v>0</v>
      </c>
      <c r="G86" s="33">
        <f>SUMIFS(台帳!$I$2:$I$2000,台帳!$A$2:$A$2000,$A86,台帳!$E$2:$E$2000,G$4)</f>
        <v>0</v>
      </c>
      <c r="H86" s="33">
        <f>SUMIFS(台帳!$I$2:$I$2000,台帳!$A$2:$A$2000,$A86,台帳!$E$2:$E$2000,H$4)</f>
        <v>0</v>
      </c>
      <c r="I86" s="33">
        <f>SUMIFS(台帳!$I$2:$I$2000,台帳!$A$2:$A$2000,$A86,台帳!$E$2:$E$2000,I$4)</f>
        <v>0</v>
      </c>
      <c r="J86" s="33">
        <f>SUMIFS(台帳!$I$2:$I$2000,台帳!$A$2:$A$2000,$A86,台帳!$E$2:$E$2000,J$4)</f>
        <v>0</v>
      </c>
      <c r="K86" s="33">
        <f>SUMIFS(台帳!$I$2:$I$2000,台帳!$A$2:$A$2000,$A86,台帳!$E$2:$E$2000,K$4)</f>
        <v>0</v>
      </c>
      <c r="L86" s="33">
        <f>SUMIFS(台帳!$I$2:$I$2000,台帳!$A$2:$A$2000,$A86,台帳!$E$2:$E$2000,L$4)</f>
        <v>0</v>
      </c>
      <c r="M86" s="33">
        <f>SUMIFS(台帳!$I$2:$I$2000,台帳!$A$2:$A$2000,$A86,台帳!$E$2:$E$2000,M$4)</f>
        <v>0</v>
      </c>
      <c r="N86" s="33">
        <f>SUMIFS(台帳!$I$2:$I$2000,台帳!$A$2:$A$2000,$A86,台帳!$E$2:$E$2000,N$4)</f>
        <v>0</v>
      </c>
      <c r="O86" s="33">
        <f>SUMIFS(台帳!$I$2:$I$2000,台帳!$A$2:$A$2000,$A86,台帳!$D$2:$D$2000,"自社")</f>
        <v>0</v>
      </c>
      <c r="P86" s="33">
        <f>SUMIFS(台帳!$I$2:$I$2000,台帳!$A$2:$A$2000,$A86,台帳!$D$2:$D$2000,"業者")</f>
        <v>0</v>
      </c>
      <c r="Q86" s="33">
        <f>SUM(C86:N86)</f>
        <v>0</v>
      </c>
      <c r="R86" s="33">
        <f>R85+C86</f>
        <v>0</v>
      </c>
      <c r="S86" s="33">
        <f>S85+D86</f>
        <v>7</v>
      </c>
      <c r="T86" s="33">
        <f>T85+E86</f>
        <v>6</v>
      </c>
      <c r="U86" s="33">
        <f>U85+F86</f>
        <v>30</v>
      </c>
      <c r="V86" s="33">
        <f>V85+G86</f>
        <v>46</v>
      </c>
      <c r="W86" s="33">
        <f>W85+H86</f>
        <v>0</v>
      </c>
      <c r="X86" s="33">
        <f>X85+I86</f>
        <v>0</v>
      </c>
      <c r="Y86" s="33">
        <f>Y85+J86</f>
        <v>0</v>
      </c>
      <c r="Z86" s="33">
        <f>Z85+K86</f>
        <v>0</v>
      </c>
      <c r="AA86" s="33">
        <f>AA85+L86</f>
        <v>0</v>
      </c>
      <c r="AB86" s="33">
        <f>AB85+M86</f>
        <v>0</v>
      </c>
      <c r="AC86" s="33">
        <f>AC85+N86</f>
        <v>0</v>
      </c>
      <c r="AD86" s="33">
        <f>AD85+O86</f>
        <v>53</v>
      </c>
      <c r="AE86" s="33">
        <f>AE85+P86</f>
        <v>36</v>
      </c>
      <c r="AF86" s="33">
        <f>AF85+Q86</f>
        <v>89</v>
      </c>
      <c r="AG86" s="34" t="str">
        <f>IFERROR(INDEX(台帳!$H$2:$H$2000,MATCH($A86,台帳!$A$2:$A$2000,0)),"")</f>
        <v>基礎コンクリート養生期間</v>
      </c>
    </row>
    <row r="87" spans="1:33" ht="15.75" x14ac:dyDescent="0.25">
      <c r="A87" s="35">
        <v>46214</v>
      </c>
      <c r="B87" s="36" t="str">
        <f>CHOOSE(WEEKDAY(A87),"日","月","火","水","木","金","土")</f>
        <v>土</v>
      </c>
      <c r="C87" s="37">
        <f>SUMIFS(台帳!$I$2:$I$2000,台帳!$A$2:$A$2000,$A87,台帳!$E$2:$E$2000,C$4)</f>
        <v>0</v>
      </c>
      <c r="D87" s="37">
        <f>SUMIFS(台帳!$I$2:$I$2000,台帳!$A$2:$A$2000,$A87,台帳!$E$2:$E$2000,D$4)</f>
        <v>0</v>
      </c>
      <c r="E87" s="37">
        <f>SUMIFS(台帳!$I$2:$I$2000,台帳!$A$2:$A$2000,$A87,台帳!$E$2:$E$2000,E$4)</f>
        <v>0</v>
      </c>
      <c r="F87" s="37">
        <f>SUMIFS(台帳!$I$2:$I$2000,台帳!$A$2:$A$2000,$A87,台帳!$E$2:$E$2000,F$4)</f>
        <v>0</v>
      </c>
      <c r="G87" s="37">
        <f>SUMIFS(台帳!$I$2:$I$2000,台帳!$A$2:$A$2000,$A87,台帳!$E$2:$E$2000,G$4)</f>
        <v>0</v>
      </c>
      <c r="H87" s="37">
        <f>SUMIFS(台帳!$I$2:$I$2000,台帳!$A$2:$A$2000,$A87,台帳!$E$2:$E$2000,H$4)</f>
        <v>0</v>
      </c>
      <c r="I87" s="37">
        <f>SUMIFS(台帳!$I$2:$I$2000,台帳!$A$2:$A$2000,$A87,台帳!$E$2:$E$2000,I$4)</f>
        <v>0</v>
      </c>
      <c r="J87" s="37">
        <f>SUMIFS(台帳!$I$2:$I$2000,台帳!$A$2:$A$2000,$A87,台帳!$E$2:$E$2000,J$4)</f>
        <v>0</v>
      </c>
      <c r="K87" s="37">
        <f>SUMIFS(台帳!$I$2:$I$2000,台帳!$A$2:$A$2000,$A87,台帳!$E$2:$E$2000,K$4)</f>
        <v>0</v>
      </c>
      <c r="L87" s="37">
        <f>SUMIFS(台帳!$I$2:$I$2000,台帳!$A$2:$A$2000,$A87,台帳!$E$2:$E$2000,L$4)</f>
        <v>0</v>
      </c>
      <c r="M87" s="37">
        <f>SUMIFS(台帳!$I$2:$I$2000,台帳!$A$2:$A$2000,$A87,台帳!$E$2:$E$2000,M$4)</f>
        <v>0</v>
      </c>
      <c r="N87" s="37">
        <f>SUMIFS(台帳!$I$2:$I$2000,台帳!$A$2:$A$2000,$A87,台帳!$E$2:$E$2000,N$4)</f>
        <v>0</v>
      </c>
      <c r="O87" s="37">
        <f>SUMIFS(台帳!$I$2:$I$2000,台帳!$A$2:$A$2000,$A87,台帳!$D$2:$D$2000,"自社")</f>
        <v>0</v>
      </c>
      <c r="P87" s="37">
        <f>SUMIFS(台帳!$I$2:$I$2000,台帳!$A$2:$A$2000,$A87,台帳!$D$2:$D$2000,"業者")</f>
        <v>0</v>
      </c>
      <c r="Q87" s="37">
        <f>SUM(C87:N87)</f>
        <v>0</v>
      </c>
      <c r="R87" s="37">
        <f>R86+C87</f>
        <v>0</v>
      </c>
      <c r="S87" s="37">
        <f>S86+D87</f>
        <v>7</v>
      </c>
      <c r="T87" s="37">
        <f>T86+E87</f>
        <v>6</v>
      </c>
      <c r="U87" s="37">
        <f>U86+F87</f>
        <v>30</v>
      </c>
      <c r="V87" s="37">
        <f>V86+G87</f>
        <v>46</v>
      </c>
      <c r="W87" s="37">
        <f>W86+H87</f>
        <v>0</v>
      </c>
      <c r="X87" s="37">
        <f>X86+I87</f>
        <v>0</v>
      </c>
      <c r="Y87" s="37">
        <f>Y86+J87</f>
        <v>0</v>
      </c>
      <c r="Z87" s="37">
        <f>Z86+K87</f>
        <v>0</v>
      </c>
      <c r="AA87" s="37">
        <f>AA86+L87</f>
        <v>0</v>
      </c>
      <c r="AB87" s="37">
        <f>AB86+M87</f>
        <v>0</v>
      </c>
      <c r="AC87" s="37">
        <f>AC86+N87</f>
        <v>0</v>
      </c>
      <c r="AD87" s="37">
        <f>AD86+O87</f>
        <v>53</v>
      </c>
      <c r="AE87" s="37">
        <f>AE86+P87</f>
        <v>36</v>
      </c>
      <c r="AF87" s="37">
        <f>AF86+Q87</f>
        <v>89</v>
      </c>
      <c r="AG87" s="38" t="str">
        <f>IFERROR(INDEX(台帳!$H$2:$H$2000,MATCH($A87,台帳!$A$2:$A$2000,0)),"")</f>
        <v>基礎コンクリート養生期間</v>
      </c>
    </row>
    <row r="88" spans="1:33" ht="15.75" x14ac:dyDescent="0.25">
      <c r="A88" s="35">
        <v>46215</v>
      </c>
      <c r="B88" s="36" t="str">
        <f>CHOOSE(WEEKDAY(A88),"日","月","火","水","木","金","土")</f>
        <v>日</v>
      </c>
      <c r="C88" s="37">
        <f>SUMIFS(台帳!$I$2:$I$2000,台帳!$A$2:$A$2000,$A88,台帳!$E$2:$E$2000,C$4)</f>
        <v>0</v>
      </c>
      <c r="D88" s="37">
        <f>SUMIFS(台帳!$I$2:$I$2000,台帳!$A$2:$A$2000,$A88,台帳!$E$2:$E$2000,D$4)</f>
        <v>0</v>
      </c>
      <c r="E88" s="37">
        <f>SUMIFS(台帳!$I$2:$I$2000,台帳!$A$2:$A$2000,$A88,台帳!$E$2:$E$2000,E$4)</f>
        <v>0</v>
      </c>
      <c r="F88" s="37">
        <f>SUMIFS(台帳!$I$2:$I$2000,台帳!$A$2:$A$2000,$A88,台帳!$E$2:$E$2000,F$4)</f>
        <v>0</v>
      </c>
      <c r="G88" s="37">
        <f>SUMIFS(台帳!$I$2:$I$2000,台帳!$A$2:$A$2000,$A88,台帳!$E$2:$E$2000,G$4)</f>
        <v>1</v>
      </c>
      <c r="H88" s="37">
        <f>SUMIFS(台帳!$I$2:$I$2000,台帳!$A$2:$A$2000,$A88,台帳!$E$2:$E$2000,H$4)</f>
        <v>0</v>
      </c>
      <c r="I88" s="37">
        <f>SUMIFS(台帳!$I$2:$I$2000,台帳!$A$2:$A$2000,$A88,台帳!$E$2:$E$2000,I$4)</f>
        <v>0</v>
      </c>
      <c r="J88" s="37">
        <f>SUMIFS(台帳!$I$2:$I$2000,台帳!$A$2:$A$2000,$A88,台帳!$E$2:$E$2000,J$4)</f>
        <v>0</v>
      </c>
      <c r="K88" s="37">
        <f>SUMIFS(台帳!$I$2:$I$2000,台帳!$A$2:$A$2000,$A88,台帳!$E$2:$E$2000,K$4)</f>
        <v>0</v>
      </c>
      <c r="L88" s="37">
        <f>SUMIFS(台帳!$I$2:$I$2000,台帳!$A$2:$A$2000,$A88,台帳!$E$2:$E$2000,L$4)</f>
        <v>0</v>
      </c>
      <c r="M88" s="37">
        <f>SUMIFS(台帳!$I$2:$I$2000,台帳!$A$2:$A$2000,$A88,台帳!$E$2:$E$2000,M$4)</f>
        <v>0</v>
      </c>
      <c r="N88" s="37">
        <f>SUMIFS(台帳!$I$2:$I$2000,台帳!$A$2:$A$2000,$A88,台帳!$E$2:$E$2000,N$4)</f>
        <v>0</v>
      </c>
      <c r="O88" s="37">
        <f>SUMIFS(台帳!$I$2:$I$2000,台帳!$A$2:$A$2000,$A88,台帳!$D$2:$D$2000,"自社")</f>
        <v>1</v>
      </c>
      <c r="P88" s="37">
        <f>SUMIFS(台帳!$I$2:$I$2000,台帳!$A$2:$A$2000,$A88,台帳!$D$2:$D$2000,"業者")</f>
        <v>0</v>
      </c>
      <c r="Q88" s="37">
        <f>SUM(C88:N88)</f>
        <v>1</v>
      </c>
      <c r="R88" s="37">
        <f>R87+C88</f>
        <v>0</v>
      </c>
      <c r="S88" s="37">
        <f>S87+D88</f>
        <v>7</v>
      </c>
      <c r="T88" s="37">
        <f>T87+E88</f>
        <v>6</v>
      </c>
      <c r="U88" s="37">
        <f>U87+F88</f>
        <v>30</v>
      </c>
      <c r="V88" s="37">
        <f>V87+G88</f>
        <v>47</v>
      </c>
      <c r="W88" s="37">
        <f>W87+H88</f>
        <v>0</v>
      </c>
      <c r="X88" s="37">
        <f>X87+I88</f>
        <v>0</v>
      </c>
      <c r="Y88" s="37">
        <f>Y87+J88</f>
        <v>0</v>
      </c>
      <c r="Z88" s="37">
        <f>Z87+K88</f>
        <v>0</v>
      </c>
      <c r="AA88" s="37">
        <f>AA87+L88</f>
        <v>0</v>
      </c>
      <c r="AB88" s="37">
        <f>AB87+M88</f>
        <v>0</v>
      </c>
      <c r="AC88" s="37">
        <f>AC87+N88</f>
        <v>0</v>
      </c>
      <c r="AD88" s="37">
        <f>AD87+O88</f>
        <v>54</v>
      </c>
      <c r="AE88" s="37">
        <f>AE87+P88</f>
        <v>36</v>
      </c>
      <c r="AF88" s="37">
        <f>AF87+Q88</f>
        <v>90</v>
      </c>
      <c r="AG88" s="38" t="str">
        <f>IFERROR(INDEX(台帳!$H$2:$H$2000,MATCH($A88,台帳!$A$2:$A$2000,0)),"")</f>
        <v>基礎型枠解体</v>
      </c>
    </row>
    <row r="89" spans="1:33" ht="15.75" x14ac:dyDescent="0.25">
      <c r="A89" s="31">
        <v>46216</v>
      </c>
      <c r="B89" s="32" t="str">
        <f>CHOOSE(WEEKDAY(A89),"日","月","火","水","木","金","土")</f>
        <v>月</v>
      </c>
      <c r="C89" s="33">
        <f>SUMIFS(台帳!$I$2:$I$2000,台帳!$A$2:$A$2000,$A89,台帳!$E$2:$E$2000,C$4)</f>
        <v>0</v>
      </c>
      <c r="D89" s="33">
        <f>SUMIFS(台帳!$I$2:$I$2000,台帳!$A$2:$A$2000,$A89,台帳!$E$2:$E$2000,D$4)</f>
        <v>0</v>
      </c>
      <c r="E89" s="33">
        <f>SUMIFS(台帳!$I$2:$I$2000,台帳!$A$2:$A$2000,$A89,台帳!$E$2:$E$2000,E$4)</f>
        <v>0</v>
      </c>
      <c r="F89" s="33">
        <f>SUMIFS(台帳!$I$2:$I$2000,台帳!$A$2:$A$2000,$A89,台帳!$E$2:$E$2000,F$4)</f>
        <v>0</v>
      </c>
      <c r="G89" s="33">
        <f>SUMIFS(台帳!$I$2:$I$2000,台帳!$A$2:$A$2000,$A89,台帳!$E$2:$E$2000,G$4)</f>
        <v>4</v>
      </c>
      <c r="H89" s="33">
        <f>SUMIFS(台帳!$I$2:$I$2000,台帳!$A$2:$A$2000,$A89,台帳!$E$2:$E$2000,H$4)</f>
        <v>0</v>
      </c>
      <c r="I89" s="33">
        <f>SUMIFS(台帳!$I$2:$I$2000,台帳!$A$2:$A$2000,$A89,台帳!$E$2:$E$2000,I$4)</f>
        <v>0</v>
      </c>
      <c r="J89" s="33">
        <f>SUMIFS(台帳!$I$2:$I$2000,台帳!$A$2:$A$2000,$A89,台帳!$E$2:$E$2000,J$4)</f>
        <v>0</v>
      </c>
      <c r="K89" s="33">
        <f>SUMIFS(台帳!$I$2:$I$2000,台帳!$A$2:$A$2000,$A89,台帳!$E$2:$E$2000,K$4)</f>
        <v>0</v>
      </c>
      <c r="L89" s="33">
        <f>SUMIFS(台帳!$I$2:$I$2000,台帳!$A$2:$A$2000,$A89,台帳!$E$2:$E$2000,L$4)</f>
        <v>0</v>
      </c>
      <c r="M89" s="33">
        <f>SUMIFS(台帳!$I$2:$I$2000,台帳!$A$2:$A$2000,$A89,台帳!$E$2:$E$2000,M$4)</f>
        <v>0</v>
      </c>
      <c r="N89" s="33">
        <f>SUMIFS(台帳!$I$2:$I$2000,台帳!$A$2:$A$2000,$A89,台帳!$E$2:$E$2000,N$4)</f>
        <v>0</v>
      </c>
      <c r="O89" s="33">
        <f>SUMIFS(台帳!$I$2:$I$2000,台帳!$A$2:$A$2000,$A89,台帳!$D$2:$D$2000,"自社")</f>
        <v>4</v>
      </c>
      <c r="P89" s="33">
        <f>SUMIFS(台帳!$I$2:$I$2000,台帳!$A$2:$A$2000,$A89,台帳!$D$2:$D$2000,"業者")</f>
        <v>0</v>
      </c>
      <c r="Q89" s="33">
        <f>SUM(C89:N89)</f>
        <v>4</v>
      </c>
      <c r="R89" s="33">
        <f>R88+C89</f>
        <v>0</v>
      </c>
      <c r="S89" s="33">
        <f>S88+D89</f>
        <v>7</v>
      </c>
      <c r="T89" s="33">
        <f>T88+E89</f>
        <v>6</v>
      </c>
      <c r="U89" s="33">
        <f>U88+F89</f>
        <v>30</v>
      </c>
      <c r="V89" s="33">
        <f>V88+G89</f>
        <v>51</v>
      </c>
      <c r="W89" s="33">
        <f>W88+H89</f>
        <v>0</v>
      </c>
      <c r="X89" s="33">
        <f>X88+I89</f>
        <v>0</v>
      </c>
      <c r="Y89" s="33">
        <f>Y88+J89</f>
        <v>0</v>
      </c>
      <c r="Z89" s="33">
        <f>Z88+K89</f>
        <v>0</v>
      </c>
      <c r="AA89" s="33">
        <f>AA88+L89</f>
        <v>0</v>
      </c>
      <c r="AB89" s="33">
        <f>AB88+M89</f>
        <v>0</v>
      </c>
      <c r="AC89" s="33">
        <f>AC88+N89</f>
        <v>0</v>
      </c>
      <c r="AD89" s="33">
        <f>AD88+O89</f>
        <v>58</v>
      </c>
      <c r="AE89" s="33">
        <f>AE88+P89</f>
        <v>36</v>
      </c>
      <c r="AF89" s="33">
        <f>AF88+Q89</f>
        <v>94</v>
      </c>
      <c r="AG89" s="34" t="str">
        <f>IFERROR(INDEX(台帳!$H$2:$H$2000,MATCH($A89,台帳!$A$2:$A$2000,0)),"")</f>
        <v>基礎型枠材片付け・型枠撤去及び敷地整地、墨出し</v>
      </c>
    </row>
    <row r="90" spans="1:33" ht="15.75" x14ac:dyDescent="0.25">
      <c r="A90" s="31">
        <v>46217</v>
      </c>
      <c r="B90" s="32" t="str">
        <f>CHOOSE(WEEKDAY(A90),"日","月","火","水","木","金","土")</f>
        <v>火</v>
      </c>
      <c r="C90" s="33">
        <f>SUMIFS(台帳!$I$2:$I$2000,台帳!$A$2:$A$2000,$A90,台帳!$E$2:$E$2000,C$4)</f>
        <v>0</v>
      </c>
      <c r="D90" s="33">
        <f>SUMIFS(台帳!$I$2:$I$2000,台帳!$A$2:$A$2000,$A90,台帳!$E$2:$E$2000,D$4)</f>
        <v>0</v>
      </c>
      <c r="E90" s="33">
        <f>SUMIFS(台帳!$I$2:$I$2000,台帳!$A$2:$A$2000,$A90,台帳!$E$2:$E$2000,E$4)</f>
        <v>0</v>
      </c>
      <c r="F90" s="33">
        <f>SUMIFS(台帳!$I$2:$I$2000,台帳!$A$2:$A$2000,$A90,台帳!$E$2:$E$2000,F$4)</f>
        <v>0</v>
      </c>
      <c r="G90" s="33">
        <f>SUMIFS(台帳!$I$2:$I$2000,台帳!$A$2:$A$2000,$A90,台帳!$E$2:$E$2000,G$4)</f>
        <v>0</v>
      </c>
      <c r="H90" s="33">
        <f>SUMIFS(台帳!$I$2:$I$2000,台帳!$A$2:$A$2000,$A90,台帳!$E$2:$E$2000,H$4)</f>
        <v>2</v>
      </c>
      <c r="I90" s="33">
        <f>SUMIFS(台帳!$I$2:$I$2000,台帳!$A$2:$A$2000,$A90,台帳!$E$2:$E$2000,I$4)</f>
        <v>0</v>
      </c>
      <c r="J90" s="33">
        <f>SUMIFS(台帳!$I$2:$I$2000,台帳!$A$2:$A$2000,$A90,台帳!$E$2:$E$2000,J$4)</f>
        <v>0</v>
      </c>
      <c r="K90" s="33">
        <f>SUMIFS(台帳!$I$2:$I$2000,台帳!$A$2:$A$2000,$A90,台帳!$E$2:$E$2000,K$4)</f>
        <v>0</v>
      </c>
      <c r="L90" s="33">
        <f>SUMIFS(台帳!$I$2:$I$2000,台帳!$A$2:$A$2000,$A90,台帳!$E$2:$E$2000,L$4)</f>
        <v>0</v>
      </c>
      <c r="M90" s="33">
        <f>SUMIFS(台帳!$I$2:$I$2000,台帳!$A$2:$A$2000,$A90,台帳!$E$2:$E$2000,M$4)</f>
        <v>0</v>
      </c>
      <c r="N90" s="33">
        <f>SUMIFS(台帳!$I$2:$I$2000,台帳!$A$2:$A$2000,$A90,台帳!$E$2:$E$2000,N$4)</f>
        <v>0</v>
      </c>
      <c r="O90" s="33">
        <f>SUMIFS(台帳!$I$2:$I$2000,台帳!$A$2:$A$2000,$A90,台帳!$D$2:$D$2000,"自社")</f>
        <v>2</v>
      </c>
      <c r="P90" s="33">
        <f>SUMIFS(台帳!$I$2:$I$2000,台帳!$A$2:$A$2000,$A90,台帳!$D$2:$D$2000,"業者")</f>
        <v>0</v>
      </c>
      <c r="Q90" s="33">
        <f>SUM(C90:N90)</f>
        <v>2</v>
      </c>
      <c r="R90" s="33">
        <f>R89+C90</f>
        <v>0</v>
      </c>
      <c r="S90" s="33">
        <f>S89+D90</f>
        <v>7</v>
      </c>
      <c r="T90" s="33">
        <f>T89+E90</f>
        <v>6</v>
      </c>
      <c r="U90" s="33">
        <f>U89+F90</f>
        <v>30</v>
      </c>
      <c r="V90" s="33">
        <f>V89+G90</f>
        <v>51</v>
      </c>
      <c r="W90" s="33">
        <f>W89+H90</f>
        <v>2</v>
      </c>
      <c r="X90" s="33">
        <f>X89+I90</f>
        <v>0</v>
      </c>
      <c r="Y90" s="33">
        <f>Y89+J90</f>
        <v>0</v>
      </c>
      <c r="Z90" s="33">
        <f>Z89+K90</f>
        <v>0</v>
      </c>
      <c r="AA90" s="33">
        <f>AA89+L90</f>
        <v>0</v>
      </c>
      <c r="AB90" s="33">
        <f>AB89+M90</f>
        <v>0</v>
      </c>
      <c r="AC90" s="33">
        <f>AC89+N90</f>
        <v>0</v>
      </c>
      <c r="AD90" s="33">
        <f>AD89+O90</f>
        <v>60</v>
      </c>
      <c r="AE90" s="33">
        <f>AE89+P90</f>
        <v>36</v>
      </c>
      <c r="AF90" s="33">
        <f>AF89+Q90</f>
        <v>96</v>
      </c>
      <c r="AG90" s="34" t="str">
        <f>IFERROR(INDEX(台帳!$H$2:$H$2000,MATCH($A90,台帳!$A$2:$A$2000,0)),"")</f>
        <v>墨出し</v>
      </c>
    </row>
    <row r="91" spans="1:33" ht="15.75" x14ac:dyDescent="0.25">
      <c r="A91" s="31">
        <v>46218</v>
      </c>
      <c r="B91" s="32" t="str">
        <f>CHOOSE(WEEKDAY(A91),"日","月","火","水","木","金","土")</f>
        <v>水</v>
      </c>
      <c r="C91" s="33">
        <f>SUMIFS(台帳!$I$2:$I$2000,台帳!$A$2:$A$2000,$A91,台帳!$E$2:$E$2000,C$4)</f>
        <v>0</v>
      </c>
      <c r="D91" s="33">
        <f>SUMIFS(台帳!$I$2:$I$2000,台帳!$A$2:$A$2000,$A91,台帳!$E$2:$E$2000,D$4)</f>
        <v>0</v>
      </c>
      <c r="E91" s="33">
        <f>SUMIFS(台帳!$I$2:$I$2000,台帳!$A$2:$A$2000,$A91,台帳!$E$2:$E$2000,E$4)</f>
        <v>0</v>
      </c>
      <c r="F91" s="33">
        <f>SUMIFS(台帳!$I$2:$I$2000,台帳!$A$2:$A$2000,$A91,台帳!$E$2:$E$2000,F$4)</f>
        <v>0</v>
      </c>
      <c r="G91" s="33">
        <f>SUMIFS(台帳!$I$2:$I$2000,台帳!$A$2:$A$2000,$A91,台帳!$E$2:$E$2000,G$4)</f>
        <v>0</v>
      </c>
      <c r="H91" s="33">
        <f>SUMIFS(台帳!$I$2:$I$2000,台帳!$A$2:$A$2000,$A91,台帳!$E$2:$E$2000,H$4)</f>
        <v>4</v>
      </c>
      <c r="I91" s="33">
        <f>SUMIFS(台帳!$I$2:$I$2000,台帳!$A$2:$A$2000,$A91,台帳!$E$2:$E$2000,I$4)</f>
        <v>0</v>
      </c>
      <c r="J91" s="33">
        <f>SUMIFS(台帳!$I$2:$I$2000,台帳!$A$2:$A$2000,$A91,台帳!$E$2:$E$2000,J$4)</f>
        <v>0</v>
      </c>
      <c r="K91" s="33">
        <f>SUMIFS(台帳!$I$2:$I$2000,台帳!$A$2:$A$2000,$A91,台帳!$E$2:$E$2000,K$4)</f>
        <v>0</v>
      </c>
      <c r="L91" s="33">
        <f>SUMIFS(台帳!$I$2:$I$2000,台帳!$A$2:$A$2000,$A91,台帳!$E$2:$E$2000,L$4)</f>
        <v>0</v>
      </c>
      <c r="M91" s="33">
        <f>SUMIFS(台帳!$I$2:$I$2000,台帳!$A$2:$A$2000,$A91,台帳!$E$2:$E$2000,M$4)</f>
        <v>0</v>
      </c>
      <c r="N91" s="33">
        <f>SUMIFS(台帳!$I$2:$I$2000,台帳!$A$2:$A$2000,$A91,台帳!$E$2:$E$2000,N$4)</f>
        <v>0</v>
      </c>
      <c r="O91" s="33">
        <f>SUMIFS(台帳!$I$2:$I$2000,台帳!$A$2:$A$2000,$A91,台帳!$D$2:$D$2000,"自社")</f>
        <v>4</v>
      </c>
      <c r="P91" s="33">
        <f>SUMIFS(台帳!$I$2:$I$2000,台帳!$A$2:$A$2000,$A91,台帳!$D$2:$D$2000,"業者")</f>
        <v>0</v>
      </c>
      <c r="Q91" s="33">
        <f>SUM(C91:N91)</f>
        <v>4</v>
      </c>
      <c r="R91" s="33">
        <f>R90+C91</f>
        <v>0</v>
      </c>
      <c r="S91" s="33">
        <f>S90+D91</f>
        <v>7</v>
      </c>
      <c r="T91" s="33">
        <f>T90+E91</f>
        <v>6</v>
      </c>
      <c r="U91" s="33">
        <f>U90+F91</f>
        <v>30</v>
      </c>
      <c r="V91" s="33">
        <f>V90+G91</f>
        <v>51</v>
      </c>
      <c r="W91" s="33">
        <f>W90+H91</f>
        <v>6</v>
      </c>
      <c r="X91" s="33">
        <f>X90+I91</f>
        <v>0</v>
      </c>
      <c r="Y91" s="33">
        <f>Y90+J91</f>
        <v>0</v>
      </c>
      <c r="Z91" s="33">
        <f>Z90+K91</f>
        <v>0</v>
      </c>
      <c r="AA91" s="33">
        <f>AA90+L91</f>
        <v>0</v>
      </c>
      <c r="AB91" s="33">
        <f>AB90+M91</f>
        <v>0</v>
      </c>
      <c r="AC91" s="33">
        <f>AC90+N91</f>
        <v>0</v>
      </c>
      <c r="AD91" s="33">
        <f>AD90+O91</f>
        <v>64</v>
      </c>
      <c r="AE91" s="33">
        <f>AE90+P91</f>
        <v>36</v>
      </c>
      <c r="AF91" s="33">
        <f>AF90+Q91</f>
        <v>100</v>
      </c>
      <c r="AG91" s="34" t="str">
        <f>IFERROR(INDEX(台帳!$H$2:$H$2000,MATCH($A91,台帳!$A$2:$A$2000,0)),"")</f>
        <v>床土台敷き、防風ネット</v>
      </c>
    </row>
    <row r="92" spans="1:33" ht="15.75" x14ac:dyDescent="0.25">
      <c r="A92" s="31">
        <v>46219</v>
      </c>
      <c r="B92" s="32" t="str">
        <f>CHOOSE(WEEKDAY(A92),"日","月","火","水","木","金","土")</f>
        <v>木</v>
      </c>
      <c r="C92" s="33">
        <f>SUMIFS(台帳!$I$2:$I$2000,台帳!$A$2:$A$2000,$A92,台帳!$E$2:$E$2000,C$4)</f>
        <v>0</v>
      </c>
      <c r="D92" s="33">
        <f>SUMIFS(台帳!$I$2:$I$2000,台帳!$A$2:$A$2000,$A92,台帳!$E$2:$E$2000,D$4)</f>
        <v>0</v>
      </c>
      <c r="E92" s="33">
        <f>SUMIFS(台帳!$I$2:$I$2000,台帳!$A$2:$A$2000,$A92,台帳!$E$2:$E$2000,E$4)</f>
        <v>0</v>
      </c>
      <c r="F92" s="33">
        <f>SUMIFS(台帳!$I$2:$I$2000,台帳!$A$2:$A$2000,$A92,台帳!$E$2:$E$2000,F$4)</f>
        <v>0</v>
      </c>
      <c r="G92" s="33">
        <f>SUMIFS(台帳!$I$2:$I$2000,台帳!$A$2:$A$2000,$A92,台帳!$E$2:$E$2000,G$4)</f>
        <v>0</v>
      </c>
      <c r="H92" s="33">
        <f>SUMIFS(台帳!$I$2:$I$2000,台帳!$A$2:$A$2000,$A92,台帳!$E$2:$E$2000,H$4)</f>
        <v>4</v>
      </c>
      <c r="I92" s="33">
        <f>SUMIFS(台帳!$I$2:$I$2000,台帳!$A$2:$A$2000,$A92,台帳!$E$2:$E$2000,I$4)</f>
        <v>0</v>
      </c>
      <c r="J92" s="33">
        <f>SUMIFS(台帳!$I$2:$I$2000,台帳!$A$2:$A$2000,$A92,台帳!$E$2:$E$2000,J$4)</f>
        <v>0</v>
      </c>
      <c r="K92" s="33">
        <f>SUMIFS(台帳!$I$2:$I$2000,台帳!$A$2:$A$2000,$A92,台帳!$E$2:$E$2000,K$4)</f>
        <v>0</v>
      </c>
      <c r="L92" s="33">
        <f>SUMIFS(台帳!$I$2:$I$2000,台帳!$A$2:$A$2000,$A92,台帳!$E$2:$E$2000,L$4)</f>
        <v>0</v>
      </c>
      <c r="M92" s="33">
        <f>SUMIFS(台帳!$I$2:$I$2000,台帳!$A$2:$A$2000,$A92,台帳!$E$2:$E$2000,M$4)</f>
        <v>0</v>
      </c>
      <c r="N92" s="33">
        <f>SUMIFS(台帳!$I$2:$I$2000,台帳!$A$2:$A$2000,$A92,台帳!$E$2:$E$2000,N$4)</f>
        <v>0</v>
      </c>
      <c r="O92" s="33">
        <f>SUMIFS(台帳!$I$2:$I$2000,台帳!$A$2:$A$2000,$A92,台帳!$D$2:$D$2000,"自社")</f>
        <v>4</v>
      </c>
      <c r="P92" s="33">
        <f>SUMIFS(台帳!$I$2:$I$2000,台帳!$A$2:$A$2000,$A92,台帳!$D$2:$D$2000,"業者")</f>
        <v>0</v>
      </c>
      <c r="Q92" s="33">
        <f>SUM(C92:N92)</f>
        <v>4</v>
      </c>
      <c r="R92" s="33">
        <f>R91+C92</f>
        <v>0</v>
      </c>
      <c r="S92" s="33">
        <f>S91+D92</f>
        <v>7</v>
      </c>
      <c r="T92" s="33">
        <f>T91+E92</f>
        <v>6</v>
      </c>
      <c r="U92" s="33">
        <f>U91+F92</f>
        <v>30</v>
      </c>
      <c r="V92" s="33">
        <f>V91+G92</f>
        <v>51</v>
      </c>
      <c r="W92" s="33">
        <f>W91+H92</f>
        <v>10</v>
      </c>
      <c r="X92" s="33">
        <f>X91+I92</f>
        <v>0</v>
      </c>
      <c r="Y92" s="33">
        <f>Y91+J92</f>
        <v>0</v>
      </c>
      <c r="Z92" s="33">
        <f>Z91+K92</f>
        <v>0</v>
      </c>
      <c r="AA92" s="33">
        <f>AA91+L92</f>
        <v>0</v>
      </c>
      <c r="AB92" s="33">
        <f>AB91+M92</f>
        <v>0</v>
      </c>
      <c r="AC92" s="33">
        <f>AC91+N92</f>
        <v>0</v>
      </c>
      <c r="AD92" s="33">
        <f>AD91+O92</f>
        <v>68</v>
      </c>
      <c r="AE92" s="33">
        <f>AE91+P92</f>
        <v>36</v>
      </c>
      <c r="AF92" s="33">
        <f>AF91+Q92</f>
        <v>104</v>
      </c>
      <c r="AG92" s="34" t="str">
        <f>IFERROR(INDEX(台帳!$H$2:$H$2000,MATCH($A92,台帳!$A$2:$A$2000,0)),"")</f>
        <v>床下地張り</v>
      </c>
    </row>
    <row r="93" spans="1:33" ht="15.75" x14ac:dyDescent="0.25">
      <c r="A93" s="31">
        <v>46220</v>
      </c>
      <c r="B93" s="32" t="str">
        <f>CHOOSE(WEEKDAY(A93),"日","月","火","水","木","金","土")</f>
        <v>金</v>
      </c>
      <c r="C93" s="33">
        <f>SUMIFS(台帳!$I$2:$I$2000,台帳!$A$2:$A$2000,$A93,台帳!$E$2:$E$2000,C$4)</f>
        <v>0</v>
      </c>
      <c r="D93" s="33">
        <f>SUMIFS(台帳!$I$2:$I$2000,台帳!$A$2:$A$2000,$A93,台帳!$E$2:$E$2000,D$4)</f>
        <v>0</v>
      </c>
      <c r="E93" s="33">
        <f>SUMIFS(台帳!$I$2:$I$2000,台帳!$A$2:$A$2000,$A93,台帳!$E$2:$E$2000,E$4)</f>
        <v>0</v>
      </c>
      <c r="F93" s="33">
        <f>SUMIFS(台帳!$I$2:$I$2000,台帳!$A$2:$A$2000,$A93,台帳!$E$2:$E$2000,F$4)</f>
        <v>0</v>
      </c>
      <c r="G93" s="33">
        <f>SUMIFS(台帳!$I$2:$I$2000,台帳!$A$2:$A$2000,$A93,台帳!$E$2:$E$2000,G$4)</f>
        <v>0</v>
      </c>
      <c r="H93" s="33">
        <f>SUMIFS(台帳!$I$2:$I$2000,台帳!$A$2:$A$2000,$A93,台帳!$E$2:$E$2000,H$4)</f>
        <v>4</v>
      </c>
      <c r="I93" s="33">
        <f>SUMIFS(台帳!$I$2:$I$2000,台帳!$A$2:$A$2000,$A93,台帳!$E$2:$E$2000,I$4)</f>
        <v>0</v>
      </c>
      <c r="J93" s="33">
        <f>SUMIFS(台帳!$I$2:$I$2000,台帳!$A$2:$A$2000,$A93,台帳!$E$2:$E$2000,J$4)</f>
        <v>0</v>
      </c>
      <c r="K93" s="33">
        <f>SUMIFS(台帳!$I$2:$I$2000,台帳!$A$2:$A$2000,$A93,台帳!$E$2:$E$2000,K$4)</f>
        <v>0</v>
      </c>
      <c r="L93" s="33">
        <f>SUMIFS(台帳!$I$2:$I$2000,台帳!$A$2:$A$2000,$A93,台帳!$E$2:$E$2000,L$4)</f>
        <v>0</v>
      </c>
      <c r="M93" s="33">
        <f>SUMIFS(台帳!$I$2:$I$2000,台帳!$A$2:$A$2000,$A93,台帳!$E$2:$E$2000,M$4)</f>
        <v>0</v>
      </c>
      <c r="N93" s="33">
        <f>SUMIFS(台帳!$I$2:$I$2000,台帳!$A$2:$A$2000,$A93,台帳!$E$2:$E$2000,N$4)</f>
        <v>0</v>
      </c>
      <c r="O93" s="33">
        <f>SUMIFS(台帳!$I$2:$I$2000,台帳!$A$2:$A$2000,$A93,台帳!$D$2:$D$2000,"自社")</f>
        <v>4</v>
      </c>
      <c r="P93" s="33">
        <f>SUMIFS(台帳!$I$2:$I$2000,台帳!$A$2:$A$2000,$A93,台帳!$D$2:$D$2000,"業者")</f>
        <v>0</v>
      </c>
      <c r="Q93" s="33">
        <f>SUM(C93:N93)</f>
        <v>4</v>
      </c>
      <c r="R93" s="33">
        <f>R92+C93</f>
        <v>0</v>
      </c>
      <c r="S93" s="33">
        <f>S92+D93</f>
        <v>7</v>
      </c>
      <c r="T93" s="33">
        <f>T92+E93</f>
        <v>6</v>
      </c>
      <c r="U93" s="33">
        <f>U92+F93</f>
        <v>30</v>
      </c>
      <c r="V93" s="33">
        <f>V92+G93</f>
        <v>51</v>
      </c>
      <c r="W93" s="33">
        <f>W92+H93</f>
        <v>14</v>
      </c>
      <c r="X93" s="33">
        <f>X92+I93</f>
        <v>0</v>
      </c>
      <c r="Y93" s="33">
        <f>Y92+J93</f>
        <v>0</v>
      </c>
      <c r="Z93" s="33">
        <f>Z92+K93</f>
        <v>0</v>
      </c>
      <c r="AA93" s="33">
        <f>AA92+L93</f>
        <v>0</v>
      </c>
      <c r="AB93" s="33">
        <f>AB92+M93</f>
        <v>0</v>
      </c>
      <c r="AC93" s="33">
        <f>AC92+N93</f>
        <v>0</v>
      </c>
      <c r="AD93" s="33">
        <f>AD92+O93</f>
        <v>72</v>
      </c>
      <c r="AE93" s="33">
        <f>AE92+P93</f>
        <v>36</v>
      </c>
      <c r="AF93" s="33">
        <f>AF92+Q93</f>
        <v>108</v>
      </c>
      <c r="AG93" s="34" t="str">
        <f>IFERROR(INDEX(台帳!$H$2:$H$2000,MATCH($A93,台帳!$A$2:$A$2000,0)),"")</f>
        <v>床張り</v>
      </c>
    </row>
    <row r="94" spans="1:33" ht="15.75" x14ac:dyDescent="0.25">
      <c r="A94" s="35">
        <v>46221</v>
      </c>
      <c r="B94" s="36" t="str">
        <f>CHOOSE(WEEKDAY(A94),"日","月","火","水","木","金","土")</f>
        <v>土</v>
      </c>
      <c r="C94" s="37">
        <f>SUMIFS(台帳!$I$2:$I$2000,台帳!$A$2:$A$2000,$A94,台帳!$E$2:$E$2000,C$4)</f>
        <v>0</v>
      </c>
      <c r="D94" s="37">
        <f>SUMIFS(台帳!$I$2:$I$2000,台帳!$A$2:$A$2000,$A94,台帳!$E$2:$E$2000,D$4)</f>
        <v>0</v>
      </c>
      <c r="E94" s="37">
        <f>SUMIFS(台帳!$I$2:$I$2000,台帳!$A$2:$A$2000,$A94,台帳!$E$2:$E$2000,E$4)</f>
        <v>0</v>
      </c>
      <c r="F94" s="37">
        <f>SUMIFS(台帳!$I$2:$I$2000,台帳!$A$2:$A$2000,$A94,台帳!$E$2:$E$2000,F$4)</f>
        <v>0</v>
      </c>
      <c r="G94" s="37">
        <f>SUMIFS(台帳!$I$2:$I$2000,台帳!$A$2:$A$2000,$A94,台帳!$E$2:$E$2000,G$4)</f>
        <v>0</v>
      </c>
      <c r="H94" s="37">
        <f>SUMIFS(台帳!$I$2:$I$2000,台帳!$A$2:$A$2000,$A94,台帳!$E$2:$E$2000,H$4)</f>
        <v>4</v>
      </c>
      <c r="I94" s="37">
        <f>SUMIFS(台帳!$I$2:$I$2000,台帳!$A$2:$A$2000,$A94,台帳!$E$2:$E$2000,I$4)</f>
        <v>0</v>
      </c>
      <c r="J94" s="37">
        <f>SUMIFS(台帳!$I$2:$I$2000,台帳!$A$2:$A$2000,$A94,台帳!$E$2:$E$2000,J$4)</f>
        <v>0</v>
      </c>
      <c r="K94" s="37">
        <f>SUMIFS(台帳!$I$2:$I$2000,台帳!$A$2:$A$2000,$A94,台帳!$E$2:$E$2000,K$4)</f>
        <v>0</v>
      </c>
      <c r="L94" s="37">
        <f>SUMIFS(台帳!$I$2:$I$2000,台帳!$A$2:$A$2000,$A94,台帳!$E$2:$E$2000,L$4)</f>
        <v>0</v>
      </c>
      <c r="M94" s="37">
        <f>SUMIFS(台帳!$I$2:$I$2000,台帳!$A$2:$A$2000,$A94,台帳!$E$2:$E$2000,M$4)</f>
        <v>0</v>
      </c>
      <c r="N94" s="37">
        <f>SUMIFS(台帳!$I$2:$I$2000,台帳!$A$2:$A$2000,$A94,台帳!$E$2:$E$2000,N$4)</f>
        <v>0</v>
      </c>
      <c r="O94" s="37">
        <f>SUMIFS(台帳!$I$2:$I$2000,台帳!$A$2:$A$2000,$A94,台帳!$D$2:$D$2000,"自社")</f>
        <v>4</v>
      </c>
      <c r="P94" s="37">
        <f>SUMIFS(台帳!$I$2:$I$2000,台帳!$A$2:$A$2000,$A94,台帳!$D$2:$D$2000,"業者")</f>
        <v>0</v>
      </c>
      <c r="Q94" s="37">
        <f>SUM(C94:N94)</f>
        <v>4</v>
      </c>
      <c r="R94" s="37">
        <f>R93+C94</f>
        <v>0</v>
      </c>
      <c r="S94" s="37">
        <f>S93+D94</f>
        <v>7</v>
      </c>
      <c r="T94" s="37">
        <f>T93+E94</f>
        <v>6</v>
      </c>
      <c r="U94" s="37">
        <f>U93+F94</f>
        <v>30</v>
      </c>
      <c r="V94" s="37">
        <f>V93+G94</f>
        <v>51</v>
      </c>
      <c r="W94" s="37">
        <f>W93+H94</f>
        <v>18</v>
      </c>
      <c r="X94" s="37">
        <f>X93+I94</f>
        <v>0</v>
      </c>
      <c r="Y94" s="37">
        <f>Y93+J94</f>
        <v>0</v>
      </c>
      <c r="Z94" s="37">
        <f>Z93+K94</f>
        <v>0</v>
      </c>
      <c r="AA94" s="37">
        <f>AA93+L94</f>
        <v>0</v>
      </c>
      <c r="AB94" s="37">
        <f>AB93+M94</f>
        <v>0</v>
      </c>
      <c r="AC94" s="37">
        <f>AC93+N94</f>
        <v>0</v>
      </c>
      <c r="AD94" s="37">
        <f>AD93+O94</f>
        <v>76</v>
      </c>
      <c r="AE94" s="37">
        <f>AE93+P94</f>
        <v>36</v>
      </c>
      <c r="AF94" s="37">
        <f>AF93+Q94</f>
        <v>112</v>
      </c>
      <c r="AG94" s="38" t="str">
        <f>IFERROR(INDEX(台帳!$H$2:$H$2000,MATCH($A94,台帳!$A$2:$A$2000,0)),"")</f>
        <v>軸組棟上げ（上棟）</v>
      </c>
    </row>
    <row r="95" spans="1:33" ht="15.75" x14ac:dyDescent="0.25">
      <c r="A95" s="35">
        <v>46222</v>
      </c>
      <c r="B95" s="36" t="str">
        <f>CHOOSE(WEEKDAY(A95),"日","月","火","水","木","金","土")</f>
        <v>日</v>
      </c>
      <c r="C95" s="37">
        <f>SUMIFS(台帳!$I$2:$I$2000,台帳!$A$2:$A$2000,$A95,台帳!$E$2:$E$2000,C$4)</f>
        <v>0</v>
      </c>
      <c r="D95" s="37">
        <f>SUMIFS(台帳!$I$2:$I$2000,台帳!$A$2:$A$2000,$A95,台帳!$E$2:$E$2000,D$4)</f>
        <v>0</v>
      </c>
      <c r="E95" s="37">
        <f>SUMIFS(台帳!$I$2:$I$2000,台帳!$A$2:$A$2000,$A95,台帳!$E$2:$E$2000,E$4)</f>
        <v>0</v>
      </c>
      <c r="F95" s="37">
        <f>SUMIFS(台帳!$I$2:$I$2000,台帳!$A$2:$A$2000,$A95,台帳!$E$2:$E$2000,F$4)</f>
        <v>0</v>
      </c>
      <c r="G95" s="37">
        <f>SUMIFS(台帳!$I$2:$I$2000,台帳!$A$2:$A$2000,$A95,台帳!$E$2:$E$2000,G$4)</f>
        <v>0</v>
      </c>
      <c r="H95" s="37">
        <f>SUMIFS(台帳!$I$2:$I$2000,台帳!$A$2:$A$2000,$A95,台帳!$E$2:$E$2000,H$4)</f>
        <v>1</v>
      </c>
      <c r="I95" s="37">
        <f>SUMIFS(台帳!$I$2:$I$2000,台帳!$A$2:$A$2000,$A95,台帳!$E$2:$E$2000,I$4)</f>
        <v>0</v>
      </c>
      <c r="J95" s="37">
        <f>SUMIFS(台帳!$I$2:$I$2000,台帳!$A$2:$A$2000,$A95,台帳!$E$2:$E$2000,J$4)</f>
        <v>0</v>
      </c>
      <c r="K95" s="37">
        <f>SUMIFS(台帳!$I$2:$I$2000,台帳!$A$2:$A$2000,$A95,台帳!$E$2:$E$2000,K$4)</f>
        <v>0</v>
      </c>
      <c r="L95" s="37">
        <f>SUMIFS(台帳!$I$2:$I$2000,台帳!$A$2:$A$2000,$A95,台帳!$E$2:$E$2000,L$4)</f>
        <v>0</v>
      </c>
      <c r="M95" s="37">
        <f>SUMIFS(台帳!$I$2:$I$2000,台帳!$A$2:$A$2000,$A95,台帳!$E$2:$E$2000,M$4)</f>
        <v>0</v>
      </c>
      <c r="N95" s="37">
        <f>SUMIFS(台帳!$I$2:$I$2000,台帳!$A$2:$A$2000,$A95,台帳!$E$2:$E$2000,N$4)</f>
        <v>0</v>
      </c>
      <c r="O95" s="37">
        <f>SUMIFS(台帳!$I$2:$I$2000,台帳!$A$2:$A$2000,$A95,台帳!$D$2:$D$2000,"自社")</f>
        <v>1</v>
      </c>
      <c r="P95" s="37">
        <f>SUMIFS(台帳!$I$2:$I$2000,台帳!$A$2:$A$2000,$A95,台帳!$D$2:$D$2000,"業者")</f>
        <v>0</v>
      </c>
      <c r="Q95" s="37">
        <f>SUM(C95:N95)</f>
        <v>1</v>
      </c>
      <c r="R95" s="37">
        <f>R94+C95</f>
        <v>0</v>
      </c>
      <c r="S95" s="37">
        <f>S94+D95</f>
        <v>7</v>
      </c>
      <c r="T95" s="37">
        <f>T94+E95</f>
        <v>6</v>
      </c>
      <c r="U95" s="37">
        <f>U94+F95</f>
        <v>30</v>
      </c>
      <c r="V95" s="37">
        <f>V94+G95</f>
        <v>51</v>
      </c>
      <c r="W95" s="37">
        <f>W94+H95</f>
        <v>19</v>
      </c>
      <c r="X95" s="37">
        <f>X94+I95</f>
        <v>0</v>
      </c>
      <c r="Y95" s="37">
        <f>Y94+J95</f>
        <v>0</v>
      </c>
      <c r="Z95" s="37">
        <f>Z94+K95</f>
        <v>0</v>
      </c>
      <c r="AA95" s="37">
        <f>AA94+L95</f>
        <v>0</v>
      </c>
      <c r="AB95" s="37">
        <f>AB94+M95</f>
        <v>0</v>
      </c>
      <c r="AC95" s="37">
        <f>AC94+N95</f>
        <v>0</v>
      </c>
      <c r="AD95" s="37">
        <f>AD94+O95</f>
        <v>77</v>
      </c>
      <c r="AE95" s="37">
        <f>AE94+P95</f>
        <v>36</v>
      </c>
      <c r="AF95" s="37">
        <f>AF94+Q95</f>
        <v>113</v>
      </c>
      <c r="AG95" s="38" t="str">
        <f>IFERROR(INDEX(台帳!$H$2:$H$2000,MATCH($A95,台帳!$A$2:$A$2000,0)),"")</f>
        <v>天井野地板張り</v>
      </c>
    </row>
    <row r="96" spans="1:33" ht="15.75" x14ac:dyDescent="0.25">
      <c r="A96" s="31">
        <v>46223</v>
      </c>
      <c r="B96" s="32" t="str">
        <f>CHOOSE(WEEKDAY(A96),"日","月","火","水","木","金","土")</f>
        <v>月</v>
      </c>
      <c r="C96" s="33">
        <f>SUMIFS(台帳!$I$2:$I$2000,台帳!$A$2:$A$2000,$A96,台帳!$E$2:$E$2000,C$4)</f>
        <v>0</v>
      </c>
      <c r="D96" s="33">
        <f>SUMIFS(台帳!$I$2:$I$2000,台帳!$A$2:$A$2000,$A96,台帳!$E$2:$E$2000,D$4)</f>
        <v>0</v>
      </c>
      <c r="E96" s="33">
        <f>SUMIFS(台帳!$I$2:$I$2000,台帳!$A$2:$A$2000,$A96,台帳!$E$2:$E$2000,E$4)</f>
        <v>0</v>
      </c>
      <c r="F96" s="33">
        <f>SUMIFS(台帳!$I$2:$I$2000,台帳!$A$2:$A$2000,$A96,台帳!$E$2:$E$2000,F$4)</f>
        <v>0</v>
      </c>
      <c r="G96" s="33">
        <f>SUMIFS(台帳!$I$2:$I$2000,台帳!$A$2:$A$2000,$A96,台帳!$E$2:$E$2000,G$4)</f>
        <v>0</v>
      </c>
      <c r="H96" s="33">
        <f>SUMIFS(台帳!$I$2:$I$2000,台帳!$A$2:$A$2000,$A96,台帳!$E$2:$E$2000,H$4)</f>
        <v>3</v>
      </c>
      <c r="I96" s="33">
        <f>SUMIFS(台帳!$I$2:$I$2000,台帳!$A$2:$A$2000,$A96,台帳!$E$2:$E$2000,I$4)</f>
        <v>0</v>
      </c>
      <c r="J96" s="33">
        <f>SUMIFS(台帳!$I$2:$I$2000,台帳!$A$2:$A$2000,$A96,台帳!$E$2:$E$2000,J$4)</f>
        <v>0</v>
      </c>
      <c r="K96" s="33">
        <f>SUMIFS(台帳!$I$2:$I$2000,台帳!$A$2:$A$2000,$A96,台帳!$E$2:$E$2000,K$4)</f>
        <v>0</v>
      </c>
      <c r="L96" s="33">
        <f>SUMIFS(台帳!$I$2:$I$2000,台帳!$A$2:$A$2000,$A96,台帳!$E$2:$E$2000,L$4)</f>
        <v>0</v>
      </c>
      <c r="M96" s="33">
        <f>SUMIFS(台帳!$I$2:$I$2000,台帳!$A$2:$A$2000,$A96,台帳!$E$2:$E$2000,M$4)</f>
        <v>0</v>
      </c>
      <c r="N96" s="33">
        <f>SUMIFS(台帳!$I$2:$I$2000,台帳!$A$2:$A$2000,$A96,台帳!$E$2:$E$2000,N$4)</f>
        <v>0</v>
      </c>
      <c r="O96" s="33">
        <f>SUMIFS(台帳!$I$2:$I$2000,台帳!$A$2:$A$2000,$A96,台帳!$D$2:$D$2000,"自社")</f>
        <v>3</v>
      </c>
      <c r="P96" s="33">
        <f>SUMIFS(台帳!$I$2:$I$2000,台帳!$A$2:$A$2000,$A96,台帳!$D$2:$D$2000,"業者")</f>
        <v>0</v>
      </c>
      <c r="Q96" s="33">
        <f>SUM(C96:N96)</f>
        <v>3</v>
      </c>
      <c r="R96" s="33">
        <f>R95+C96</f>
        <v>0</v>
      </c>
      <c r="S96" s="33">
        <f>S95+D96</f>
        <v>7</v>
      </c>
      <c r="T96" s="33">
        <f>T95+E96</f>
        <v>6</v>
      </c>
      <c r="U96" s="33">
        <f>U95+F96</f>
        <v>30</v>
      </c>
      <c r="V96" s="33">
        <f>V95+G96</f>
        <v>51</v>
      </c>
      <c r="W96" s="33">
        <f>W95+H96</f>
        <v>22</v>
      </c>
      <c r="X96" s="33">
        <f>X95+I96</f>
        <v>0</v>
      </c>
      <c r="Y96" s="33">
        <f>Y95+J96</f>
        <v>0</v>
      </c>
      <c r="Z96" s="33">
        <f>Z95+K96</f>
        <v>0</v>
      </c>
      <c r="AA96" s="33">
        <f>AA95+L96</f>
        <v>0</v>
      </c>
      <c r="AB96" s="33">
        <f>AB95+M96</f>
        <v>0</v>
      </c>
      <c r="AC96" s="33">
        <f>AC95+N96</f>
        <v>0</v>
      </c>
      <c r="AD96" s="33">
        <f>AD95+O96</f>
        <v>80</v>
      </c>
      <c r="AE96" s="33">
        <f>AE95+P96</f>
        <v>36</v>
      </c>
      <c r="AF96" s="33">
        <f>AF95+Q96</f>
        <v>116</v>
      </c>
      <c r="AG96" s="34" t="str">
        <f>IFERROR(INDEX(台帳!$H$2:$H$2000,MATCH($A96,台帳!$A$2:$A$2000,0)),"")</f>
        <v>間柱設置及び筋交い設置</v>
      </c>
    </row>
    <row r="97" spans="1:33" ht="15.75" x14ac:dyDescent="0.25">
      <c r="A97" s="31">
        <v>46224</v>
      </c>
      <c r="B97" s="32" t="str">
        <f>CHOOSE(WEEKDAY(A97),"日","月","火","水","木","金","土")</f>
        <v>火</v>
      </c>
      <c r="C97" s="33">
        <f>SUMIFS(台帳!$I$2:$I$2000,台帳!$A$2:$A$2000,$A97,台帳!$E$2:$E$2000,C$4)</f>
        <v>0</v>
      </c>
      <c r="D97" s="33">
        <f>SUMIFS(台帳!$I$2:$I$2000,台帳!$A$2:$A$2000,$A97,台帳!$E$2:$E$2000,D$4)</f>
        <v>0</v>
      </c>
      <c r="E97" s="33">
        <f>SUMIFS(台帳!$I$2:$I$2000,台帳!$A$2:$A$2000,$A97,台帳!$E$2:$E$2000,E$4)</f>
        <v>0</v>
      </c>
      <c r="F97" s="33">
        <f>SUMIFS(台帳!$I$2:$I$2000,台帳!$A$2:$A$2000,$A97,台帳!$E$2:$E$2000,F$4)</f>
        <v>0</v>
      </c>
      <c r="G97" s="33">
        <f>SUMIFS(台帳!$I$2:$I$2000,台帳!$A$2:$A$2000,$A97,台帳!$E$2:$E$2000,G$4)</f>
        <v>0</v>
      </c>
      <c r="H97" s="33">
        <f>SUMIFS(台帳!$I$2:$I$2000,台帳!$A$2:$A$2000,$A97,台帳!$E$2:$E$2000,H$4)</f>
        <v>3</v>
      </c>
      <c r="I97" s="33">
        <f>SUMIFS(台帳!$I$2:$I$2000,台帳!$A$2:$A$2000,$A97,台帳!$E$2:$E$2000,I$4)</f>
        <v>0</v>
      </c>
      <c r="J97" s="33">
        <f>SUMIFS(台帳!$I$2:$I$2000,台帳!$A$2:$A$2000,$A97,台帳!$E$2:$E$2000,J$4)</f>
        <v>0</v>
      </c>
      <c r="K97" s="33">
        <f>SUMIFS(台帳!$I$2:$I$2000,台帳!$A$2:$A$2000,$A97,台帳!$E$2:$E$2000,K$4)</f>
        <v>0</v>
      </c>
      <c r="L97" s="33">
        <f>SUMIFS(台帳!$I$2:$I$2000,台帳!$A$2:$A$2000,$A97,台帳!$E$2:$E$2000,L$4)</f>
        <v>0</v>
      </c>
      <c r="M97" s="33">
        <f>SUMIFS(台帳!$I$2:$I$2000,台帳!$A$2:$A$2000,$A97,台帳!$E$2:$E$2000,M$4)</f>
        <v>0</v>
      </c>
      <c r="N97" s="33">
        <f>SUMIFS(台帳!$I$2:$I$2000,台帳!$A$2:$A$2000,$A97,台帳!$E$2:$E$2000,N$4)</f>
        <v>0</v>
      </c>
      <c r="O97" s="33">
        <f>SUMIFS(台帳!$I$2:$I$2000,台帳!$A$2:$A$2000,$A97,台帳!$D$2:$D$2000,"自社")</f>
        <v>3</v>
      </c>
      <c r="P97" s="33">
        <f>SUMIFS(台帳!$I$2:$I$2000,台帳!$A$2:$A$2000,$A97,台帳!$D$2:$D$2000,"業者")</f>
        <v>0</v>
      </c>
      <c r="Q97" s="33">
        <f>SUM(C97:N97)</f>
        <v>3</v>
      </c>
      <c r="R97" s="33">
        <f>R96+C97</f>
        <v>0</v>
      </c>
      <c r="S97" s="33">
        <f>S96+D97</f>
        <v>7</v>
      </c>
      <c r="T97" s="33">
        <f>T96+E97</f>
        <v>6</v>
      </c>
      <c r="U97" s="33">
        <f>U96+F97</f>
        <v>30</v>
      </c>
      <c r="V97" s="33">
        <f>V96+G97</f>
        <v>51</v>
      </c>
      <c r="W97" s="33">
        <f>W96+H97</f>
        <v>25</v>
      </c>
      <c r="X97" s="33">
        <f>X96+I97</f>
        <v>0</v>
      </c>
      <c r="Y97" s="33">
        <f>Y96+J97</f>
        <v>0</v>
      </c>
      <c r="Z97" s="33">
        <f>Z96+K97</f>
        <v>0</v>
      </c>
      <c r="AA97" s="33">
        <f>AA96+L97</f>
        <v>0</v>
      </c>
      <c r="AB97" s="33">
        <f>AB96+M97</f>
        <v>0</v>
      </c>
      <c r="AC97" s="33">
        <f>AC96+N97</f>
        <v>0</v>
      </c>
      <c r="AD97" s="33">
        <f>AD96+O97</f>
        <v>83</v>
      </c>
      <c r="AE97" s="33">
        <f>AE96+P97</f>
        <v>36</v>
      </c>
      <c r="AF97" s="33">
        <f>AF96+Q97</f>
        <v>119</v>
      </c>
      <c r="AG97" s="34" t="str">
        <f>IFERROR(INDEX(台帳!$H$2:$H$2000,MATCH($A97,台帳!$A$2:$A$2000,0)),"")</f>
        <v>ノボパン張り</v>
      </c>
    </row>
    <row r="98" spans="1:33" ht="15.75" x14ac:dyDescent="0.25">
      <c r="A98" s="31">
        <v>46225</v>
      </c>
      <c r="B98" s="32" t="str">
        <f>CHOOSE(WEEKDAY(A98),"日","月","火","水","木","金","土")</f>
        <v>水</v>
      </c>
      <c r="C98" s="33">
        <f>SUMIFS(台帳!$I$2:$I$2000,台帳!$A$2:$A$2000,$A98,台帳!$E$2:$E$2000,C$4)</f>
        <v>0</v>
      </c>
      <c r="D98" s="33">
        <f>SUMIFS(台帳!$I$2:$I$2000,台帳!$A$2:$A$2000,$A98,台帳!$E$2:$E$2000,D$4)</f>
        <v>0</v>
      </c>
      <c r="E98" s="33">
        <f>SUMIFS(台帳!$I$2:$I$2000,台帳!$A$2:$A$2000,$A98,台帳!$E$2:$E$2000,E$4)</f>
        <v>0</v>
      </c>
      <c r="F98" s="33">
        <f>SUMIFS(台帳!$I$2:$I$2000,台帳!$A$2:$A$2000,$A98,台帳!$E$2:$E$2000,F$4)</f>
        <v>0</v>
      </c>
      <c r="G98" s="33">
        <f>SUMIFS(台帳!$I$2:$I$2000,台帳!$A$2:$A$2000,$A98,台帳!$E$2:$E$2000,G$4)</f>
        <v>0</v>
      </c>
      <c r="H98" s="33">
        <f>SUMIFS(台帳!$I$2:$I$2000,台帳!$A$2:$A$2000,$A98,台帳!$E$2:$E$2000,H$4)</f>
        <v>3</v>
      </c>
      <c r="I98" s="33">
        <f>SUMIFS(台帳!$I$2:$I$2000,台帳!$A$2:$A$2000,$A98,台帳!$E$2:$E$2000,I$4)</f>
        <v>0</v>
      </c>
      <c r="J98" s="33">
        <f>SUMIFS(台帳!$I$2:$I$2000,台帳!$A$2:$A$2000,$A98,台帳!$E$2:$E$2000,J$4)</f>
        <v>0</v>
      </c>
      <c r="K98" s="33">
        <f>SUMIFS(台帳!$I$2:$I$2000,台帳!$A$2:$A$2000,$A98,台帳!$E$2:$E$2000,K$4)</f>
        <v>0</v>
      </c>
      <c r="L98" s="33">
        <f>SUMIFS(台帳!$I$2:$I$2000,台帳!$A$2:$A$2000,$A98,台帳!$E$2:$E$2000,L$4)</f>
        <v>0</v>
      </c>
      <c r="M98" s="33">
        <f>SUMIFS(台帳!$I$2:$I$2000,台帳!$A$2:$A$2000,$A98,台帳!$E$2:$E$2000,M$4)</f>
        <v>0</v>
      </c>
      <c r="N98" s="33">
        <f>SUMIFS(台帳!$I$2:$I$2000,台帳!$A$2:$A$2000,$A98,台帳!$E$2:$E$2000,N$4)</f>
        <v>0</v>
      </c>
      <c r="O98" s="33">
        <f>SUMIFS(台帳!$I$2:$I$2000,台帳!$A$2:$A$2000,$A98,台帳!$D$2:$D$2000,"自社")</f>
        <v>3</v>
      </c>
      <c r="P98" s="33">
        <f>SUMIFS(台帳!$I$2:$I$2000,台帳!$A$2:$A$2000,$A98,台帳!$D$2:$D$2000,"業者")</f>
        <v>0</v>
      </c>
      <c r="Q98" s="33">
        <f>SUM(C98:N98)</f>
        <v>3</v>
      </c>
      <c r="R98" s="33">
        <f>R97+C98</f>
        <v>0</v>
      </c>
      <c r="S98" s="33">
        <f>S97+D98</f>
        <v>7</v>
      </c>
      <c r="T98" s="33">
        <f>T97+E98</f>
        <v>6</v>
      </c>
      <c r="U98" s="33">
        <f>U97+F98</f>
        <v>30</v>
      </c>
      <c r="V98" s="33">
        <f>V97+G98</f>
        <v>51</v>
      </c>
      <c r="W98" s="33">
        <f>W97+H98</f>
        <v>28</v>
      </c>
      <c r="X98" s="33">
        <f>X97+I98</f>
        <v>0</v>
      </c>
      <c r="Y98" s="33">
        <f>Y97+J98</f>
        <v>0</v>
      </c>
      <c r="Z98" s="33">
        <f>Z97+K98</f>
        <v>0</v>
      </c>
      <c r="AA98" s="33">
        <f>AA97+L98</f>
        <v>0</v>
      </c>
      <c r="AB98" s="33">
        <f>AB97+M98</f>
        <v>0</v>
      </c>
      <c r="AC98" s="33">
        <f>AC97+N98</f>
        <v>0</v>
      </c>
      <c r="AD98" s="33">
        <f>AD97+O98</f>
        <v>86</v>
      </c>
      <c r="AE98" s="33">
        <f>AE97+P98</f>
        <v>36</v>
      </c>
      <c r="AF98" s="33">
        <f>AF97+Q98</f>
        <v>122</v>
      </c>
      <c r="AG98" s="34" t="str">
        <f>IFERROR(INDEX(台帳!$H$2:$H$2000,MATCH($A98,台帳!$A$2:$A$2000,0)),"")</f>
        <v>外壁下地ノボパン張り</v>
      </c>
    </row>
    <row r="99" spans="1:33" ht="15.75" x14ac:dyDescent="0.25">
      <c r="A99" s="31">
        <v>46226</v>
      </c>
      <c r="B99" s="32" t="str">
        <f>CHOOSE(WEEKDAY(A99),"日","月","火","水","木","金","土")</f>
        <v>木</v>
      </c>
      <c r="C99" s="33">
        <f>SUMIFS(台帳!$I$2:$I$2000,台帳!$A$2:$A$2000,$A99,台帳!$E$2:$E$2000,C$4)</f>
        <v>0</v>
      </c>
      <c r="D99" s="33">
        <f>SUMIFS(台帳!$I$2:$I$2000,台帳!$A$2:$A$2000,$A99,台帳!$E$2:$E$2000,D$4)</f>
        <v>0</v>
      </c>
      <c r="E99" s="33">
        <f>SUMIFS(台帳!$I$2:$I$2000,台帳!$A$2:$A$2000,$A99,台帳!$E$2:$E$2000,E$4)</f>
        <v>0</v>
      </c>
      <c r="F99" s="33">
        <f>SUMIFS(台帳!$I$2:$I$2000,台帳!$A$2:$A$2000,$A99,台帳!$E$2:$E$2000,F$4)</f>
        <v>0</v>
      </c>
      <c r="G99" s="33">
        <f>SUMIFS(台帳!$I$2:$I$2000,台帳!$A$2:$A$2000,$A99,台帳!$E$2:$E$2000,G$4)</f>
        <v>0</v>
      </c>
      <c r="H99" s="33">
        <f>SUMIFS(台帳!$I$2:$I$2000,台帳!$A$2:$A$2000,$A99,台帳!$E$2:$E$2000,H$4)</f>
        <v>2</v>
      </c>
      <c r="I99" s="33">
        <f>SUMIFS(台帳!$I$2:$I$2000,台帳!$A$2:$A$2000,$A99,台帳!$E$2:$E$2000,I$4)</f>
        <v>0</v>
      </c>
      <c r="J99" s="33">
        <f>SUMIFS(台帳!$I$2:$I$2000,台帳!$A$2:$A$2000,$A99,台帳!$E$2:$E$2000,J$4)</f>
        <v>0</v>
      </c>
      <c r="K99" s="33">
        <f>SUMIFS(台帳!$I$2:$I$2000,台帳!$A$2:$A$2000,$A99,台帳!$E$2:$E$2000,K$4)</f>
        <v>0</v>
      </c>
      <c r="L99" s="33">
        <f>SUMIFS(台帳!$I$2:$I$2000,台帳!$A$2:$A$2000,$A99,台帳!$E$2:$E$2000,L$4)</f>
        <v>0</v>
      </c>
      <c r="M99" s="33">
        <f>SUMIFS(台帳!$I$2:$I$2000,台帳!$A$2:$A$2000,$A99,台帳!$E$2:$E$2000,M$4)</f>
        <v>0</v>
      </c>
      <c r="N99" s="33">
        <f>SUMIFS(台帳!$I$2:$I$2000,台帳!$A$2:$A$2000,$A99,台帳!$E$2:$E$2000,N$4)</f>
        <v>0</v>
      </c>
      <c r="O99" s="33">
        <f>SUMIFS(台帳!$I$2:$I$2000,台帳!$A$2:$A$2000,$A99,台帳!$D$2:$D$2000,"自社")</f>
        <v>2</v>
      </c>
      <c r="P99" s="33">
        <f>SUMIFS(台帳!$I$2:$I$2000,台帳!$A$2:$A$2000,$A99,台帳!$D$2:$D$2000,"業者")</f>
        <v>0</v>
      </c>
      <c r="Q99" s="33">
        <f>SUM(C99:N99)</f>
        <v>2</v>
      </c>
      <c r="R99" s="33">
        <f>R98+C99</f>
        <v>0</v>
      </c>
      <c r="S99" s="33">
        <f>S98+D99</f>
        <v>7</v>
      </c>
      <c r="T99" s="33">
        <f>T98+E99</f>
        <v>6</v>
      </c>
      <c r="U99" s="33">
        <f>U98+F99</f>
        <v>30</v>
      </c>
      <c r="V99" s="33">
        <f>V98+G99</f>
        <v>51</v>
      </c>
      <c r="W99" s="33">
        <f>W98+H99</f>
        <v>30</v>
      </c>
      <c r="X99" s="33">
        <f>X98+I99</f>
        <v>0</v>
      </c>
      <c r="Y99" s="33">
        <f>Y98+J99</f>
        <v>0</v>
      </c>
      <c r="Z99" s="33">
        <f>Z98+K99</f>
        <v>0</v>
      </c>
      <c r="AA99" s="33">
        <f>AA98+L99</f>
        <v>0</v>
      </c>
      <c r="AB99" s="33">
        <f>AB98+M99</f>
        <v>0</v>
      </c>
      <c r="AC99" s="33">
        <f>AC98+N99</f>
        <v>0</v>
      </c>
      <c r="AD99" s="33">
        <f>AD98+O99</f>
        <v>88</v>
      </c>
      <c r="AE99" s="33">
        <f>AE98+P99</f>
        <v>36</v>
      </c>
      <c r="AF99" s="33">
        <f>AF98+Q99</f>
        <v>124</v>
      </c>
      <c r="AG99" s="34" t="str">
        <f>IFERROR(INDEX(台帳!$H$2:$H$2000,MATCH($A99,台帳!$A$2:$A$2000,0)),"")</f>
        <v>外壁下地ノボパン張り・サッシ取付</v>
      </c>
    </row>
    <row r="100" spans="1:33" ht="15.75" x14ac:dyDescent="0.25">
      <c r="A100" s="31">
        <v>46227</v>
      </c>
      <c r="B100" s="32" t="str">
        <f>CHOOSE(WEEKDAY(A100),"日","月","火","水","木","金","土")</f>
        <v>金</v>
      </c>
      <c r="C100" s="33">
        <f>SUMIFS(台帳!$I$2:$I$2000,台帳!$A$2:$A$2000,$A100,台帳!$E$2:$E$2000,C$4)</f>
        <v>0</v>
      </c>
      <c r="D100" s="33">
        <f>SUMIFS(台帳!$I$2:$I$2000,台帳!$A$2:$A$2000,$A100,台帳!$E$2:$E$2000,D$4)</f>
        <v>0</v>
      </c>
      <c r="E100" s="33">
        <f>SUMIFS(台帳!$I$2:$I$2000,台帳!$A$2:$A$2000,$A100,台帳!$E$2:$E$2000,E$4)</f>
        <v>0</v>
      </c>
      <c r="F100" s="33">
        <f>SUMIFS(台帳!$I$2:$I$2000,台帳!$A$2:$A$2000,$A100,台帳!$E$2:$E$2000,F$4)</f>
        <v>0</v>
      </c>
      <c r="G100" s="33">
        <f>SUMIFS(台帳!$I$2:$I$2000,台帳!$A$2:$A$2000,$A100,台帳!$E$2:$E$2000,G$4)</f>
        <v>0</v>
      </c>
      <c r="H100" s="33">
        <f>SUMIFS(台帳!$I$2:$I$2000,台帳!$A$2:$A$2000,$A100,台帳!$E$2:$E$2000,H$4)</f>
        <v>2</v>
      </c>
      <c r="I100" s="33">
        <f>SUMIFS(台帳!$I$2:$I$2000,台帳!$A$2:$A$2000,$A100,台帳!$E$2:$E$2000,I$4)</f>
        <v>0</v>
      </c>
      <c r="J100" s="33">
        <f>SUMIFS(台帳!$I$2:$I$2000,台帳!$A$2:$A$2000,$A100,台帳!$E$2:$E$2000,J$4)</f>
        <v>0</v>
      </c>
      <c r="K100" s="33">
        <f>SUMIFS(台帳!$I$2:$I$2000,台帳!$A$2:$A$2000,$A100,台帳!$E$2:$E$2000,K$4)</f>
        <v>0</v>
      </c>
      <c r="L100" s="33">
        <f>SUMIFS(台帳!$I$2:$I$2000,台帳!$A$2:$A$2000,$A100,台帳!$E$2:$E$2000,L$4)</f>
        <v>0</v>
      </c>
      <c r="M100" s="33">
        <f>SUMIFS(台帳!$I$2:$I$2000,台帳!$A$2:$A$2000,$A100,台帳!$E$2:$E$2000,M$4)</f>
        <v>0</v>
      </c>
      <c r="N100" s="33">
        <f>SUMIFS(台帳!$I$2:$I$2000,台帳!$A$2:$A$2000,$A100,台帳!$E$2:$E$2000,N$4)</f>
        <v>0</v>
      </c>
      <c r="O100" s="33">
        <f>SUMIFS(台帳!$I$2:$I$2000,台帳!$A$2:$A$2000,$A100,台帳!$D$2:$D$2000,"自社")</f>
        <v>2</v>
      </c>
      <c r="P100" s="33">
        <f>SUMIFS(台帳!$I$2:$I$2000,台帳!$A$2:$A$2000,$A100,台帳!$D$2:$D$2000,"業者")</f>
        <v>0</v>
      </c>
      <c r="Q100" s="33">
        <f>SUM(C100:N100)</f>
        <v>2</v>
      </c>
      <c r="R100" s="33">
        <f>R99+C100</f>
        <v>0</v>
      </c>
      <c r="S100" s="33">
        <f>S99+D100</f>
        <v>7</v>
      </c>
      <c r="T100" s="33">
        <f>T99+E100</f>
        <v>6</v>
      </c>
      <c r="U100" s="33">
        <f>U99+F100</f>
        <v>30</v>
      </c>
      <c r="V100" s="33">
        <f>V99+G100</f>
        <v>51</v>
      </c>
      <c r="W100" s="33">
        <f>W99+H100</f>
        <v>32</v>
      </c>
      <c r="X100" s="33">
        <f>X99+I100</f>
        <v>0</v>
      </c>
      <c r="Y100" s="33">
        <f>Y99+J100</f>
        <v>0</v>
      </c>
      <c r="Z100" s="33">
        <f>Z99+K100</f>
        <v>0</v>
      </c>
      <c r="AA100" s="33">
        <f>AA99+L100</f>
        <v>0</v>
      </c>
      <c r="AB100" s="33">
        <f>AB99+M100</f>
        <v>0</v>
      </c>
      <c r="AC100" s="33">
        <f>AC99+N100</f>
        <v>0</v>
      </c>
      <c r="AD100" s="33">
        <f>AD99+O100</f>
        <v>90</v>
      </c>
      <c r="AE100" s="33">
        <f>AE99+P100</f>
        <v>36</v>
      </c>
      <c r="AF100" s="33">
        <f>AF99+Q100</f>
        <v>126</v>
      </c>
      <c r="AG100" s="34" t="str">
        <f>IFERROR(INDEX(台帳!$H$2:$H$2000,MATCH($A100,台帳!$A$2:$A$2000,0)),"")</f>
        <v>外壁下地ノボパン張り</v>
      </c>
    </row>
    <row r="101" spans="1:33" ht="15.75" x14ac:dyDescent="0.25">
      <c r="A101" s="35">
        <v>46228</v>
      </c>
      <c r="B101" s="36" t="str">
        <f>CHOOSE(WEEKDAY(A101),"日","月","火","水","木","金","土")</f>
        <v>土</v>
      </c>
      <c r="C101" s="37">
        <f>SUMIFS(台帳!$I$2:$I$2000,台帳!$A$2:$A$2000,$A101,台帳!$E$2:$E$2000,C$4)</f>
        <v>0</v>
      </c>
      <c r="D101" s="37">
        <f>SUMIFS(台帳!$I$2:$I$2000,台帳!$A$2:$A$2000,$A101,台帳!$E$2:$E$2000,D$4)</f>
        <v>0</v>
      </c>
      <c r="E101" s="37">
        <f>SUMIFS(台帳!$I$2:$I$2000,台帳!$A$2:$A$2000,$A101,台帳!$E$2:$E$2000,E$4)</f>
        <v>0</v>
      </c>
      <c r="F101" s="37">
        <f>SUMIFS(台帳!$I$2:$I$2000,台帳!$A$2:$A$2000,$A101,台帳!$E$2:$E$2000,F$4)</f>
        <v>0</v>
      </c>
      <c r="G101" s="37">
        <f>SUMIFS(台帳!$I$2:$I$2000,台帳!$A$2:$A$2000,$A101,台帳!$E$2:$E$2000,G$4)</f>
        <v>0</v>
      </c>
      <c r="H101" s="37">
        <f>SUMIFS(台帳!$I$2:$I$2000,台帳!$A$2:$A$2000,$A101,台帳!$E$2:$E$2000,H$4)</f>
        <v>2</v>
      </c>
      <c r="I101" s="37">
        <f>SUMIFS(台帳!$I$2:$I$2000,台帳!$A$2:$A$2000,$A101,台帳!$E$2:$E$2000,I$4)</f>
        <v>0</v>
      </c>
      <c r="J101" s="37">
        <f>SUMIFS(台帳!$I$2:$I$2000,台帳!$A$2:$A$2000,$A101,台帳!$E$2:$E$2000,J$4)</f>
        <v>0</v>
      </c>
      <c r="K101" s="37">
        <f>SUMIFS(台帳!$I$2:$I$2000,台帳!$A$2:$A$2000,$A101,台帳!$E$2:$E$2000,K$4)</f>
        <v>0</v>
      </c>
      <c r="L101" s="37">
        <f>SUMIFS(台帳!$I$2:$I$2000,台帳!$A$2:$A$2000,$A101,台帳!$E$2:$E$2000,L$4)</f>
        <v>0</v>
      </c>
      <c r="M101" s="37">
        <f>SUMIFS(台帳!$I$2:$I$2000,台帳!$A$2:$A$2000,$A101,台帳!$E$2:$E$2000,M$4)</f>
        <v>0</v>
      </c>
      <c r="N101" s="37">
        <f>SUMIFS(台帳!$I$2:$I$2000,台帳!$A$2:$A$2000,$A101,台帳!$E$2:$E$2000,N$4)</f>
        <v>0</v>
      </c>
      <c r="O101" s="37">
        <f>SUMIFS(台帳!$I$2:$I$2000,台帳!$A$2:$A$2000,$A101,台帳!$D$2:$D$2000,"自社")</f>
        <v>2</v>
      </c>
      <c r="P101" s="37">
        <f>SUMIFS(台帳!$I$2:$I$2000,台帳!$A$2:$A$2000,$A101,台帳!$D$2:$D$2000,"業者")</f>
        <v>0</v>
      </c>
      <c r="Q101" s="37">
        <f>SUM(C101:N101)</f>
        <v>2</v>
      </c>
      <c r="R101" s="37">
        <f>R100+C101</f>
        <v>0</v>
      </c>
      <c r="S101" s="37">
        <f>S100+D101</f>
        <v>7</v>
      </c>
      <c r="T101" s="37">
        <f>T100+E101</f>
        <v>6</v>
      </c>
      <c r="U101" s="37">
        <f>U100+F101</f>
        <v>30</v>
      </c>
      <c r="V101" s="37">
        <f>V100+G101</f>
        <v>51</v>
      </c>
      <c r="W101" s="37">
        <f>W100+H101</f>
        <v>34</v>
      </c>
      <c r="X101" s="37">
        <f>X100+I101</f>
        <v>0</v>
      </c>
      <c r="Y101" s="37">
        <f>Y100+J101</f>
        <v>0</v>
      </c>
      <c r="Z101" s="37">
        <f>Z100+K101</f>
        <v>0</v>
      </c>
      <c r="AA101" s="37">
        <f>AA100+L101</f>
        <v>0</v>
      </c>
      <c r="AB101" s="37">
        <f>AB100+M101</f>
        <v>0</v>
      </c>
      <c r="AC101" s="37">
        <f>AC100+N101</f>
        <v>0</v>
      </c>
      <c r="AD101" s="37">
        <f>AD100+O101</f>
        <v>92</v>
      </c>
      <c r="AE101" s="37">
        <f>AE100+P101</f>
        <v>36</v>
      </c>
      <c r="AF101" s="37">
        <f>AF100+Q101</f>
        <v>128</v>
      </c>
      <c r="AG101" s="38" t="str">
        <f>IFERROR(INDEX(台帳!$H$2:$H$2000,MATCH($A101,台帳!$A$2:$A$2000,0)),"")</f>
        <v>15時より外壁下地ノボパン釘打ち、内部間柱筋交い・玄関廻り間柱設置</v>
      </c>
    </row>
    <row r="102" spans="1:33" ht="15.75" x14ac:dyDescent="0.25">
      <c r="A102" s="35">
        <v>46229</v>
      </c>
      <c r="B102" s="36" t="str">
        <f>CHOOSE(WEEKDAY(A102),"日","月","火","水","木","金","土")</f>
        <v>日</v>
      </c>
      <c r="C102" s="37">
        <f>SUMIFS(台帳!$I$2:$I$2000,台帳!$A$2:$A$2000,$A102,台帳!$E$2:$E$2000,C$4)</f>
        <v>0</v>
      </c>
      <c r="D102" s="37">
        <f>SUMIFS(台帳!$I$2:$I$2000,台帳!$A$2:$A$2000,$A102,台帳!$E$2:$E$2000,D$4)</f>
        <v>0</v>
      </c>
      <c r="E102" s="37">
        <f>SUMIFS(台帳!$I$2:$I$2000,台帳!$A$2:$A$2000,$A102,台帳!$E$2:$E$2000,E$4)</f>
        <v>0</v>
      </c>
      <c r="F102" s="37">
        <f>SUMIFS(台帳!$I$2:$I$2000,台帳!$A$2:$A$2000,$A102,台帳!$E$2:$E$2000,F$4)</f>
        <v>0</v>
      </c>
      <c r="G102" s="37">
        <f>SUMIFS(台帳!$I$2:$I$2000,台帳!$A$2:$A$2000,$A102,台帳!$E$2:$E$2000,G$4)</f>
        <v>0</v>
      </c>
      <c r="H102" s="37">
        <f>SUMIFS(台帳!$I$2:$I$2000,台帳!$A$2:$A$2000,$A102,台帳!$E$2:$E$2000,H$4)</f>
        <v>0</v>
      </c>
      <c r="I102" s="37">
        <f>SUMIFS(台帳!$I$2:$I$2000,台帳!$A$2:$A$2000,$A102,台帳!$E$2:$E$2000,I$4)</f>
        <v>0</v>
      </c>
      <c r="J102" s="37">
        <f>SUMIFS(台帳!$I$2:$I$2000,台帳!$A$2:$A$2000,$A102,台帳!$E$2:$E$2000,J$4)</f>
        <v>0</v>
      </c>
      <c r="K102" s="37">
        <f>SUMIFS(台帳!$I$2:$I$2000,台帳!$A$2:$A$2000,$A102,台帳!$E$2:$E$2000,K$4)</f>
        <v>0</v>
      </c>
      <c r="L102" s="37">
        <f>SUMIFS(台帳!$I$2:$I$2000,台帳!$A$2:$A$2000,$A102,台帳!$E$2:$E$2000,L$4)</f>
        <v>0</v>
      </c>
      <c r="M102" s="37">
        <f>SUMIFS(台帳!$I$2:$I$2000,台帳!$A$2:$A$2000,$A102,台帳!$E$2:$E$2000,M$4)</f>
        <v>0</v>
      </c>
      <c r="N102" s="37">
        <f>SUMIFS(台帳!$I$2:$I$2000,台帳!$A$2:$A$2000,$A102,台帳!$E$2:$E$2000,N$4)</f>
        <v>0</v>
      </c>
      <c r="O102" s="37">
        <f>SUMIFS(台帳!$I$2:$I$2000,台帳!$A$2:$A$2000,$A102,台帳!$D$2:$D$2000,"自社")</f>
        <v>0</v>
      </c>
      <c r="P102" s="37">
        <f>SUMIFS(台帳!$I$2:$I$2000,台帳!$A$2:$A$2000,$A102,台帳!$D$2:$D$2000,"業者")</f>
        <v>0</v>
      </c>
      <c r="Q102" s="37">
        <f>SUM(C102:N102)</f>
        <v>0</v>
      </c>
      <c r="R102" s="37">
        <f>R101+C102</f>
        <v>0</v>
      </c>
      <c r="S102" s="37">
        <f>S101+D102</f>
        <v>7</v>
      </c>
      <c r="T102" s="37">
        <f>T101+E102</f>
        <v>6</v>
      </c>
      <c r="U102" s="37">
        <f>U101+F102</f>
        <v>30</v>
      </c>
      <c r="V102" s="37">
        <f>V101+G102</f>
        <v>51</v>
      </c>
      <c r="W102" s="37">
        <f>W101+H102</f>
        <v>34</v>
      </c>
      <c r="X102" s="37">
        <f>X101+I102</f>
        <v>0</v>
      </c>
      <c r="Y102" s="37">
        <f>Y101+J102</f>
        <v>0</v>
      </c>
      <c r="Z102" s="37">
        <f>Z101+K102</f>
        <v>0</v>
      </c>
      <c r="AA102" s="37">
        <f>AA101+L102</f>
        <v>0</v>
      </c>
      <c r="AB102" s="37">
        <f>AB101+M102</f>
        <v>0</v>
      </c>
      <c r="AC102" s="37">
        <f>AC101+N102</f>
        <v>0</v>
      </c>
      <c r="AD102" s="37">
        <f>AD101+O102</f>
        <v>92</v>
      </c>
      <c r="AE102" s="37">
        <f>AE101+P102</f>
        <v>36</v>
      </c>
      <c r="AF102" s="37">
        <f>AF101+Q102</f>
        <v>128</v>
      </c>
      <c r="AG102" s="38" t="str">
        <f>IFERROR(INDEX(台帳!$H$2:$H$2000,MATCH($A102,台帳!$A$2:$A$2000,0)),"")</f>
        <v/>
      </c>
    </row>
    <row r="103" spans="1:33" ht="15.75" x14ac:dyDescent="0.25">
      <c r="A103" s="31">
        <v>46230</v>
      </c>
      <c r="B103" s="32" t="str">
        <f>CHOOSE(WEEKDAY(A103),"日","月","火","水","木","金","土")</f>
        <v>月</v>
      </c>
      <c r="C103" s="33">
        <f>SUMIFS(台帳!$I$2:$I$2000,台帳!$A$2:$A$2000,$A103,台帳!$E$2:$E$2000,C$4)</f>
        <v>0</v>
      </c>
      <c r="D103" s="33">
        <f>SUMIFS(台帳!$I$2:$I$2000,台帳!$A$2:$A$2000,$A103,台帳!$E$2:$E$2000,D$4)</f>
        <v>0</v>
      </c>
      <c r="E103" s="33">
        <f>SUMIFS(台帳!$I$2:$I$2000,台帳!$A$2:$A$2000,$A103,台帳!$E$2:$E$2000,E$4)</f>
        <v>0</v>
      </c>
      <c r="F103" s="33">
        <f>SUMIFS(台帳!$I$2:$I$2000,台帳!$A$2:$A$2000,$A103,台帳!$E$2:$E$2000,F$4)</f>
        <v>0</v>
      </c>
      <c r="G103" s="33">
        <f>SUMIFS(台帳!$I$2:$I$2000,台帳!$A$2:$A$2000,$A103,台帳!$E$2:$E$2000,G$4)</f>
        <v>0</v>
      </c>
      <c r="H103" s="33">
        <f>SUMIFS(台帳!$I$2:$I$2000,台帳!$A$2:$A$2000,$A103,台帳!$E$2:$E$2000,H$4)</f>
        <v>0</v>
      </c>
      <c r="I103" s="33">
        <f>SUMIFS(台帳!$I$2:$I$2000,台帳!$A$2:$A$2000,$A103,台帳!$E$2:$E$2000,I$4)</f>
        <v>2</v>
      </c>
      <c r="J103" s="33">
        <f>SUMIFS(台帳!$I$2:$I$2000,台帳!$A$2:$A$2000,$A103,台帳!$E$2:$E$2000,J$4)</f>
        <v>0</v>
      </c>
      <c r="K103" s="33">
        <f>SUMIFS(台帳!$I$2:$I$2000,台帳!$A$2:$A$2000,$A103,台帳!$E$2:$E$2000,K$4)</f>
        <v>0</v>
      </c>
      <c r="L103" s="33">
        <f>SUMIFS(台帳!$I$2:$I$2000,台帳!$A$2:$A$2000,$A103,台帳!$E$2:$E$2000,L$4)</f>
        <v>0</v>
      </c>
      <c r="M103" s="33">
        <f>SUMIFS(台帳!$I$2:$I$2000,台帳!$A$2:$A$2000,$A103,台帳!$E$2:$E$2000,M$4)</f>
        <v>0</v>
      </c>
      <c r="N103" s="33">
        <f>SUMIFS(台帳!$I$2:$I$2000,台帳!$A$2:$A$2000,$A103,台帳!$E$2:$E$2000,N$4)</f>
        <v>2</v>
      </c>
      <c r="O103" s="33">
        <f>SUMIFS(台帳!$I$2:$I$2000,台帳!$A$2:$A$2000,$A103,台帳!$D$2:$D$2000,"自社")</f>
        <v>2</v>
      </c>
      <c r="P103" s="33">
        <f>SUMIFS(台帳!$I$2:$I$2000,台帳!$A$2:$A$2000,$A103,台帳!$D$2:$D$2000,"業者")</f>
        <v>2</v>
      </c>
      <c r="Q103" s="33">
        <f>SUM(C103:N103)</f>
        <v>4</v>
      </c>
      <c r="R103" s="33">
        <f>R102+C103</f>
        <v>0</v>
      </c>
      <c r="S103" s="33">
        <f>S102+D103</f>
        <v>7</v>
      </c>
      <c r="T103" s="33">
        <f>T102+E103</f>
        <v>6</v>
      </c>
      <c r="U103" s="33">
        <f>U102+F103</f>
        <v>30</v>
      </c>
      <c r="V103" s="33">
        <f>V102+G103</f>
        <v>51</v>
      </c>
      <c r="W103" s="33">
        <f>W102+H103</f>
        <v>34</v>
      </c>
      <c r="X103" s="33">
        <f>X102+I103</f>
        <v>2</v>
      </c>
      <c r="Y103" s="33">
        <f>Y102+J103</f>
        <v>0</v>
      </c>
      <c r="Z103" s="33">
        <f>Z102+K103</f>
        <v>0</v>
      </c>
      <c r="AA103" s="33">
        <f>AA102+L103</f>
        <v>0</v>
      </c>
      <c r="AB103" s="33">
        <f>AB102+M103</f>
        <v>0</v>
      </c>
      <c r="AC103" s="33">
        <f>AC102+N103</f>
        <v>2</v>
      </c>
      <c r="AD103" s="33">
        <f>AD102+O103</f>
        <v>94</v>
      </c>
      <c r="AE103" s="33">
        <f>AE102+P103</f>
        <v>38</v>
      </c>
      <c r="AF103" s="33">
        <f>AF102+Q103</f>
        <v>132</v>
      </c>
      <c r="AG103" s="34" t="str">
        <f>IFERROR(INDEX(台帳!$H$2:$H$2000,MATCH($A103,台帳!$A$2:$A$2000,0)),"")</f>
        <v>現場清掃・金物検査立会い・資材設置</v>
      </c>
    </row>
    <row r="104" spans="1:33" ht="15.75" x14ac:dyDescent="0.25">
      <c r="A104" s="31">
        <v>46231</v>
      </c>
      <c r="B104" s="32" t="str">
        <f>CHOOSE(WEEKDAY(A104),"日","月","火","水","木","金","土")</f>
        <v>火</v>
      </c>
      <c r="C104" s="33">
        <f>SUMIFS(台帳!$I$2:$I$2000,台帳!$A$2:$A$2000,$A104,台帳!$E$2:$E$2000,C$4)</f>
        <v>0</v>
      </c>
      <c r="D104" s="33">
        <f>SUMIFS(台帳!$I$2:$I$2000,台帳!$A$2:$A$2000,$A104,台帳!$E$2:$E$2000,D$4)</f>
        <v>0</v>
      </c>
      <c r="E104" s="33">
        <f>SUMIFS(台帳!$I$2:$I$2000,台帳!$A$2:$A$2000,$A104,台帳!$E$2:$E$2000,E$4)</f>
        <v>0</v>
      </c>
      <c r="F104" s="33">
        <f>SUMIFS(台帳!$I$2:$I$2000,台帳!$A$2:$A$2000,$A104,台帳!$E$2:$E$2000,F$4)</f>
        <v>0</v>
      </c>
      <c r="G104" s="33">
        <f>SUMIFS(台帳!$I$2:$I$2000,台帳!$A$2:$A$2000,$A104,台帳!$E$2:$E$2000,G$4)</f>
        <v>0</v>
      </c>
      <c r="H104" s="33">
        <f>SUMIFS(台帳!$I$2:$I$2000,台帳!$A$2:$A$2000,$A104,台帳!$E$2:$E$2000,H$4)</f>
        <v>0</v>
      </c>
      <c r="I104" s="33">
        <f>SUMIFS(台帳!$I$2:$I$2000,台帳!$A$2:$A$2000,$A104,台帳!$E$2:$E$2000,I$4)</f>
        <v>0</v>
      </c>
      <c r="J104" s="33">
        <f>SUMIFS(台帳!$I$2:$I$2000,台帳!$A$2:$A$2000,$A104,台帳!$E$2:$E$2000,J$4)</f>
        <v>0</v>
      </c>
      <c r="K104" s="33">
        <f>SUMIFS(台帳!$I$2:$I$2000,台帳!$A$2:$A$2000,$A104,台帳!$E$2:$E$2000,K$4)</f>
        <v>0</v>
      </c>
      <c r="L104" s="33">
        <f>SUMIFS(台帳!$I$2:$I$2000,台帳!$A$2:$A$2000,$A104,台帳!$E$2:$E$2000,L$4)</f>
        <v>0</v>
      </c>
      <c r="M104" s="33">
        <f>SUMIFS(台帳!$I$2:$I$2000,台帳!$A$2:$A$2000,$A104,台帳!$E$2:$E$2000,M$4)</f>
        <v>0</v>
      </c>
      <c r="N104" s="33">
        <f>SUMIFS(台帳!$I$2:$I$2000,台帳!$A$2:$A$2000,$A104,台帳!$E$2:$E$2000,N$4)</f>
        <v>0</v>
      </c>
      <c r="O104" s="33">
        <f>SUMIFS(台帳!$I$2:$I$2000,台帳!$A$2:$A$2000,$A104,台帳!$D$2:$D$2000,"自社")</f>
        <v>0</v>
      </c>
      <c r="P104" s="33">
        <f>SUMIFS(台帳!$I$2:$I$2000,台帳!$A$2:$A$2000,$A104,台帳!$D$2:$D$2000,"業者")</f>
        <v>0</v>
      </c>
      <c r="Q104" s="33">
        <f>SUM(C104:N104)</f>
        <v>0</v>
      </c>
      <c r="R104" s="33">
        <f>R103+C104</f>
        <v>0</v>
      </c>
      <c r="S104" s="33">
        <f>S103+D104</f>
        <v>7</v>
      </c>
      <c r="T104" s="33">
        <f>T103+E104</f>
        <v>6</v>
      </c>
      <c r="U104" s="33">
        <f>U103+F104</f>
        <v>30</v>
      </c>
      <c r="V104" s="33">
        <f>V103+G104</f>
        <v>51</v>
      </c>
      <c r="W104" s="33">
        <f>W103+H104</f>
        <v>34</v>
      </c>
      <c r="X104" s="33">
        <f>X103+I104</f>
        <v>2</v>
      </c>
      <c r="Y104" s="33">
        <f>Y103+J104</f>
        <v>0</v>
      </c>
      <c r="Z104" s="33">
        <f>Z103+K104</f>
        <v>0</v>
      </c>
      <c r="AA104" s="33">
        <f>AA103+L104</f>
        <v>0</v>
      </c>
      <c r="AB104" s="33">
        <f>AB103+M104</f>
        <v>0</v>
      </c>
      <c r="AC104" s="33">
        <f>AC103+N104</f>
        <v>2</v>
      </c>
      <c r="AD104" s="33">
        <f>AD103+O104</f>
        <v>94</v>
      </c>
      <c r="AE104" s="33">
        <f>AE103+P104</f>
        <v>38</v>
      </c>
      <c r="AF104" s="33">
        <f>AF103+Q104</f>
        <v>132</v>
      </c>
      <c r="AG104" s="34" t="str">
        <f>IFERROR(INDEX(台帳!$H$2:$H$2000,MATCH($A104,台帳!$A$2:$A$2000,0)),"")</f>
        <v>作業員・作業内容の記載なし</v>
      </c>
    </row>
    <row r="105" spans="1:33" ht="15.75" x14ac:dyDescent="0.25">
      <c r="A105" s="31">
        <v>46232</v>
      </c>
      <c r="B105" s="32" t="str">
        <f>CHOOSE(WEEKDAY(A105),"日","月","火","水","木","金","土")</f>
        <v>水</v>
      </c>
      <c r="C105" s="33">
        <f>SUMIFS(台帳!$I$2:$I$2000,台帳!$A$2:$A$2000,$A105,台帳!$E$2:$E$2000,C$4)</f>
        <v>0</v>
      </c>
      <c r="D105" s="33">
        <f>SUMIFS(台帳!$I$2:$I$2000,台帳!$A$2:$A$2000,$A105,台帳!$E$2:$E$2000,D$4)</f>
        <v>0</v>
      </c>
      <c r="E105" s="33">
        <f>SUMIFS(台帳!$I$2:$I$2000,台帳!$A$2:$A$2000,$A105,台帳!$E$2:$E$2000,E$4)</f>
        <v>0</v>
      </c>
      <c r="F105" s="33">
        <f>SUMIFS(台帳!$I$2:$I$2000,台帳!$A$2:$A$2000,$A105,台帳!$E$2:$E$2000,F$4)</f>
        <v>0</v>
      </c>
      <c r="G105" s="33">
        <f>SUMIFS(台帳!$I$2:$I$2000,台帳!$A$2:$A$2000,$A105,台帳!$E$2:$E$2000,G$4)</f>
        <v>0</v>
      </c>
      <c r="H105" s="33">
        <f>SUMIFS(台帳!$I$2:$I$2000,台帳!$A$2:$A$2000,$A105,台帳!$E$2:$E$2000,H$4)</f>
        <v>2</v>
      </c>
      <c r="I105" s="33">
        <f>SUMIFS(台帳!$I$2:$I$2000,台帳!$A$2:$A$2000,$A105,台帳!$E$2:$E$2000,I$4)</f>
        <v>3</v>
      </c>
      <c r="J105" s="33">
        <f>SUMIFS(台帳!$I$2:$I$2000,台帳!$A$2:$A$2000,$A105,台帳!$E$2:$E$2000,J$4)</f>
        <v>0</v>
      </c>
      <c r="K105" s="33">
        <f>SUMIFS(台帳!$I$2:$I$2000,台帳!$A$2:$A$2000,$A105,台帳!$E$2:$E$2000,K$4)</f>
        <v>3</v>
      </c>
      <c r="L105" s="33">
        <f>SUMIFS(台帳!$I$2:$I$2000,台帳!$A$2:$A$2000,$A105,台帳!$E$2:$E$2000,L$4)</f>
        <v>0</v>
      </c>
      <c r="M105" s="33">
        <f>SUMIFS(台帳!$I$2:$I$2000,台帳!$A$2:$A$2000,$A105,台帳!$E$2:$E$2000,M$4)</f>
        <v>0</v>
      </c>
      <c r="N105" s="33">
        <f>SUMIFS(台帳!$I$2:$I$2000,台帳!$A$2:$A$2000,$A105,台帳!$E$2:$E$2000,N$4)</f>
        <v>0</v>
      </c>
      <c r="O105" s="33">
        <f>SUMIFS(台帳!$I$2:$I$2000,台帳!$A$2:$A$2000,$A105,台帳!$D$2:$D$2000,"自社")</f>
        <v>2</v>
      </c>
      <c r="P105" s="33">
        <f>SUMIFS(台帳!$I$2:$I$2000,台帳!$A$2:$A$2000,$A105,台帳!$D$2:$D$2000,"業者")</f>
        <v>6</v>
      </c>
      <c r="Q105" s="33">
        <f>SUM(C105:N105)</f>
        <v>8</v>
      </c>
      <c r="R105" s="33">
        <f>R104+C105</f>
        <v>0</v>
      </c>
      <c r="S105" s="33">
        <f>S104+D105</f>
        <v>7</v>
      </c>
      <c r="T105" s="33">
        <f>T104+E105</f>
        <v>6</v>
      </c>
      <c r="U105" s="33">
        <f>U104+F105</f>
        <v>30</v>
      </c>
      <c r="V105" s="33">
        <f>V104+G105</f>
        <v>51</v>
      </c>
      <c r="W105" s="33">
        <f>W104+H105</f>
        <v>36</v>
      </c>
      <c r="X105" s="33">
        <f>X104+I105</f>
        <v>5</v>
      </c>
      <c r="Y105" s="33">
        <f>Y104+J105</f>
        <v>0</v>
      </c>
      <c r="Z105" s="33">
        <f>Z104+K105</f>
        <v>3</v>
      </c>
      <c r="AA105" s="33">
        <f>AA104+L105</f>
        <v>0</v>
      </c>
      <c r="AB105" s="33">
        <f>AB104+M105</f>
        <v>0</v>
      </c>
      <c r="AC105" s="33">
        <f>AC104+N105</f>
        <v>2</v>
      </c>
      <c r="AD105" s="33">
        <f>AD104+O105</f>
        <v>96</v>
      </c>
      <c r="AE105" s="33">
        <f>AE104+P105</f>
        <v>44</v>
      </c>
      <c r="AF105" s="33">
        <f>AF104+Q105</f>
        <v>140</v>
      </c>
      <c r="AG105" s="34" t="str">
        <f>IFERROR(INDEX(台帳!$H$2:$H$2000,MATCH($A105,台帳!$A$2:$A$2000,0)),"")</f>
        <v>内部作業（作業内容記載なし）</v>
      </c>
    </row>
    <row r="106" spans="1:33" ht="15.75" x14ac:dyDescent="0.25">
      <c r="A106" s="31">
        <v>46233</v>
      </c>
      <c r="B106" s="32" t="str">
        <f>CHOOSE(WEEKDAY(A106),"日","月","火","水","木","金","土")</f>
        <v>木</v>
      </c>
      <c r="C106" s="33">
        <f>SUMIFS(台帳!$I$2:$I$2000,台帳!$A$2:$A$2000,$A106,台帳!$E$2:$E$2000,C$4)</f>
        <v>0</v>
      </c>
      <c r="D106" s="33">
        <f>SUMIFS(台帳!$I$2:$I$2000,台帳!$A$2:$A$2000,$A106,台帳!$E$2:$E$2000,D$4)</f>
        <v>0</v>
      </c>
      <c r="E106" s="33">
        <f>SUMIFS(台帳!$I$2:$I$2000,台帳!$A$2:$A$2000,$A106,台帳!$E$2:$E$2000,E$4)</f>
        <v>0</v>
      </c>
      <c r="F106" s="33">
        <f>SUMIFS(台帳!$I$2:$I$2000,台帳!$A$2:$A$2000,$A106,台帳!$E$2:$E$2000,F$4)</f>
        <v>0</v>
      </c>
      <c r="G106" s="33">
        <f>SUMIFS(台帳!$I$2:$I$2000,台帳!$A$2:$A$2000,$A106,台帳!$E$2:$E$2000,G$4)</f>
        <v>0</v>
      </c>
      <c r="H106" s="33">
        <f>SUMIFS(台帳!$I$2:$I$2000,台帳!$A$2:$A$2000,$A106,台帳!$E$2:$E$2000,H$4)</f>
        <v>2</v>
      </c>
      <c r="I106" s="33">
        <f>SUMIFS(台帳!$I$2:$I$2000,台帳!$A$2:$A$2000,$A106,台帳!$E$2:$E$2000,I$4)</f>
        <v>3</v>
      </c>
      <c r="J106" s="33">
        <f>SUMIFS(台帳!$I$2:$I$2000,台帳!$A$2:$A$2000,$A106,台帳!$E$2:$E$2000,J$4)</f>
        <v>0</v>
      </c>
      <c r="K106" s="33">
        <f>SUMIFS(台帳!$I$2:$I$2000,台帳!$A$2:$A$2000,$A106,台帳!$E$2:$E$2000,K$4)</f>
        <v>3</v>
      </c>
      <c r="L106" s="33">
        <f>SUMIFS(台帳!$I$2:$I$2000,台帳!$A$2:$A$2000,$A106,台帳!$E$2:$E$2000,L$4)</f>
        <v>0</v>
      </c>
      <c r="M106" s="33">
        <f>SUMIFS(台帳!$I$2:$I$2000,台帳!$A$2:$A$2000,$A106,台帳!$E$2:$E$2000,M$4)</f>
        <v>0</v>
      </c>
      <c r="N106" s="33">
        <f>SUMIFS(台帳!$I$2:$I$2000,台帳!$A$2:$A$2000,$A106,台帳!$E$2:$E$2000,N$4)</f>
        <v>0</v>
      </c>
      <c r="O106" s="33">
        <f>SUMIFS(台帳!$I$2:$I$2000,台帳!$A$2:$A$2000,$A106,台帳!$D$2:$D$2000,"自社")</f>
        <v>2</v>
      </c>
      <c r="P106" s="33">
        <f>SUMIFS(台帳!$I$2:$I$2000,台帳!$A$2:$A$2000,$A106,台帳!$D$2:$D$2000,"業者")</f>
        <v>6</v>
      </c>
      <c r="Q106" s="33">
        <f>SUM(C106:N106)</f>
        <v>8</v>
      </c>
      <c r="R106" s="33">
        <f>R105+C106</f>
        <v>0</v>
      </c>
      <c r="S106" s="33">
        <f>S105+D106</f>
        <v>7</v>
      </c>
      <c r="T106" s="33">
        <f>T105+E106</f>
        <v>6</v>
      </c>
      <c r="U106" s="33">
        <f>U105+F106</f>
        <v>30</v>
      </c>
      <c r="V106" s="33">
        <f>V105+G106</f>
        <v>51</v>
      </c>
      <c r="W106" s="33">
        <f>W105+H106</f>
        <v>38</v>
      </c>
      <c r="X106" s="33">
        <f>X105+I106</f>
        <v>8</v>
      </c>
      <c r="Y106" s="33">
        <f>Y105+J106</f>
        <v>0</v>
      </c>
      <c r="Z106" s="33">
        <f>Z105+K106</f>
        <v>6</v>
      </c>
      <c r="AA106" s="33">
        <f>AA105+L106</f>
        <v>0</v>
      </c>
      <c r="AB106" s="33">
        <f>AB105+M106</f>
        <v>0</v>
      </c>
      <c r="AC106" s="33">
        <f>AC105+N106</f>
        <v>2</v>
      </c>
      <c r="AD106" s="33">
        <f>AD105+O106</f>
        <v>98</v>
      </c>
      <c r="AE106" s="33">
        <f>AE105+P106</f>
        <v>50</v>
      </c>
      <c r="AF106" s="33">
        <f>AF105+Q106</f>
        <v>148</v>
      </c>
      <c r="AG106" s="34" t="str">
        <f>IFERROR(INDEX(台帳!$H$2:$H$2000,MATCH($A106,台帳!$A$2:$A$2000,0)),"")</f>
        <v>内部作業（作業内容記載なし）</v>
      </c>
    </row>
    <row r="107" spans="1:33" ht="15.75" x14ac:dyDescent="0.25">
      <c r="A107" s="31">
        <v>46234</v>
      </c>
      <c r="B107" s="32" t="str">
        <f>CHOOSE(WEEKDAY(A107),"日","月","火","水","木","金","土")</f>
        <v>金</v>
      </c>
      <c r="C107" s="33">
        <f>SUMIFS(台帳!$I$2:$I$2000,台帳!$A$2:$A$2000,$A107,台帳!$E$2:$E$2000,C$4)</f>
        <v>0</v>
      </c>
      <c r="D107" s="33">
        <f>SUMIFS(台帳!$I$2:$I$2000,台帳!$A$2:$A$2000,$A107,台帳!$E$2:$E$2000,D$4)</f>
        <v>0</v>
      </c>
      <c r="E107" s="33">
        <f>SUMIFS(台帳!$I$2:$I$2000,台帳!$A$2:$A$2000,$A107,台帳!$E$2:$E$2000,E$4)</f>
        <v>0</v>
      </c>
      <c r="F107" s="33">
        <f>SUMIFS(台帳!$I$2:$I$2000,台帳!$A$2:$A$2000,$A107,台帳!$E$2:$E$2000,F$4)</f>
        <v>0</v>
      </c>
      <c r="G107" s="33">
        <f>SUMIFS(台帳!$I$2:$I$2000,台帳!$A$2:$A$2000,$A107,台帳!$E$2:$E$2000,G$4)</f>
        <v>0</v>
      </c>
      <c r="H107" s="33">
        <f>SUMIFS(台帳!$I$2:$I$2000,台帳!$A$2:$A$2000,$A107,台帳!$E$2:$E$2000,H$4)</f>
        <v>4</v>
      </c>
      <c r="I107" s="33">
        <f>SUMIFS(台帳!$I$2:$I$2000,台帳!$A$2:$A$2000,$A107,台帳!$E$2:$E$2000,I$4)</f>
        <v>3</v>
      </c>
      <c r="J107" s="33">
        <f>SUMIFS(台帳!$I$2:$I$2000,台帳!$A$2:$A$2000,$A107,台帳!$E$2:$E$2000,J$4)</f>
        <v>0</v>
      </c>
      <c r="K107" s="33">
        <f>SUMIFS(台帳!$I$2:$I$2000,台帳!$A$2:$A$2000,$A107,台帳!$E$2:$E$2000,K$4)</f>
        <v>2</v>
      </c>
      <c r="L107" s="33">
        <f>SUMIFS(台帳!$I$2:$I$2000,台帳!$A$2:$A$2000,$A107,台帳!$E$2:$E$2000,L$4)</f>
        <v>0</v>
      </c>
      <c r="M107" s="33">
        <f>SUMIFS(台帳!$I$2:$I$2000,台帳!$A$2:$A$2000,$A107,台帳!$E$2:$E$2000,M$4)</f>
        <v>0</v>
      </c>
      <c r="N107" s="33">
        <f>SUMIFS(台帳!$I$2:$I$2000,台帳!$A$2:$A$2000,$A107,台帳!$E$2:$E$2000,N$4)</f>
        <v>0</v>
      </c>
      <c r="O107" s="33">
        <f>SUMIFS(台帳!$I$2:$I$2000,台帳!$A$2:$A$2000,$A107,台帳!$D$2:$D$2000,"自社")</f>
        <v>4</v>
      </c>
      <c r="P107" s="33">
        <f>SUMIFS(台帳!$I$2:$I$2000,台帳!$A$2:$A$2000,$A107,台帳!$D$2:$D$2000,"業者")</f>
        <v>5</v>
      </c>
      <c r="Q107" s="33">
        <f>SUM(C107:N107)</f>
        <v>9</v>
      </c>
      <c r="R107" s="33">
        <f>R106+C107</f>
        <v>0</v>
      </c>
      <c r="S107" s="33">
        <f>S106+D107</f>
        <v>7</v>
      </c>
      <c r="T107" s="33">
        <f>T106+E107</f>
        <v>6</v>
      </c>
      <c r="U107" s="33">
        <f>U106+F107</f>
        <v>30</v>
      </c>
      <c r="V107" s="33">
        <f>V106+G107</f>
        <v>51</v>
      </c>
      <c r="W107" s="33">
        <f>W106+H107</f>
        <v>42</v>
      </c>
      <c r="X107" s="33">
        <f>X106+I107</f>
        <v>11</v>
      </c>
      <c r="Y107" s="33">
        <f>Y106+J107</f>
        <v>0</v>
      </c>
      <c r="Z107" s="33">
        <f>Z106+K107</f>
        <v>8</v>
      </c>
      <c r="AA107" s="33">
        <f>AA106+L107</f>
        <v>0</v>
      </c>
      <c r="AB107" s="33">
        <f>AB106+M107</f>
        <v>0</v>
      </c>
      <c r="AC107" s="33">
        <f>AC106+N107</f>
        <v>2</v>
      </c>
      <c r="AD107" s="33">
        <f>AD106+O107</f>
        <v>102</v>
      </c>
      <c r="AE107" s="33">
        <f>AE106+P107</f>
        <v>55</v>
      </c>
      <c r="AF107" s="33">
        <f>AF106+Q107</f>
        <v>157</v>
      </c>
      <c r="AG107" s="34" t="str">
        <f>IFERROR(INDEX(台帳!$H$2:$H$2000,MATCH($A107,台帳!$A$2:$A$2000,0)),"")</f>
        <v>断熱材張り・防湿シート張り</v>
      </c>
    </row>
    <row r="108" spans="1:33" ht="15.75" x14ac:dyDescent="0.25">
      <c r="A108" s="35">
        <v>46235</v>
      </c>
      <c r="B108" s="36" t="str">
        <f>CHOOSE(WEEKDAY(A108),"日","月","火","水","木","金","土")</f>
        <v>土</v>
      </c>
      <c r="C108" s="37">
        <f>SUMIFS(台帳!$I$2:$I$2000,台帳!$A$2:$A$2000,$A108,台帳!$E$2:$E$2000,C$4)</f>
        <v>0</v>
      </c>
      <c r="D108" s="37">
        <f>SUMIFS(台帳!$I$2:$I$2000,台帳!$A$2:$A$2000,$A108,台帳!$E$2:$E$2000,D$4)</f>
        <v>0</v>
      </c>
      <c r="E108" s="37">
        <f>SUMIFS(台帳!$I$2:$I$2000,台帳!$A$2:$A$2000,$A108,台帳!$E$2:$E$2000,E$4)</f>
        <v>0</v>
      </c>
      <c r="F108" s="37">
        <f>SUMIFS(台帳!$I$2:$I$2000,台帳!$A$2:$A$2000,$A108,台帳!$E$2:$E$2000,F$4)</f>
        <v>0</v>
      </c>
      <c r="G108" s="37">
        <f>SUMIFS(台帳!$I$2:$I$2000,台帳!$A$2:$A$2000,$A108,台帳!$E$2:$E$2000,G$4)</f>
        <v>0</v>
      </c>
      <c r="H108" s="37">
        <f>SUMIFS(台帳!$I$2:$I$2000,台帳!$A$2:$A$2000,$A108,台帳!$E$2:$E$2000,H$4)</f>
        <v>4</v>
      </c>
      <c r="I108" s="37">
        <f>SUMIFS(台帳!$I$2:$I$2000,台帳!$A$2:$A$2000,$A108,台帳!$E$2:$E$2000,I$4)</f>
        <v>0</v>
      </c>
      <c r="J108" s="37">
        <f>SUMIFS(台帳!$I$2:$I$2000,台帳!$A$2:$A$2000,$A108,台帳!$E$2:$E$2000,J$4)</f>
        <v>0</v>
      </c>
      <c r="K108" s="37">
        <f>SUMIFS(台帳!$I$2:$I$2000,台帳!$A$2:$A$2000,$A108,台帳!$E$2:$E$2000,K$4)</f>
        <v>3</v>
      </c>
      <c r="L108" s="37">
        <f>SUMIFS(台帳!$I$2:$I$2000,台帳!$A$2:$A$2000,$A108,台帳!$E$2:$E$2000,L$4)</f>
        <v>0</v>
      </c>
      <c r="M108" s="37">
        <f>SUMIFS(台帳!$I$2:$I$2000,台帳!$A$2:$A$2000,$A108,台帳!$E$2:$E$2000,M$4)</f>
        <v>0</v>
      </c>
      <c r="N108" s="37">
        <f>SUMIFS(台帳!$I$2:$I$2000,台帳!$A$2:$A$2000,$A108,台帳!$E$2:$E$2000,N$4)</f>
        <v>0</v>
      </c>
      <c r="O108" s="37">
        <f>SUMIFS(台帳!$I$2:$I$2000,台帳!$A$2:$A$2000,$A108,台帳!$D$2:$D$2000,"自社")</f>
        <v>4</v>
      </c>
      <c r="P108" s="37">
        <f>SUMIFS(台帳!$I$2:$I$2000,台帳!$A$2:$A$2000,$A108,台帳!$D$2:$D$2000,"業者")</f>
        <v>3</v>
      </c>
      <c r="Q108" s="37">
        <f>SUM(C108:N108)</f>
        <v>7</v>
      </c>
      <c r="R108" s="37">
        <f>R107+C108</f>
        <v>0</v>
      </c>
      <c r="S108" s="37">
        <f>S107+D108</f>
        <v>7</v>
      </c>
      <c r="T108" s="37">
        <f>T107+E108</f>
        <v>6</v>
      </c>
      <c r="U108" s="37">
        <f>U107+F108</f>
        <v>30</v>
      </c>
      <c r="V108" s="37">
        <f>V107+G108</f>
        <v>51</v>
      </c>
      <c r="W108" s="37">
        <f>W107+H108</f>
        <v>46</v>
      </c>
      <c r="X108" s="37">
        <f>X107+I108</f>
        <v>11</v>
      </c>
      <c r="Y108" s="37">
        <f>Y107+J108</f>
        <v>0</v>
      </c>
      <c r="Z108" s="37">
        <f>Z107+K108</f>
        <v>11</v>
      </c>
      <c r="AA108" s="37">
        <f>AA107+L108</f>
        <v>0</v>
      </c>
      <c r="AB108" s="37">
        <f>AB107+M108</f>
        <v>0</v>
      </c>
      <c r="AC108" s="37">
        <f>AC107+N108</f>
        <v>2</v>
      </c>
      <c r="AD108" s="37">
        <f>AD107+O108</f>
        <v>106</v>
      </c>
      <c r="AE108" s="37">
        <f>AE107+P108</f>
        <v>58</v>
      </c>
      <c r="AF108" s="37">
        <f>AF107+Q108</f>
        <v>164</v>
      </c>
      <c r="AG108" s="38" t="str">
        <f>IFERROR(INDEX(台帳!$H$2:$H$2000,MATCH($A108,台帳!$A$2:$A$2000,0)),"")</f>
        <v>内部壁PBボード張り・断熱材シート張り</v>
      </c>
    </row>
    <row r="109" spans="1:33" ht="15.75" x14ac:dyDescent="0.25">
      <c r="A109" s="35">
        <v>46236</v>
      </c>
      <c r="B109" s="36" t="str">
        <f>CHOOSE(WEEKDAY(A109),"日","月","火","水","木","金","土")</f>
        <v>日</v>
      </c>
      <c r="C109" s="37">
        <f>SUMIFS(台帳!$I$2:$I$2000,台帳!$A$2:$A$2000,$A109,台帳!$E$2:$E$2000,C$4)</f>
        <v>0</v>
      </c>
      <c r="D109" s="37">
        <f>SUMIFS(台帳!$I$2:$I$2000,台帳!$A$2:$A$2000,$A109,台帳!$E$2:$E$2000,D$4)</f>
        <v>0</v>
      </c>
      <c r="E109" s="37">
        <f>SUMIFS(台帳!$I$2:$I$2000,台帳!$A$2:$A$2000,$A109,台帳!$E$2:$E$2000,E$4)</f>
        <v>0</v>
      </c>
      <c r="F109" s="37">
        <f>SUMIFS(台帳!$I$2:$I$2000,台帳!$A$2:$A$2000,$A109,台帳!$E$2:$E$2000,F$4)</f>
        <v>0</v>
      </c>
      <c r="G109" s="37">
        <f>SUMIFS(台帳!$I$2:$I$2000,台帳!$A$2:$A$2000,$A109,台帳!$E$2:$E$2000,G$4)</f>
        <v>0</v>
      </c>
      <c r="H109" s="37">
        <f>SUMIFS(台帳!$I$2:$I$2000,台帳!$A$2:$A$2000,$A109,台帳!$E$2:$E$2000,H$4)</f>
        <v>1</v>
      </c>
      <c r="I109" s="37">
        <f>SUMIFS(台帳!$I$2:$I$2000,台帳!$A$2:$A$2000,$A109,台帳!$E$2:$E$2000,I$4)</f>
        <v>0</v>
      </c>
      <c r="J109" s="37">
        <f>SUMIFS(台帳!$I$2:$I$2000,台帳!$A$2:$A$2000,$A109,台帳!$E$2:$E$2000,J$4)</f>
        <v>0</v>
      </c>
      <c r="K109" s="37">
        <f>SUMIFS(台帳!$I$2:$I$2000,台帳!$A$2:$A$2000,$A109,台帳!$E$2:$E$2000,K$4)</f>
        <v>0</v>
      </c>
      <c r="L109" s="37">
        <f>SUMIFS(台帳!$I$2:$I$2000,台帳!$A$2:$A$2000,$A109,台帳!$E$2:$E$2000,L$4)</f>
        <v>0</v>
      </c>
      <c r="M109" s="37">
        <f>SUMIFS(台帳!$I$2:$I$2000,台帳!$A$2:$A$2000,$A109,台帳!$E$2:$E$2000,M$4)</f>
        <v>0</v>
      </c>
      <c r="N109" s="37">
        <f>SUMIFS(台帳!$I$2:$I$2000,台帳!$A$2:$A$2000,$A109,台帳!$E$2:$E$2000,N$4)</f>
        <v>0</v>
      </c>
      <c r="O109" s="37">
        <f>SUMIFS(台帳!$I$2:$I$2000,台帳!$A$2:$A$2000,$A109,台帳!$D$2:$D$2000,"自社")</f>
        <v>1</v>
      </c>
      <c r="P109" s="37">
        <f>SUMIFS(台帳!$I$2:$I$2000,台帳!$A$2:$A$2000,$A109,台帳!$D$2:$D$2000,"業者")</f>
        <v>0</v>
      </c>
      <c r="Q109" s="37">
        <f>SUM(C109:N109)</f>
        <v>1</v>
      </c>
      <c r="R109" s="37">
        <f>R108+C109</f>
        <v>0</v>
      </c>
      <c r="S109" s="37">
        <f>S108+D109</f>
        <v>7</v>
      </c>
      <c r="T109" s="37">
        <f>T108+E109</f>
        <v>6</v>
      </c>
      <c r="U109" s="37">
        <f>U108+F109</f>
        <v>30</v>
      </c>
      <c r="V109" s="37">
        <f>V108+G109</f>
        <v>51</v>
      </c>
      <c r="W109" s="37">
        <f>W108+H109</f>
        <v>47</v>
      </c>
      <c r="X109" s="37">
        <f>X108+I109</f>
        <v>11</v>
      </c>
      <c r="Y109" s="37">
        <f>Y108+J109</f>
        <v>0</v>
      </c>
      <c r="Z109" s="37">
        <f>Z108+K109</f>
        <v>11</v>
      </c>
      <c r="AA109" s="37">
        <f>AA108+L109</f>
        <v>0</v>
      </c>
      <c r="AB109" s="37">
        <f>AB108+M109</f>
        <v>0</v>
      </c>
      <c r="AC109" s="37">
        <f>AC108+N109</f>
        <v>2</v>
      </c>
      <c r="AD109" s="37">
        <f>AD108+O109</f>
        <v>107</v>
      </c>
      <c r="AE109" s="37">
        <f>AE108+P109</f>
        <v>58</v>
      </c>
      <c r="AF109" s="37">
        <f>AF108+Q109</f>
        <v>165</v>
      </c>
      <c r="AG109" s="38" t="str">
        <f>IFERROR(INDEX(台帳!$H$2:$H$2000,MATCH($A109,台帳!$A$2:$A$2000,0)),"")</f>
        <v>内部壁PBボード張り</v>
      </c>
    </row>
    <row r="110" spans="1:33" ht="15.75" x14ac:dyDescent="0.25">
      <c r="A110" s="31">
        <v>46237</v>
      </c>
      <c r="B110" s="32" t="str">
        <f>CHOOSE(WEEKDAY(A110),"日","月","火","水","木","金","土")</f>
        <v>月</v>
      </c>
      <c r="C110" s="33">
        <f>SUMIFS(台帳!$I$2:$I$2000,台帳!$A$2:$A$2000,$A110,台帳!$E$2:$E$2000,C$4)</f>
        <v>0</v>
      </c>
      <c r="D110" s="33">
        <f>SUMIFS(台帳!$I$2:$I$2000,台帳!$A$2:$A$2000,$A110,台帳!$E$2:$E$2000,D$4)</f>
        <v>0</v>
      </c>
      <c r="E110" s="33">
        <f>SUMIFS(台帳!$I$2:$I$2000,台帳!$A$2:$A$2000,$A110,台帳!$E$2:$E$2000,E$4)</f>
        <v>0</v>
      </c>
      <c r="F110" s="33">
        <f>SUMIFS(台帳!$I$2:$I$2000,台帳!$A$2:$A$2000,$A110,台帳!$E$2:$E$2000,F$4)</f>
        <v>0</v>
      </c>
      <c r="G110" s="33">
        <f>SUMIFS(台帳!$I$2:$I$2000,台帳!$A$2:$A$2000,$A110,台帳!$E$2:$E$2000,G$4)</f>
        <v>0</v>
      </c>
      <c r="H110" s="33">
        <f>SUMIFS(台帳!$I$2:$I$2000,台帳!$A$2:$A$2000,$A110,台帳!$E$2:$E$2000,H$4)</f>
        <v>4</v>
      </c>
      <c r="I110" s="33">
        <f>SUMIFS(台帳!$I$2:$I$2000,台帳!$A$2:$A$2000,$A110,台帳!$E$2:$E$2000,I$4)</f>
        <v>2</v>
      </c>
      <c r="J110" s="33">
        <f>SUMIFS(台帳!$I$2:$I$2000,台帳!$A$2:$A$2000,$A110,台帳!$E$2:$E$2000,J$4)</f>
        <v>0</v>
      </c>
      <c r="K110" s="33">
        <f>SUMIFS(台帳!$I$2:$I$2000,台帳!$A$2:$A$2000,$A110,台帳!$E$2:$E$2000,K$4)</f>
        <v>2</v>
      </c>
      <c r="L110" s="33">
        <f>SUMIFS(台帳!$I$2:$I$2000,台帳!$A$2:$A$2000,$A110,台帳!$E$2:$E$2000,L$4)</f>
        <v>0</v>
      </c>
      <c r="M110" s="33">
        <f>SUMIFS(台帳!$I$2:$I$2000,台帳!$A$2:$A$2000,$A110,台帳!$E$2:$E$2000,M$4)</f>
        <v>0</v>
      </c>
      <c r="N110" s="33">
        <f>SUMIFS(台帳!$I$2:$I$2000,台帳!$A$2:$A$2000,$A110,台帳!$E$2:$E$2000,N$4)</f>
        <v>0</v>
      </c>
      <c r="O110" s="33">
        <f>SUMIFS(台帳!$I$2:$I$2000,台帳!$A$2:$A$2000,$A110,台帳!$D$2:$D$2000,"自社")</f>
        <v>4</v>
      </c>
      <c r="P110" s="33">
        <f>SUMIFS(台帳!$I$2:$I$2000,台帳!$A$2:$A$2000,$A110,台帳!$D$2:$D$2000,"業者")</f>
        <v>4</v>
      </c>
      <c r="Q110" s="33">
        <f>SUM(C110:N110)</f>
        <v>8</v>
      </c>
      <c r="R110" s="33">
        <f>R109+C110</f>
        <v>0</v>
      </c>
      <c r="S110" s="33">
        <f>S109+D110</f>
        <v>7</v>
      </c>
      <c r="T110" s="33">
        <f>T109+E110</f>
        <v>6</v>
      </c>
      <c r="U110" s="33">
        <f>U109+F110</f>
        <v>30</v>
      </c>
      <c r="V110" s="33">
        <f>V109+G110</f>
        <v>51</v>
      </c>
      <c r="W110" s="33">
        <f>W109+H110</f>
        <v>51</v>
      </c>
      <c r="X110" s="33">
        <f>X109+I110</f>
        <v>13</v>
      </c>
      <c r="Y110" s="33">
        <f>Y109+J110</f>
        <v>0</v>
      </c>
      <c r="Z110" s="33">
        <f>Z109+K110</f>
        <v>13</v>
      </c>
      <c r="AA110" s="33">
        <f>AA109+L110</f>
        <v>0</v>
      </c>
      <c r="AB110" s="33">
        <f>AB109+M110</f>
        <v>0</v>
      </c>
      <c r="AC110" s="33">
        <f>AC109+N110</f>
        <v>2</v>
      </c>
      <c r="AD110" s="33">
        <f>AD109+O110</f>
        <v>111</v>
      </c>
      <c r="AE110" s="33">
        <f>AE109+P110</f>
        <v>62</v>
      </c>
      <c r="AF110" s="33">
        <f>AF109+Q110</f>
        <v>173</v>
      </c>
      <c r="AG110" s="34" t="str">
        <f>IFERROR(INDEX(台帳!$H$2:$H$2000,MATCH($A110,台帳!$A$2:$A$2000,0)),"")</f>
        <v>内部壁PBボード張り・ユニットバス設置</v>
      </c>
    </row>
    <row r="111" spans="1:33" ht="15.75" x14ac:dyDescent="0.25">
      <c r="A111" s="31">
        <v>46238</v>
      </c>
      <c r="B111" s="32" t="str">
        <f>CHOOSE(WEEKDAY(A111),"日","月","火","水","木","金","土")</f>
        <v>火</v>
      </c>
      <c r="C111" s="33">
        <f>SUMIFS(台帳!$I$2:$I$2000,台帳!$A$2:$A$2000,$A111,台帳!$E$2:$E$2000,C$4)</f>
        <v>0</v>
      </c>
      <c r="D111" s="33">
        <f>SUMIFS(台帳!$I$2:$I$2000,台帳!$A$2:$A$2000,$A111,台帳!$E$2:$E$2000,D$4)</f>
        <v>0</v>
      </c>
      <c r="E111" s="33">
        <f>SUMIFS(台帳!$I$2:$I$2000,台帳!$A$2:$A$2000,$A111,台帳!$E$2:$E$2000,E$4)</f>
        <v>0</v>
      </c>
      <c r="F111" s="33">
        <f>SUMIFS(台帳!$I$2:$I$2000,台帳!$A$2:$A$2000,$A111,台帳!$E$2:$E$2000,F$4)</f>
        <v>0</v>
      </c>
      <c r="G111" s="33">
        <f>SUMIFS(台帳!$I$2:$I$2000,台帳!$A$2:$A$2000,$A111,台帳!$E$2:$E$2000,G$4)</f>
        <v>0</v>
      </c>
      <c r="H111" s="33">
        <f>SUMIFS(台帳!$I$2:$I$2000,台帳!$A$2:$A$2000,$A111,台帳!$E$2:$E$2000,H$4)</f>
        <v>4</v>
      </c>
      <c r="I111" s="33">
        <f>SUMIFS(台帳!$I$2:$I$2000,台帳!$A$2:$A$2000,$A111,台帳!$E$2:$E$2000,I$4)</f>
        <v>1</v>
      </c>
      <c r="J111" s="33">
        <f>SUMIFS(台帳!$I$2:$I$2000,台帳!$A$2:$A$2000,$A111,台帳!$E$2:$E$2000,J$4)</f>
        <v>0</v>
      </c>
      <c r="K111" s="33">
        <f>SUMIFS(台帳!$I$2:$I$2000,台帳!$A$2:$A$2000,$A111,台帳!$E$2:$E$2000,K$4)</f>
        <v>0</v>
      </c>
      <c r="L111" s="33">
        <f>SUMIFS(台帳!$I$2:$I$2000,台帳!$A$2:$A$2000,$A111,台帳!$E$2:$E$2000,L$4)</f>
        <v>2</v>
      </c>
      <c r="M111" s="33">
        <f>SUMIFS(台帳!$I$2:$I$2000,台帳!$A$2:$A$2000,$A111,台帳!$E$2:$E$2000,M$4)</f>
        <v>0</v>
      </c>
      <c r="N111" s="33">
        <f>SUMIFS(台帳!$I$2:$I$2000,台帳!$A$2:$A$2000,$A111,台帳!$E$2:$E$2000,N$4)</f>
        <v>0</v>
      </c>
      <c r="O111" s="33">
        <f>SUMIFS(台帳!$I$2:$I$2000,台帳!$A$2:$A$2000,$A111,台帳!$D$2:$D$2000,"自社")</f>
        <v>4</v>
      </c>
      <c r="P111" s="33">
        <f>SUMIFS(台帳!$I$2:$I$2000,台帳!$A$2:$A$2000,$A111,台帳!$D$2:$D$2000,"業者")</f>
        <v>3</v>
      </c>
      <c r="Q111" s="33">
        <f>SUM(C111:N111)</f>
        <v>7</v>
      </c>
      <c r="R111" s="33">
        <f>R110+C111</f>
        <v>0</v>
      </c>
      <c r="S111" s="33">
        <f>S110+D111</f>
        <v>7</v>
      </c>
      <c r="T111" s="33">
        <f>T110+E111</f>
        <v>6</v>
      </c>
      <c r="U111" s="33">
        <f>U110+F111</f>
        <v>30</v>
      </c>
      <c r="V111" s="33">
        <f>V110+G111</f>
        <v>51</v>
      </c>
      <c r="W111" s="33">
        <f>W110+H111</f>
        <v>55</v>
      </c>
      <c r="X111" s="33">
        <f>X110+I111</f>
        <v>14</v>
      </c>
      <c r="Y111" s="33">
        <f>Y110+J111</f>
        <v>0</v>
      </c>
      <c r="Z111" s="33">
        <f>Z110+K111</f>
        <v>13</v>
      </c>
      <c r="AA111" s="33">
        <f>AA110+L111</f>
        <v>2</v>
      </c>
      <c r="AB111" s="33">
        <f>AB110+M111</f>
        <v>0</v>
      </c>
      <c r="AC111" s="33">
        <f>AC110+N111</f>
        <v>2</v>
      </c>
      <c r="AD111" s="33">
        <f>AD110+O111</f>
        <v>115</v>
      </c>
      <c r="AE111" s="33">
        <f>AE110+P111</f>
        <v>65</v>
      </c>
      <c r="AF111" s="33">
        <f>AF110+Q111</f>
        <v>180</v>
      </c>
      <c r="AG111" s="34" t="str">
        <f>IFERROR(INDEX(台帳!$H$2:$H$2000,MATCH($A111,台帳!$A$2:$A$2000,0)),"")</f>
        <v>内部壁PBボード張り・ユニットバス設置</v>
      </c>
    </row>
    <row r="112" spans="1:33" ht="15.75" x14ac:dyDescent="0.25">
      <c r="A112" s="31">
        <v>46239</v>
      </c>
      <c r="B112" s="32" t="str">
        <f>CHOOSE(WEEKDAY(A112),"日","月","火","水","木","金","土")</f>
        <v>水</v>
      </c>
      <c r="C112" s="33">
        <f>SUMIFS(台帳!$I$2:$I$2000,台帳!$A$2:$A$2000,$A112,台帳!$E$2:$E$2000,C$4)</f>
        <v>0</v>
      </c>
      <c r="D112" s="33">
        <f>SUMIFS(台帳!$I$2:$I$2000,台帳!$A$2:$A$2000,$A112,台帳!$E$2:$E$2000,D$4)</f>
        <v>0</v>
      </c>
      <c r="E112" s="33">
        <f>SUMIFS(台帳!$I$2:$I$2000,台帳!$A$2:$A$2000,$A112,台帳!$E$2:$E$2000,E$4)</f>
        <v>0</v>
      </c>
      <c r="F112" s="33">
        <f>SUMIFS(台帳!$I$2:$I$2000,台帳!$A$2:$A$2000,$A112,台帳!$E$2:$E$2000,F$4)</f>
        <v>0</v>
      </c>
      <c r="G112" s="33">
        <f>SUMIFS(台帳!$I$2:$I$2000,台帳!$A$2:$A$2000,$A112,台帳!$E$2:$E$2000,G$4)</f>
        <v>0</v>
      </c>
      <c r="H112" s="33">
        <f>SUMIFS(台帳!$I$2:$I$2000,台帳!$A$2:$A$2000,$A112,台帳!$E$2:$E$2000,H$4)</f>
        <v>4</v>
      </c>
      <c r="I112" s="33">
        <f>SUMIFS(台帳!$I$2:$I$2000,台帳!$A$2:$A$2000,$A112,台帳!$E$2:$E$2000,I$4)</f>
        <v>1</v>
      </c>
      <c r="J112" s="33">
        <f>SUMIFS(台帳!$I$2:$I$2000,台帳!$A$2:$A$2000,$A112,台帳!$E$2:$E$2000,J$4)</f>
        <v>0</v>
      </c>
      <c r="K112" s="33">
        <f>SUMIFS(台帳!$I$2:$I$2000,台帳!$A$2:$A$2000,$A112,台帳!$E$2:$E$2000,K$4)</f>
        <v>0</v>
      </c>
      <c r="L112" s="33">
        <f>SUMIFS(台帳!$I$2:$I$2000,台帳!$A$2:$A$2000,$A112,台帳!$E$2:$E$2000,L$4)</f>
        <v>0</v>
      </c>
      <c r="M112" s="33">
        <f>SUMIFS(台帳!$I$2:$I$2000,台帳!$A$2:$A$2000,$A112,台帳!$E$2:$E$2000,M$4)</f>
        <v>0</v>
      </c>
      <c r="N112" s="33">
        <f>SUMIFS(台帳!$I$2:$I$2000,台帳!$A$2:$A$2000,$A112,台帳!$E$2:$E$2000,N$4)</f>
        <v>0</v>
      </c>
      <c r="O112" s="33">
        <f>SUMIFS(台帳!$I$2:$I$2000,台帳!$A$2:$A$2000,$A112,台帳!$D$2:$D$2000,"自社")</f>
        <v>4</v>
      </c>
      <c r="P112" s="33">
        <f>SUMIFS(台帳!$I$2:$I$2000,台帳!$A$2:$A$2000,$A112,台帳!$D$2:$D$2000,"業者")</f>
        <v>1</v>
      </c>
      <c r="Q112" s="33">
        <f>SUM(C112:N112)</f>
        <v>5</v>
      </c>
      <c r="R112" s="33">
        <f>R111+C112</f>
        <v>0</v>
      </c>
      <c r="S112" s="33">
        <f>S111+D112</f>
        <v>7</v>
      </c>
      <c r="T112" s="33">
        <f>T111+E112</f>
        <v>6</v>
      </c>
      <c r="U112" s="33">
        <f>U111+F112</f>
        <v>30</v>
      </c>
      <c r="V112" s="33">
        <f>V111+G112</f>
        <v>51</v>
      </c>
      <c r="W112" s="33">
        <f>W111+H112</f>
        <v>59</v>
      </c>
      <c r="X112" s="33">
        <f>X111+I112</f>
        <v>15</v>
      </c>
      <c r="Y112" s="33">
        <f>Y111+J112</f>
        <v>0</v>
      </c>
      <c r="Z112" s="33">
        <f>Z111+K112</f>
        <v>13</v>
      </c>
      <c r="AA112" s="33">
        <f>AA111+L112</f>
        <v>2</v>
      </c>
      <c r="AB112" s="33">
        <f>AB111+M112</f>
        <v>0</v>
      </c>
      <c r="AC112" s="33">
        <f>AC111+N112</f>
        <v>2</v>
      </c>
      <c r="AD112" s="33">
        <f>AD111+O112</f>
        <v>119</v>
      </c>
      <c r="AE112" s="33">
        <f>AE111+P112</f>
        <v>66</v>
      </c>
      <c r="AF112" s="33">
        <f>AF111+Q112</f>
        <v>185</v>
      </c>
      <c r="AG112" s="34" t="str">
        <f>IFERROR(INDEX(台帳!$H$2:$H$2000,MATCH($A112,台帳!$A$2:$A$2000,0)),"")</f>
        <v>内部壁PBボード張り・現場台風対策片付け</v>
      </c>
    </row>
    <row r="113" spans="1:33" ht="15.75" x14ac:dyDescent="0.25">
      <c r="A113" s="31">
        <v>46240</v>
      </c>
      <c r="B113" s="32" t="str">
        <f>CHOOSE(WEEKDAY(A113),"日","月","火","水","木","金","土")</f>
        <v>木</v>
      </c>
      <c r="C113" s="33">
        <f>SUMIFS(台帳!$I$2:$I$2000,台帳!$A$2:$A$2000,$A113,台帳!$E$2:$E$2000,C$4)</f>
        <v>0</v>
      </c>
      <c r="D113" s="33">
        <f>SUMIFS(台帳!$I$2:$I$2000,台帳!$A$2:$A$2000,$A113,台帳!$E$2:$E$2000,D$4)</f>
        <v>0</v>
      </c>
      <c r="E113" s="33">
        <f>SUMIFS(台帳!$I$2:$I$2000,台帳!$A$2:$A$2000,$A113,台帳!$E$2:$E$2000,E$4)</f>
        <v>0</v>
      </c>
      <c r="F113" s="33">
        <f>SUMIFS(台帳!$I$2:$I$2000,台帳!$A$2:$A$2000,$A113,台帳!$E$2:$E$2000,F$4)</f>
        <v>0</v>
      </c>
      <c r="G113" s="33">
        <f>SUMIFS(台帳!$I$2:$I$2000,台帳!$A$2:$A$2000,$A113,台帳!$E$2:$E$2000,G$4)</f>
        <v>0</v>
      </c>
      <c r="H113" s="33">
        <f>SUMIFS(台帳!$I$2:$I$2000,台帳!$A$2:$A$2000,$A113,台帳!$E$2:$E$2000,H$4)</f>
        <v>3</v>
      </c>
      <c r="I113" s="33">
        <f>SUMIFS(台帳!$I$2:$I$2000,台帳!$A$2:$A$2000,$A113,台帳!$E$2:$E$2000,I$4)</f>
        <v>0</v>
      </c>
      <c r="J113" s="33">
        <f>SUMIFS(台帳!$I$2:$I$2000,台帳!$A$2:$A$2000,$A113,台帳!$E$2:$E$2000,J$4)</f>
        <v>0</v>
      </c>
      <c r="K113" s="33">
        <f>SUMIFS(台帳!$I$2:$I$2000,台帳!$A$2:$A$2000,$A113,台帳!$E$2:$E$2000,K$4)</f>
        <v>0</v>
      </c>
      <c r="L113" s="33">
        <f>SUMIFS(台帳!$I$2:$I$2000,台帳!$A$2:$A$2000,$A113,台帳!$E$2:$E$2000,L$4)</f>
        <v>0</v>
      </c>
      <c r="M113" s="33">
        <f>SUMIFS(台帳!$I$2:$I$2000,台帳!$A$2:$A$2000,$A113,台帳!$E$2:$E$2000,M$4)</f>
        <v>0</v>
      </c>
      <c r="N113" s="33">
        <f>SUMIFS(台帳!$I$2:$I$2000,台帳!$A$2:$A$2000,$A113,台帳!$E$2:$E$2000,N$4)</f>
        <v>0</v>
      </c>
      <c r="O113" s="33">
        <f>SUMIFS(台帳!$I$2:$I$2000,台帳!$A$2:$A$2000,$A113,台帳!$D$2:$D$2000,"自社")</f>
        <v>3</v>
      </c>
      <c r="P113" s="33">
        <f>SUMIFS(台帳!$I$2:$I$2000,台帳!$A$2:$A$2000,$A113,台帳!$D$2:$D$2000,"業者")</f>
        <v>0</v>
      </c>
      <c r="Q113" s="33">
        <f>SUM(C113:N113)</f>
        <v>3</v>
      </c>
      <c r="R113" s="33">
        <f>R112+C113</f>
        <v>0</v>
      </c>
      <c r="S113" s="33">
        <f>S112+D113</f>
        <v>7</v>
      </c>
      <c r="T113" s="33">
        <f>T112+E113</f>
        <v>6</v>
      </c>
      <c r="U113" s="33">
        <f>U112+F113</f>
        <v>30</v>
      </c>
      <c r="V113" s="33">
        <f>V112+G113</f>
        <v>51</v>
      </c>
      <c r="W113" s="33">
        <f>W112+H113</f>
        <v>62</v>
      </c>
      <c r="X113" s="33">
        <f>X112+I113</f>
        <v>15</v>
      </c>
      <c r="Y113" s="33">
        <f>Y112+J113</f>
        <v>0</v>
      </c>
      <c r="Z113" s="33">
        <f>Z112+K113</f>
        <v>13</v>
      </c>
      <c r="AA113" s="33">
        <f>AA112+L113</f>
        <v>2</v>
      </c>
      <c r="AB113" s="33">
        <f>AB112+M113</f>
        <v>0</v>
      </c>
      <c r="AC113" s="33">
        <f>AC112+N113</f>
        <v>2</v>
      </c>
      <c r="AD113" s="33">
        <f>AD112+O113</f>
        <v>122</v>
      </c>
      <c r="AE113" s="33">
        <f>AE112+P113</f>
        <v>66</v>
      </c>
      <c r="AF113" s="33">
        <f>AF112+Q113</f>
        <v>188</v>
      </c>
      <c r="AG113" s="34" t="str">
        <f>IFERROR(INDEX(台帳!$H$2:$H$2000,MATCH($A113,台帳!$A$2:$A$2000,0)),"")</f>
        <v>作業内容の記載なし</v>
      </c>
    </row>
    <row r="114" spans="1:33" ht="15.75" x14ac:dyDescent="0.25">
      <c r="A114" s="31">
        <v>46241</v>
      </c>
      <c r="B114" s="32" t="str">
        <f>CHOOSE(WEEKDAY(A114),"日","月","火","水","木","金","土")</f>
        <v>金</v>
      </c>
      <c r="C114" s="33">
        <f>SUMIFS(台帳!$I$2:$I$2000,台帳!$A$2:$A$2000,$A114,台帳!$E$2:$E$2000,C$4)</f>
        <v>0</v>
      </c>
      <c r="D114" s="33">
        <f>SUMIFS(台帳!$I$2:$I$2000,台帳!$A$2:$A$2000,$A114,台帳!$E$2:$E$2000,D$4)</f>
        <v>0</v>
      </c>
      <c r="E114" s="33">
        <f>SUMIFS(台帳!$I$2:$I$2000,台帳!$A$2:$A$2000,$A114,台帳!$E$2:$E$2000,E$4)</f>
        <v>0</v>
      </c>
      <c r="F114" s="33">
        <f>SUMIFS(台帳!$I$2:$I$2000,台帳!$A$2:$A$2000,$A114,台帳!$E$2:$E$2000,F$4)</f>
        <v>0</v>
      </c>
      <c r="G114" s="33">
        <f>SUMIFS(台帳!$I$2:$I$2000,台帳!$A$2:$A$2000,$A114,台帳!$E$2:$E$2000,G$4)</f>
        <v>0</v>
      </c>
      <c r="H114" s="33">
        <f>SUMIFS(台帳!$I$2:$I$2000,台帳!$A$2:$A$2000,$A114,台帳!$E$2:$E$2000,H$4)</f>
        <v>0</v>
      </c>
      <c r="I114" s="33">
        <f>SUMIFS(台帳!$I$2:$I$2000,台帳!$A$2:$A$2000,$A114,台帳!$E$2:$E$2000,I$4)</f>
        <v>0</v>
      </c>
      <c r="J114" s="33">
        <f>SUMIFS(台帳!$I$2:$I$2000,台帳!$A$2:$A$2000,$A114,台帳!$E$2:$E$2000,J$4)</f>
        <v>0</v>
      </c>
      <c r="K114" s="33">
        <f>SUMIFS(台帳!$I$2:$I$2000,台帳!$A$2:$A$2000,$A114,台帳!$E$2:$E$2000,K$4)</f>
        <v>0</v>
      </c>
      <c r="L114" s="33">
        <f>SUMIFS(台帳!$I$2:$I$2000,台帳!$A$2:$A$2000,$A114,台帳!$E$2:$E$2000,L$4)</f>
        <v>0</v>
      </c>
      <c r="M114" s="33">
        <f>SUMIFS(台帳!$I$2:$I$2000,台帳!$A$2:$A$2000,$A114,台帳!$E$2:$E$2000,M$4)</f>
        <v>0</v>
      </c>
      <c r="N114" s="33">
        <f>SUMIFS(台帳!$I$2:$I$2000,台帳!$A$2:$A$2000,$A114,台帳!$E$2:$E$2000,N$4)</f>
        <v>0</v>
      </c>
      <c r="O114" s="33">
        <f>SUMIFS(台帳!$I$2:$I$2000,台帳!$A$2:$A$2000,$A114,台帳!$D$2:$D$2000,"自社")</f>
        <v>0</v>
      </c>
      <c r="P114" s="33">
        <f>SUMIFS(台帳!$I$2:$I$2000,台帳!$A$2:$A$2000,$A114,台帳!$D$2:$D$2000,"業者")</f>
        <v>0</v>
      </c>
      <c r="Q114" s="33">
        <f>SUM(C114:N114)</f>
        <v>0</v>
      </c>
      <c r="R114" s="33">
        <f>R113+C114</f>
        <v>0</v>
      </c>
      <c r="S114" s="33">
        <f>S113+D114</f>
        <v>7</v>
      </c>
      <c r="T114" s="33">
        <f>T113+E114</f>
        <v>6</v>
      </c>
      <c r="U114" s="33">
        <f>U113+F114</f>
        <v>30</v>
      </c>
      <c r="V114" s="33">
        <f>V113+G114</f>
        <v>51</v>
      </c>
      <c r="W114" s="33">
        <f>W113+H114</f>
        <v>62</v>
      </c>
      <c r="X114" s="33">
        <f>X113+I114</f>
        <v>15</v>
      </c>
      <c r="Y114" s="33">
        <f>Y113+J114</f>
        <v>0</v>
      </c>
      <c r="Z114" s="33">
        <f>Z113+K114</f>
        <v>13</v>
      </c>
      <c r="AA114" s="33">
        <f>AA113+L114</f>
        <v>2</v>
      </c>
      <c r="AB114" s="33">
        <f>AB113+M114</f>
        <v>0</v>
      </c>
      <c r="AC114" s="33">
        <f>AC113+N114</f>
        <v>2</v>
      </c>
      <c r="AD114" s="33">
        <f>AD113+O114</f>
        <v>122</v>
      </c>
      <c r="AE114" s="33">
        <f>AE113+P114</f>
        <v>66</v>
      </c>
      <c r="AF114" s="33">
        <f>AF113+Q114</f>
        <v>188</v>
      </c>
      <c r="AG114" s="34" t="str">
        <f>IFERROR(INDEX(台帳!$H$2:$H$2000,MATCH($A114,台帳!$A$2:$A$2000,0)),"")</f>
        <v>台風のため終日休み</v>
      </c>
    </row>
    <row r="115" spans="1:33" ht="15.75" x14ac:dyDescent="0.25">
      <c r="A115" s="35">
        <v>46242</v>
      </c>
      <c r="B115" s="36" t="str">
        <f>CHOOSE(WEEKDAY(A115),"日","月","火","水","木","金","土")</f>
        <v>土</v>
      </c>
      <c r="C115" s="37">
        <f>SUMIFS(台帳!$I$2:$I$2000,台帳!$A$2:$A$2000,$A115,台帳!$E$2:$E$2000,C$4)</f>
        <v>0</v>
      </c>
      <c r="D115" s="37">
        <f>SUMIFS(台帳!$I$2:$I$2000,台帳!$A$2:$A$2000,$A115,台帳!$E$2:$E$2000,D$4)</f>
        <v>0</v>
      </c>
      <c r="E115" s="37">
        <f>SUMIFS(台帳!$I$2:$I$2000,台帳!$A$2:$A$2000,$A115,台帳!$E$2:$E$2000,E$4)</f>
        <v>0</v>
      </c>
      <c r="F115" s="37">
        <f>SUMIFS(台帳!$I$2:$I$2000,台帳!$A$2:$A$2000,$A115,台帳!$E$2:$E$2000,F$4)</f>
        <v>0</v>
      </c>
      <c r="G115" s="37">
        <f>SUMIFS(台帳!$I$2:$I$2000,台帳!$A$2:$A$2000,$A115,台帳!$E$2:$E$2000,G$4)</f>
        <v>0</v>
      </c>
      <c r="H115" s="37">
        <f>SUMIFS(台帳!$I$2:$I$2000,台帳!$A$2:$A$2000,$A115,台帳!$E$2:$E$2000,H$4)</f>
        <v>1</v>
      </c>
      <c r="I115" s="37">
        <f>SUMIFS(台帳!$I$2:$I$2000,台帳!$A$2:$A$2000,$A115,台帳!$E$2:$E$2000,I$4)</f>
        <v>0</v>
      </c>
      <c r="J115" s="37">
        <f>SUMIFS(台帳!$I$2:$I$2000,台帳!$A$2:$A$2000,$A115,台帳!$E$2:$E$2000,J$4)</f>
        <v>0</v>
      </c>
      <c r="K115" s="37">
        <f>SUMIFS(台帳!$I$2:$I$2000,台帳!$A$2:$A$2000,$A115,台帳!$E$2:$E$2000,K$4)</f>
        <v>0</v>
      </c>
      <c r="L115" s="37">
        <f>SUMIFS(台帳!$I$2:$I$2000,台帳!$A$2:$A$2000,$A115,台帳!$E$2:$E$2000,L$4)</f>
        <v>0</v>
      </c>
      <c r="M115" s="37">
        <f>SUMIFS(台帳!$I$2:$I$2000,台帳!$A$2:$A$2000,$A115,台帳!$E$2:$E$2000,M$4)</f>
        <v>0</v>
      </c>
      <c r="N115" s="37">
        <f>SUMIFS(台帳!$I$2:$I$2000,台帳!$A$2:$A$2000,$A115,台帳!$E$2:$E$2000,N$4)</f>
        <v>0</v>
      </c>
      <c r="O115" s="37">
        <f>SUMIFS(台帳!$I$2:$I$2000,台帳!$A$2:$A$2000,$A115,台帳!$D$2:$D$2000,"自社")</f>
        <v>1</v>
      </c>
      <c r="P115" s="37">
        <f>SUMIFS(台帳!$I$2:$I$2000,台帳!$A$2:$A$2000,$A115,台帳!$D$2:$D$2000,"業者")</f>
        <v>0</v>
      </c>
      <c r="Q115" s="37">
        <f>SUM(C115:N115)</f>
        <v>1</v>
      </c>
      <c r="R115" s="37">
        <f>R114+C115</f>
        <v>0</v>
      </c>
      <c r="S115" s="37">
        <f>S114+D115</f>
        <v>7</v>
      </c>
      <c r="T115" s="37">
        <f>T114+E115</f>
        <v>6</v>
      </c>
      <c r="U115" s="37">
        <f>U114+F115</f>
        <v>30</v>
      </c>
      <c r="V115" s="37">
        <f>V114+G115</f>
        <v>51</v>
      </c>
      <c r="W115" s="37">
        <f>W114+H115</f>
        <v>63</v>
      </c>
      <c r="X115" s="37">
        <f>X114+I115</f>
        <v>15</v>
      </c>
      <c r="Y115" s="37">
        <f>Y114+J115</f>
        <v>0</v>
      </c>
      <c r="Z115" s="37">
        <f>Z114+K115</f>
        <v>13</v>
      </c>
      <c r="AA115" s="37">
        <f>AA114+L115</f>
        <v>2</v>
      </c>
      <c r="AB115" s="37">
        <f>AB114+M115</f>
        <v>0</v>
      </c>
      <c r="AC115" s="37">
        <f>AC114+N115</f>
        <v>2</v>
      </c>
      <c r="AD115" s="37">
        <f>AD114+O115</f>
        <v>123</v>
      </c>
      <c r="AE115" s="37">
        <f>AE114+P115</f>
        <v>66</v>
      </c>
      <c r="AF115" s="37">
        <f>AF114+Q115</f>
        <v>189</v>
      </c>
      <c r="AG115" s="38" t="str">
        <f>IFERROR(INDEX(台帳!$H$2:$H$2000,MATCH($A115,台帳!$A$2:$A$2000,0)),"")</f>
        <v>開口部直し（昼前連絡あり）</v>
      </c>
    </row>
    <row r="116" spans="1:33" ht="15.75" x14ac:dyDescent="0.25">
      <c r="A116" s="35">
        <v>46243</v>
      </c>
      <c r="B116" s="36" t="str">
        <f>CHOOSE(WEEKDAY(A116),"日","月","火","水","木","金","土")</f>
        <v>日</v>
      </c>
      <c r="C116" s="37">
        <f>SUMIFS(台帳!$I$2:$I$2000,台帳!$A$2:$A$2000,$A116,台帳!$E$2:$E$2000,C$4)</f>
        <v>0</v>
      </c>
      <c r="D116" s="37">
        <f>SUMIFS(台帳!$I$2:$I$2000,台帳!$A$2:$A$2000,$A116,台帳!$E$2:$E$2000,D$4)</f>
        <v>0</v>
      </c>
      <c r="E116" s="37">
        <f>SUMIFS(台帳!$I$2:$I$2000,台帳!$A$2:$A$2000,$A116,台帳!$E$2:$E$2000,E$4)</f>
        <v>0</v>
      </c>
      <c r="F116" s="37">
        <f>SUMIFS(台帳!$I$2:$I$2000,台帳!$A$2:$A$2000,$A116,台帳!$E$2:$E$2000,F$4)</f>
        <v>0</v>
      </c>
      <c r="G116" s="37">
        <f>SUMIFS(台帳!$I$2:$I$2000,台帳!$A$2:$A$2000,$A116,台帳!$E$2:$E$2000,G$4)</f>
        <v>0</v>
      </c>
      <c r="H116" s="37">
        <f>SUMIFS(台帳!$I$2:$I$2000,台帳!$A$2:$A$2000,$A116,台帳!$E$2:$E$2000,H$4)</f>
        <v>4</v>
      </c>
      <c r="I116" s="37">
        <f>SUMIFS(台帳!$I$2:$I$2000,台帳!$A$2:$A$2000,$A116,台帳!$E$2:$E$2000,I$4)</f>
        <v>0</v>
      </c>
      <c r="J116" s="37">
        <f>SUMIFS(台帳!$I$2:$I$2000,台帳!$A$2:$A$2000,$A116,台帳!$E$2:$E$2000,J$4)</f>
        <v>0</v>
      </c>
      <c r="K116" s="37">
        <f>SUMIFS(台帳!$I$2:$I$2000,台帳!$A$2:$A$2000,$A116,台帳!$E$2:$E$2000,K$4)</f>
        <v>0</v>
      </c>
      <c r="L116" s="37">
        <f>SUMIFS(台帳!$I$2:$I$2000,台帳!$A$2:$A$2000,$A116,台帳!$E$2:$E$2000,L$4)</f>
        <v>0</v>
      </c>
      <c r="M116" s="37">
        <f>SUMIFS(台帳!$I$2:$I$2000,台帳!$A$2:$A$2000,$A116,台帳!$E$2:$E$2000,M$4)</f>
        <v>0</v>
      </c>
      <c r="N116" s="37">
        <f>SUMIFS(台帳!$I$2:$I$2000,台帳!$A$2:$A$2000,$A116,台帳!$E$2:$E$2000,N$4)</f>
        <v>0</v>
      </c>
      <c r="O116" s="37">
        <f>SUMIFS(台帳!$I$2:$I$2000,台帳!$A$2:$A$2000,$A116,台帳!$D$2:$D$2000,"自社")</f>
        <v>4</v>
      </c>
      <c r="P116" s="37">
        <f>SUMIFS(台帳!$I$2:$I$2000,台帳!$A$2:$A$2000,$A116,台帳!$D$2:$D$2000,"業者")</f>
        <v>0</v>
      </c>
      <c r="Q116" s="37">
        <f>SUM(C116:N116)</f>
        <v>4</v>
      </c>
      <c r="R116" s="37">
        <f>R115+C116</f>
        <v>0</v>
      </c>
      <c r="S116" s="37">
        <f>S115+D116</f>
        <v>7</v>
      </c>
      <c r="T116" s="37">
        <f>T115+E116</f>
        <v>6</v>
      </c>
      <c r="U116" s="37">
        <f>U115+F116</f>
        <v>30</v>
      </c>
      <c r="V116" s="37">
        <f>V115+G116</f>
        <v>51</v>
      </c>
      <c r="W116" s="37">
        <f>W115+H116</f>
        <v>67</v>
      </c>
      <c r="X116" s="37">
        <f>X115+I116</f>
        <v>15</v>
      </c>
      <c r="Y116" s="37">
        <f>Y115+J116</f>
        <v>0</v>
      </c>
      <c r="Z116" s="37">
        <f>Z115+K116</f>
        <v>13</v>
      </c>
      <c r="AA116" s="37">
        <f>AA115+L116</f>
        <v>2</v>
      </c>
      <c r="AB116" s="37">
        <f>AB115+M116</f>
        <v>0</v>
      </c>
      <c r="AC116" s="37">
        <f>AC115+N116</f>
        <v>2</v>
      </c>
      <c r="AD116" s="37">
        <f>AD115+O116</f>
        <v>127</v>
      </c>
      <c r="AE116" s="37">
        <f>AE115+P116</f>
        <v>66</v>
      </c>
      <c r="AF116" s="37">
        <f>AF115+Q116</f>
        <v>193</v>
      </c>
      <c r="AG116" s="38" t="str">
        <f>IFERROR(INDEX(台帳!$H$2:$H$2000,MATCH($A116,台帳!$A$2:$A$2000,0)),"")</f>
        <v>開口下地作成及び天井下地</v>
      </c>
    </row>
    <row r="117" spans="1:33" ht="15.75" x14ac:dyDescent="0.25">
      <c r="A117" s="31">
        <v>46244</v>
      </c>
      <c r="B117" s="32" t="str">
        <f>CHOOSE(WEEKDAY(A117),"日","月","火","水","木","金","土")</f>
        <v>月</v>
      </c>
      <c r="C117" s="33">
        <f>SUMIFS(台帳!$I$2:$I$2000,台帳!$A$2:$A$2000,$A117,台帳!$E$2:$E$2000,C$4)</f>
        <v>0</v>
      </c>
      <c r="D117" s="33">
        <f>SUMIFS(台帳!$I$2:$I$2000,台帳!$A$2:$A$2000,$A117,台帳!$E$2:$E$2000,D$4)</f>
        <v>0</v>
      </c>
      <c r="E117" s="33">
        <f>SUMIFS(台帳!$I$2:$I$2000,台帳!$A$2:$A$2000,$A117,台帳!$E$2:$E$2000,E$4)</f>
        <v>0</v>
      </c>
      <c r="F117" s="33">
        <f>SUMIFS(台帳!$I$2:$I$2000,台帳!$A$2:$A$2000,$A117,台帳!$E$2:$E$2000,F$4)</f>
        <v>0</v>
      </c>
      <c r="G117" s="33">
        <f>SUMIFS(台帳!$I$2:$I$2000,台帳!$A$2:$A$2000,$A117,台帳!$E$2:$E$2000,G$4)</f>
        <v>0</v>
      </c>
      <c r="H117" s="33">
        <f>SUMIFS(台帳!$I$2:$I$2000,台帳!$A$2:$A$2000,$A117,台帳!$E$2:$E$2000,H$4)</f>
        <v>3</v>
      </c>
      <c r="I117" s="33">
        <f>SUMIFS(台帳!$I$2:$I$2000,台帳!$A$2:$A$2000,$A117,台帳!$E$2:$E$2000,I$4)</f>
        <v>0</v>
      </c>
      <c r="J117" s="33">
        <f>SUMIFS(台帳!$I$2:$I$2000,台帳!$A$2:$A$2000,$A117,台帳!$E$2:$E$2000,J$4)</f>
        <v>0</v>
      </c>
      <c r="K117" s="33">
        <f>SUMIFS(台帳!$I$2:$I$2000,台帳!$A$2:$A$2000,$A117,台帳!$E$2:$E$2000,K$4)</f>
        <v>0</v>
      </c>
      <c r="L117" s="33">
        <f>SUMIFS(台帳!$I$2:$I$2000,台帳!$A$2:$A$2000,$A117,台帳!$E$2:$E$2000,L$4)</f>
        <v>0</v>
      </c>
      <c r="M117" s="33">
        <f>SUMIFS(台帳!$I$2:$I$2000,台帳!$A$2:$A$2000,$A117,台帳!$E$2:$E$2000,M$4)</f>
        <v>0</v>
      </c>
      <c r="N117" s="33">
        <f>SUMIFS(台帳!$I$2:$I$2000,台帳!$A$2:$A$2000,$A117,台帳!$E$2:$E$2000,N$4)</f>
        <v>0</v>
      </c>
      <c r="O117" s="33">
        <f>SUMIFS(台帳!$I$2:$I$2000,台帳!$A$2:$A$2000,$A117,台帳!$D$2:$D$2000,"自社")</f>
        <v>3</v>
      </c>
      <c r="P117" s="33">
        <f>SUMIFS(台帳!$I$2:$I$2000,台帳!$A$2:$A$2000,$A117,台帳!$D$2:$D$2000,"業者")</f>
        <v>0</v>
      </c>
      <c r="Q117" s="33">
        <f>SUM(C117:N117)</f>
        <v>3</v>
      </c>
      <c r="R117" s="33">
        <f>R116+C117</f>
        <v>0</v>
      </c>
      <c r="S117" s="33">
        <f>S116+D117</f>
        <v>7</v>
      </c>
      <c r="T117" s="33">
        <f>T116+E117</f>
        <v>6</v>
      </c>
      <c r="U117" s="33">
        <f>U116+F117</f>
        <v>30</v>
      </c>
      <c r="V117" s="33">
        <f>V116+G117</f>
        <v>51</v>
      </c>
      <c r="W117" s="33">
        <f>W116+H117</f>
        <v>70</v>
      </c>
      <c r="X117" s="33">
        <f>X116+I117</f>
        <v>15</v>
      </c>
      <c r="Y117" s="33">
        <f>Y116+J117</f>
        <v>0</v>
      </c>
      <c r="Z117" s="33">
        <f>Z116+K117</f>
        <v>13</v>
      </c>
      <c r="AA117" s="33">
        <f>AA116+L117</f>
        <v>2</v>
      </c>
      <c r="AB117" s="33">
        <f>AB116+M117</f>
        <v>0</v>
      </c>
      <c r="AC117" s="33">
        <f>AC116+N117</f>
        <v>2</v>
      </c>
      <c r="AD117" s="33">
        <f>AD116+O117</f>
        <v>130</v>
      </c>
      <c r="AE117" s="33">
        <f>AE116+P117</f>
        <v>66</v>
      </c>
      <c r="AF117" s="33">
        <f>AF116+Q117</f>
        <v>196</v>
      </c>
      <c r="AG117" s="34" t="str">
        <f>IFERROR(INDEX(台帳!$H$2:$H$2000,MATCH($A117,台帳!$A$2:$A$2000,0)),"")</f>
        <v>作業内容の記載なし（前後から天井下地と推定）</v>
      </c>
    </row>
    <row r="118" spans="1:33" ht="15.75" x14ac:dyDescent="0.25">
      <c r="A118" s="31">
        <v>46245</v>
      </c>
      <c r="B118" s="32" t="str">
        <f>CHOOSE(WEEKDAY(A118),"日","月","火","水","木","金","土")</f>
        <v>火</v>
      </c>
      <c r="C118" s="33">
        <f>SUMIFS(台帳!$I$2:$I$2000,台帳!$A$2:$A$2000,$A118,台帳!$E$2:$E$2000,C$4)</f>
        <v>0</v>
      </c>
      <c r="D118" s="33">
        <f>SUMIFS(台帳!$I$2:$I$2000,台帳!$A$2:$A$2000,$A118,台帳!$E$2:$E$2000,D$4)</f>
        <v>0</v>
      </c>
      <c r="E118" s="33">
        <f>SUMIFS(台帳!$I$2:$I$2000,台帳!$A$2:$A$2000,$A118,台帳!$E$2:$E$2000,E$4)</f>
        <v>0</v>
      </c>
      <c r="F118" s="33">
        <f>SUMIFS(台帳!$I$2:$I$2000,台帳!$A$2:$A$2000,$A118,台帳!$E$2:$E$2000,F$4)</f>
        <v>0</v>
      </c>
      <c r="G118" s="33">
        <f>SUMIFS(台帳!$I$2:$I$2000,台帳!$A$2:$A$2000,$A118,台帳!$E$2:$E$2000,G$4)</f>
        <v>0</v>
      </c>
      <c r="H118" s="33">
        <f>SUMIFS(台帳!$I$2:$I$2000,台帳!$A$2:$A$2000,$A118,台帳!$E$2:$E$2000,H$4)</f>
        <v>4</v>
      </c>
      <c r="I118" s="33">
        <f>SUMIFS(台帳!$I$2:$I$2000,台帳!$A$2:$A$2000,$A118,台帳!$E$2:$E$2000,I$4)</f>
        <v>0</v>
      </c>
      <c r="J118" s="33">
        <f>SUMIFS(台帳!$I$2:$I$2000,台帳!$A$2:$A$2000,$A118,台帳!$E$2:$E$2000,J$4)</f>
        <v>0</v>
      </c>
      <c r="K118" s="33">
        <f>SUMIFS(台帳!$I$2:$I$2000,台帳!$A$2:$A$2000,$A118,台帳!$E$2:$E$2000,K$4)</f>
        <v>0</v>
      </c>
      <c r="L118" s="33">
        <f>SUMIFS(台帳!$I$2:$I$2000,台帳!$A$2:$A$2000,$A118,台帳!$E$2:$E$2000,L$4)</f>
        <v>0</v>
      </c>
      <c r="M118" s="33">
        <f>SUMIFS(台帳!$I$2:$I$2000,台帳!$A$2:$A$2000,$A118,台帳!$E$2:$E$2000,M$4)</f>
        <v>0</v>
      </c>
      <c r="N118" s="33">
        <f>SUMIFS(台帳!$I$2:$I$2000,台帳!$A$2:$A$2000,$A118,台帳!$E$2:$E$2000,N$4)</f>
        <v>0</v>
      </c>
      <c r="O118" s="33">
        <f>SUMIFS(台帳!$I$2:$I$2000,台帳!$A$2:$A$2000,$A118,台帳!$D$2:$D$2000,"自社")</f>
        <v>4</v>
      </c>
      <c r="P118" s="33">
        <f>SUMIFS(台帳!$I$2:$I$2000,台帳!$A$2:$A$2000,$A118,台帳!$D$2:$D$2000,"業者")</f>
        <v>0</v>
      </c>
      <c r="Q118" s="33">
        <f>SUM(C118:N118)</f>
        <v>4</v>
      </c>
      <c r="R118" s="33">
        <f>R117+C118</f>
        <v>0</v>
      </c>
      <c r="S118" s="33">
        <f>S117+D118</f>
        <v>7</v>
      </c>
      <c r="T118" s="33">
        <f>T117+E118</f>
        <v>6</v>
      </c>
      <c r="U118" s="33">
        <f>U117+F118</f>
        <v>30</v>
      </c>
      <c r="V118" s="33">
        <f>V117+G118</f>
        <v>51</v>
      </c>
      <c r="W118" s="33">
        <f>W117+H118</f>
        <v>74</v>
      </c>
      <c r="X118" s="33">
        <f>X117+I118</f>
        <v>15</v>
      </c>
      <c r="Y118" s="33">
        <f>Y117+J118</f>
        <v>0</v>
      </c>
      <c r="Z118" s="33">
        <f>Z117+K118</f>
        <v>13</v>
      </c>
      <c r="AA118" s="33">
        <f>AA117+L118</f>
        <v>2</v>
      </c>
      <c r="AB118" s="33">
        <f>AB117+M118</f>
        <v>0</v>
      </c>
      <c r="AC118" s="33">
        <f>AC117+N118</f>
        <v>2</v>
      </c>
      <c r="AD118" s="33">
        <f>AD117+O118</f>
        <v>134</v>
      </c>
      <c r="AE118" s="33">
        <f>AE117+P118</f>
        <v>66</v>
      </c>
      <c r="AF118" s="33">
        <f>AF117+Q118</f>
        <v>200</v>
      </c>
      <c r="AG118" s="34" t="str">
        <f>IFERROR(INDEX(台帳!$H$2:$H$2000,MATCH($A118,台帳!$A$2:$A$2000,0)),"")</f>
        <v>天井下地作成</v>
      </c>
    </row>
    <row r="119" spans="1:33" ht="15.75" x14ac:dyDescent="0.25">
      <c r="A119" s="31">
        <v>46246</v>
      </c>
      <c r="B119" s="32" t="str">
        <f>CHOOSE(WEEKDAY(A119),"日","月","火","水","木","金","土")</f>
        <v>水</v>
      </c>
      <c r="C119" s="33">
        <f>SUMIFS(台帳!$I$2:$I$2000,台帳!$A$2:$A$2000,$A119,台帳!$E$2:$E$2000,C$4)</f>
        <v>0</v>
      </c>
      <c r="D119" s="33">
        <f>SUMIFS(台帳!$I$2:$I$2000,台帳!$A$2:$A$2000,$A119,台帳!$E$2:$E$2000,D$4)</f>
        <v>0</v>
      </c>
      <c r="E119" s="33">
        <f>SUMIFS(台帳!$I$2:$I$2000,台帳!$A$2:$A$2000,$A119,台帳!$E$2:$E$2000,E$4)</f>
        <v>0</v>
      </c>
      <c r="F119" s="33">
        <f>SUMIFS(台帳!$I$2:$I$2000,台帳!$A$2:$A$2000,$A119,台帳!$E$2:$E$2000,F$4)</f>
        <v>0</v>
      </c>
      <c r="G119" s="33">
        <f>SUMIFS(台帳!$I$2:$I$2000,台帳!$A$2:$A$2000,$A119,台帳!$E$2:$E$2000,G$4)</f>
        <v>0</v>
      </c>
      <c r="H119" s="33">
        <f>SUMIFS(台帳!$I$2:$I$2000,台帳!$A$2:$A$2000,$A119,台帳!$E$2:$E$2000,H$4)</f>
        <v>3</v>
      </c>
      <c r="I119" s="33">
        <f>SUMIFS(台帳!$I$2:$I$2000,台帳!$A$2:$A$2000,$A119,台帳!$E$2:$E$2000,I$4)</f>
        <v>2</v>
      </c>
      <c r="J119" s="33">
        <f>SUMIFS(台帳!$I$2:$I$2000,台帳!$A$2:$A$2000,$A119,台帳!$E$2:$E$2000,J$4)</f>
        <v>0</v>
      </c>
      <c r="K119" s="33">
        <f>SUMIFS(台帳!$I$2:$I$2000,台帳!$A$2:$A$2000,$A119,台帳!$E$2:$E$2000,K$4)</f>
        <v>2</v>
      </c>
      <c r="L119" s="33">
        <f>SUMIFS(台帳!$I$2:$I$2000,台帳!$A$2:$A$2000,$A119,台帳!$E$2:$E$2000,L$4)</f>
        <v>0</v>
      </c>
      <c r="M119" s="33">
        <f>SUMIFS(台帳!$I$2:$I$2000,台帳!$A$2:$A$2000,$A119,台帳!$E$2:$E$2000,M$4)</f>
        <v>0</v>
      </c>
      <c r="N119" s="33">
        <f>SUMIFS(台帳!$I$2:$I$2000,台帳!$A$2:$A$2000,$A119,台帳!$E$2:$E$2000,N$4)</f>
        <v>0</v>
      </c>
      <c r="O119" s="33">
        <f>SUMIFS(台帳!$I$2:$I$2000,台帳!$A$2:$A$2000,$A119,台帳!$D$2:$D$2000,"自社")</f>
        <v>3</v>
      </c>
      <c r="P119" s="33">
        <f>SUMIFS(台帳!$I$2:$I$2000,台帳!$A$2:$A$2000,$A119,台帳!$D$2:$D$2000,"業者")</f>
        <v>4</v>
      </c>
      <c r="Q119" s="33">
        <f>SUM(C119:N119)</f>
        <v>7</v>
      </c>
      <c r="R119" s="33">
        <f>R118+C119</f>
        <v>0</v>
      </c>
      <c r="S119" s="33">
        <f>S118+D119</f>
        <v>7</v>
      </c>
      <c r="T119" s="33">
        <f>T118+E119</f>
        <v>6</v>
      </c>
      <c r="U119" s="33">
        <f>U118+F119</f>
        <v>30</v>
      </c>
      <c r="V119" s="33">
        <f>V118+G119</f>
        <v>51</v>
      </c>
      <c r="W119" s="33">
        <f>W118+H119</f>
        <v>77</v>
      </c>
      <c r="X119" s="33">
        <f>X118+I119</f>
        <v>17</v>
      </c>
      <c r="Y119" s="33">
        <f>Y118+J119</f>
        <v>0</v>
      </c>
      <c r="Z119" s="33">
        <f>Z118+K119</f>
        <v>15</v>
      </c>
      <c r="AA119" s="33">
        <f>AA118+L119</f>
        <v>2</v>
      </c>
      <c r="AB119" s="33">
        <f>AB118+M119</f>
        <v>0</v>
      </c>
      <c r="AC119" s="33">
        <f>AC118+N119</f>
        <v>2</v>
      </c>
      <c r="AD119" s="33">
        <f>AD118+O119</f>
        <v>137</v>
      </c>
      <c r="AE119" s="33">
        <f>AE118+P119</f>
        <v>70</v>
      </c>
      <c r="AF119" s="33">
        <f>AF118+Q119</f>
        <v>207</v>
      </c>
      <c r="AG119" s="34" t="str">
        <f>IFERROR(INDEX(台帳!$H$2:$H$2000,MATCH($A119,台帳!$A$2:$A$2000,0)),"")</f>
        <v>天井下地組み</v>
      </c>
    </row>
    <row r="120" spans="1:33" ht="15.75" x14ac:dyDescent="0.25">
      <c r="A120" s="31">
        <v>46247</v>
      </c>
      <c r="B120" s="32" t="str">
        <f>CHOOSE(WEEKDAY(A120),"日","月","火","水","木","金","土")</f>
        <v>木</v>
      </c>
      <c r="C120" s="33">
        <f>SUMIFS(台帳!$I$2:$I$2000,台帳!$A$2:$A$2000,$A120,台帳!$E$2:$E$2000,C$4)</f>
        <v>0</v>
      </c>
      <c r="D120" s="33">
        <f>SUMIFS(台帳!$I$2:$I$2000,台帳!$A$2:$A$2000,$A120,台帳!$E$2:$E$2000,D$4)</f>
        <v>0</v>
      </c>
      <c r="E120" s="33">
        <f>SUMIFS(台帳!$I$2:$I$2000,台帳!$A$2:$A$2000,$A120,台帳!$E$2:$E$2000,E$4)</f>
        <v>0</v>
      </c>
      <c r="F120" s="33">
        <f>SUMIFS(台帳!$I$2:$I$2000,台帳!$A$2:$A$2000,$A120,台帳!$E$2:$E$2000,F$4)</f>
        <v>0</v>
      </c>
      <c r="G120" s="33">
        <f>SUMIFS(台帳!$I$2:$I$2000,台帳!$A$2:$A$2000,$A120,台帳!$E$2:$E$2000,G$4)</f>
        <v>0</v>
      </c>
      <c r="H120" s="33">
        <f>SUMIFS(台帳!$I$2:$I$2000,台帳!$A$2:$A$2000,$A120,台帳!$E$2:$E$2000,H$4)</f>
        <v>3</v>
      </c>
      <c r="I120" s="33">
        <f>SUMIFS(台帳!$I$2:$I$2000,台帳!$A$2:$A$2000,$A120,台帳!$E$2:$E$2000,I$4)</f>
        <v>2</v>
      </c>
      <c r="J120" s="33">
        <f>SUMIFS(台帳!$I$2:$I$2000,台帳!$A$2:$A$2000,$A120,台帳!$E$2:$E$2000,J$4)</f>
        <v>0</v>
      </c>
      <c r="K120" s="33">
        <f>SUMIFS(台帳!$I$2:$I$2000,台帳!$A$2:$A$2000,$A120,台帳!$E$2:$E$2000,K$4)</f>
        <v>0</v>
      </c>
      <c r="L120" s="33">
        <f>SUMIFS(台帳!$I$2:$I$2000,台帳!$A$2:$A$2000,$A120,台帳!$E$2:$E$2000,L$4)</f>
        <v>0</v>
      </c>
      <c r="M120" s="33">
        <f>SUMIFS(台帳!$I$2:$I$2000,台帳!$A$2:$A$2000,$A120,台帳!$E$2:$E$2000,M$4)</f>
        <v>0</v>
      </c>
      <c r="N120" s="33">
        <f>SUMIFS(台帳!$I$2:$I$2000,台帳!$A$2:$A$2000,$A120,台帳!$E$2:$E$2000,N$4)</f>
        <v>0</v>
      </c>
      <c r="O120" s="33">
        <f>SUMIFS(台帳!$I$2:$I$2000,台帳!$A$2:$A$2000,$A120,台帳!$D$2:$D$2000,"自社")</f>
        <v>3</v>
      </c>
      <c r="P120" s="33">
        <f>SUMIFS(台帳!$I$2:$I$2000,台帳!$A$2:$A$2000,$A120,台帳!$D$2:$D$2000,"業者")</f>
        <v>2</v>
      </c>
      <c r="Q120" s="33">
        <f>SUM(C120:N120)</f>
        <v>5</v>
      </c>
      <c r="R120" s="33">
        <f>R119+C120</f>
        <v>0</v>
      </c>
      <c r="S120" s="33">
        <f>S119+D120</f>
        <v>7</v>
      </c>
      <c r="T120" s="33">
        <f>T119+E120</f>
        <v>6</v>
      </c>
      <c r="U120" s="33">
        <f>U119+F120</f>
        <v>30</v>
      </c>
      <c r="V120" s="33">
        <f>V119+G120</f>
        <v>51</v>
      </c>
      <c r="W120" s="33">
        <f>W119+H120</f>
        <v>80</v>
      </c>
      <c r="X120" s="33">
        <f>X119+I120</f>
        <v>19</v>
      </c>
      <c r="Y120" s="33">
        <f>Y119+J120</f>
        <v>0</v>
      </c>
      <c r="Z120" s="33">
        <f>Z119+K120</f>
        <v>15</v>
      </c>
      <c r="AA120" s="33">
        <f>AA119+L120</f>
        <v>2</v>
      </c>
      <c r="AB120" s="33">
        <f>AB119+M120</f>
        <v>0</v>
      </c>
      <c r="AC120" s="33">
        <f>AC119+N120</f>
        <v>2</v>
      </c>
      <c r="AD120" s="33">
        <f>AD119+O120</f>
        <v>140</v>
      </c>
      <c r="AE120" s="33">
        <f>AE119+P120</f>
        <v>72</v>
      </c>
      <c r="AF120" s="33">
        <f>AF119+Q120</f>
        <v>212</v>
      </c>
      <c r="AG120" s="34" t="str">
        <f>IFERROR(INDEX(台帳!$H$2:$H$2000,MATCH($A120,台帳!$A$2:$A$2000,0)),"")</f>
        <v>天井下地（作業内容記載なし）</v>
      </c>
    </row>
    <row r="121" spans="1:33" ht="15.75" x14ac:dyDescent="0.25">
      <c r="A121" s="31">
        <v>46248</v>
      </c>
      <c r="B121" s="32" t="str">
        <f>CHOOSE(WEEKDAY(A121),"日","月","火","水","木","金","土")</f>
        <v>金</v>
      </c>
      <c r="C121" s="33">
        <f>SUMIFS(台帳!$I$2:$I$2000,台帳!$A$2:$A$2000,$A121,台帳!$E$2:$E$2000,C$4)</f>
        <v>0</v>
      </c>
      <c r="D121" s="33">
        <f>SUMIFS(台帳!$I$2:$I$2000,台帳!$A$2:$A$2000,$A121,台帳!$E$2:$E$2000,D$4)</f>
        <v>0</v>
      </c>
      <c r="E121" s="33">
        <f>SUMIFS(台帳!$I$2:$I$2000,台帳!$A$2:$A$2000,$A121,台帳!$E$2:$E$2000,E$4)</f>
        <v>0</v>
      </c>
      <c r="F121" s="33">
        <f>SUMIFS(台帳!$I$2:$I$2000,台帳!$A$2:$A$2000,$A121,台帳!$E$2:$E$2000,F$4)</f>
        <v>0</v>
      </c>
      <c r="G121" s="33">
        <f>SUMIFS(台帳!$I$2:$I$2000,台帳!$A$2:$A$2000,$A121,台帳!$E$2:$E$2000,G$4)</f>
        <v>0</v>
      </c>
      <c r="H121" s="33">
        <f>SUMIFS(台帳!$I$2:$I$2000,台帳!$A$2:$A$2000,$A121,台帳!$E$2:$E$2000,H$4)</f>
        <v>3</v>
      </c>
      <c r="I121" s="33">
        <f>SUMIFS(台帳!$I$2:$I$2000,台帳!$A$2:$A$2000,$A121,台帳!$E$2:$E$2000,I$4)</f>
        <v>0</v>
      </c>
      <c r="J121" s="33">
        <f>SUMIFS(台帳!$I$2:$I$2000,台帳!$A$2:$A$2000,$A121,台帳!$E$2:$E$2000,J$4)</f>
        <v>0</v>
      </c>
      <c r="K121" s="33">
        <f>SUMIFS(台帳!$I$2:$I$2000,台帳!$A$2:$A$2000,$A121,台帳!$E$2:$E$2000,K$4)</f>
        <v>0</v>
      </c>
      <c r="L121" s="33">
        <f>SUMIFS(台帳!$I$2:$I$2000,台帳!$A$2:$A$2000,$A121,台帳!$E$2:$E$2000,L$4)</f>
        <v>0</v>
      </c>
      <c r="M121" s="33">
        <f>SUMIFS(台帳!$I$2:$I$2000,台帳!$A$2:$A$2000,$A121,台帳!$E$2:$E$2000,M$4)</f>
        <v>0</v>
      </c>
      <c r="N121" s="33">
        <f>SUMIFS(台帳!$I$2:$I$2000,台帳!$A$2:$A$2000,$A121,台帳!$E$2:$E$2000,N$4)</f>
        <v>0</v>
      </c>
      <c r="O121" s="33">
        <f>SUMIFS(台帳!$I$2:$I$2000,台帳!$A$2:$A$2000,$A121,台帳!$D$2:$D$2000,"自社")</f>
        <v>3</v>
      </c>
      <c r="P121" s="33">
        <f>SUMIFS(台帳!$I$2:$I$2000,台帳!$A$2:$A$2000,$A121,台帳!$D$2:$D$2000,"業者")</f>
        <v>0</v>
      </c>
      <c r="Q121" s="33">
        <f>SUM(C121:N121)</f>
        <v>3</v>
      </c>
      <c r="R121" s="33">
        <f>R120+C121</f>
        <v>0</v>
      </c>
      <c r="S121" s="33">
        <f>S120+D121</f>
        <v>7</v>
      </c>
      <c r="T121" s="33">
        <f>T120+E121</f>
        <v>6</v>
      </c>
      <c r="U121" s="33">
        <f>U120+F121</f>
        <v>30</v>
      </c>
      <c r="V121" s="33">
        <f>V120+G121</f>
        <v>51</v>
      </c>
      <c r="W121" s="33">
        <f>W120+H121</f>
        <v>83</v>
      </c>
      <c r="X121" s="33">
        <f>X120+I121</f>
        <v>19</v>
      </c>
      <c r="Y121" s="33">
        <f>Y120+J121</f>
        <v>0</v>
      </c>
      <c r="Z121" s="33">
        <f>Z120+K121</f>
        <v>15</v>
      </c>
      <c r="AA121" s="33">
        <f>AA120+L121</f>
        <v>2</v>
      </c>
      <c r="AB121" s="33">
        <f>AB120+M121</f>
        <v>0</v>
      </c>
      <c r="AC121" s="33">
        <f>AC120+N121</f>
        <v>2</v>
      </c>
      <c r="AD121" s="33">
        <f>AD120+O121</f>
        <v>143</v>
      </c>
      <c r="AE121" s="33">
        <f>AE120+P121</f>
        <v>72</v>
      </c>
      <c r="AF121" s="33">
        <f>AF120+Q121</f>
        <v>215</v>
      </c>
      <c r="AG121" s="34" t="str">
        <f>IFERROR(INDEX(台帳!$H$2:$H$2000,MATCH($A121,台帳!$A$2:$A$2000,0)),"")</f>
        <v>天井 断熱材設置及びプラスターボード張り</v>
      </c>
    </row>
    <row r="122" spans="1:33" ht="15.75" x14ac:dyDescent="0.25">
      <c r="A122" s="35">
        <v>46249</v>
      </c>
      <c r="B122" s="36" t="str">
        <f>CHOOSE(WEEKDAY(A122),"日","月","火","水","木","金","土")</f>
        <v>土</v>
      </c>
      <c r="C122" s="37">
        <f>SUMIFS(台帳!$I$2:$I$2000,台帳!$A$2:$A$2000,$A122,台帳!$E$2:$E$2000,C$4)</f>
        <v>0</v>
      </c>
      <c r="D122" s="37">
        <f>SUMIFS(台帳!$I$2:$I$2000,台帳!$A$2:$A$2000,$A122,台帳!$E$2:$E$2000,D$4)</f>
        <v>0</v>
      </c>
      <c r="E122" s="37">
        <f>SUMIFS(台帳!$I$2:$I$2000,台帳!$A$2:$A$2000,$A122,台帳!$E$2:$E$2000,E$4)</f>
        <v>0</v>
      </c>
      <c r="F122" s="37">
        <f>SUMIFS(台帳!$I$2:$I$2000,台帳!$A$2:$A$2000,$A122,台帳!$E$2:$E$2000,F$4)</f>
        <v>0</v>
      </c>
      <c r="G122" s="37">
        <f>SUMIFS(台帳!$I$2:$I$2000,台帳!$A$2:$A$2000,$A122,台帳!$E$2:$E$2000,G$4)</f>
        <v>0</v>
      </c>
      <c r="H122" s="37">
        <f>SUMIFS(台帳!$I$2:$I$2000,台帳!$A$2:$A$2000,$A122,台帳!$E$2:$E$2000,H$4)</f>
        <v>2</v>
      </c>
      <c r="I122" s="37">
        <f>SUMIFS(台帳!$I$2:$I$2000,台帳!$A$2:$A$2000,$A122,台帳!$E$2:$E$2000,I$4)</f>
        <v>0</v>
      </c>
      <c r="J122" s="37">
        <f>SUMIFS(台帳!$I$2:$I$2000,台帳!$A$2:$A$2000,$A122,台帳!$E$2:$E$2000,J$4)</f>
        <v>0</v>
      </c>
      <c r="K122" s="37">
        <f>SUMIFS(台帳!$I$2:$I$2000,台帳!$A$2:$A$2000,$A122,台帳!$E$2:$E$2000,K$4)</f>
        <v>2</v>
      </c>
      <c r="L122" s="37">
        <f>SUMIFS(台帳!$I$2:$I$2000,台帳!$A$2:$A$2000,$A122,台帳!$E$2:$E$2000,L$4)</f>
        <v>0</v>
      </c>
      <c r="M122" s="37">
        <f>SUMIFS(台帳!$I$2:$I$2000,台帳!$A$2:$A$2000,$A122,台帳!$E$2:$E$2000,M$4)</f>
        <v>0</v>
      </c>
      <c r="N122" s="37">
        <f>SUMIFS(台帳!$I$2:$I$2000,台帳!$A$2:$A$2000,$A122,台帳!$E$2:$E$2000,N$4)</f>
        <v>0</v>
      </c>
      <c r="O122" s="37">
        <f>SUMIFS(台帳!$I$2:$I$2000,台帳!$A$2:$A$2000,$A122,台帳!$D$2:$D$2000,"自社")</f>
        <v>2</v>
      </c>
      <c r="P122" s="37">
        <f>SUMIFS(台帳!$I$2:$I$2000,台帳!$A$2:$A$2000,$A122,台帳!$D$2:$D$2000,"業者")</f>
        <v>2</v>
      </c>
      <c r="Q122" s="37">
        <f>SUM(C122:N122)</f>
        <v>4</v>
      </c>
      <c r="R122" s="37">
        <f>R121+C122</f>
        <v>0</v>
      </c>
      <c r="S122" s="37">
        <f>S121+D122</f>
        <v>7</v>
      </c>
      <c r="T122" s="37">
        <f>T121+E122</f>
        <v>6</v>
      </c>
      <c r="U122" s="37">
        <f>U121+F122</f>
        <v>30</v>
      </c>
      <c r="V122" s="37">
        <f>V121+G122</f>
        <v>51</v>
      </c>
      <c r="W122" s="37">
        <f>W121+H122</f>
        <v>85</v>
      </c>
      <c r="X122" s="37">
        <f>X121+I122</f>
        <v>19</v>
      </c>
      <c r="Y122" s="37">
        <f>Y121+J122</f>
        <v>0</v>
      </c>
      <c r="Z122" s="37">
        <f>Z121+K122</f>
        <v>17</v>
      </c>
      <c r="AA122" s="37">
        <f>AA121+L122</f>
        <v>2</v>
      </c>
      <c r="AB122" s="37">
        <f>AB121+M122</f>
        <v>0</v>
      </c>
      <c r="AC122" s="37">
        <f>AC121+N122</f>
        <v>2</v>
      </c>
      <c r="AD122" s="37">
        <f>AD121+O122</f>
        <v>145</v>
      </c>
      <c r="AE122" s="37">
        <f>AE121+P122</f>
        <v>74</v>
      </c>
      <c r="AF122" s="37">
        <f>AF121+Q122</f>
        <v>219</v>
      </c>
      <c r="AG122" s="38" t="str">
        <f>IFERROR(INDEX(台帳!$H$2:$H$2000,MATCH($A122,台帳!$A$2:$A$2000,0)),"")</f>
        <v>天井プラスターボード張り</v>
      </c>
    </row>
    <row r="123" spans="1:33" ht="15.75" x14ac:dyDescent="0.25">
      <c r="A123" s="35">
        <v>46250</v>
      </c>
      <c r="B123" s="36" t="str">
        <f>CHOOSE(WEEKDAY(A123),"日","月","火","水","木","金","土")</f>
        <v>日</v>
      </c>
      <c r="C123" s="37">
        <f>SUMIFS(台帳!$I$2:$I$2000,台帳!$A$2:$A$2000,$A123,台帳!$E$2:$E$2000,C$4)</f>
        <v>0</v>
      </c>
      <c r="D123" s="37">
        <f>SUMIFS(台帳!$I$2:$I$2000,台帳!$A$2:$A$2000,$A123,台帳!$E$2:$E$2000,D$4)</f>
        <v>0</v>
      </c>
      <c r="E123" s="37">
        <f>SUMIFS(台帳!$I$2:$I$2000,台帳!$A$2:$A$2000,$A123,台帳!$E$2:$E$2000,E$4)</f>
        <v>0</v>
      </c>
      <c r="F123" s="37">
        <f>SUMIFS(台帳!$I$2:$I$2000,台帳!$A$2:$A$2000,$A123,台帳!$E$2:$E$2000,F$4)</f>
        <v>0</v>
      </c>
      <c r="G123" s="37">
        <f>SUMIFS(台帳!$I$2:$I$2000,台帳!$A$2:$A$2000,$A123,台帳!$E$2:$E$2000,G$4)</f>
        <v>0</v>
      </c>
      <c r="H123" s="37">
        <f>SUMIFS(台帳!$I$2:$I$2000,台帳!$A$2:$A$2000,$A123,台帳!$E$2:$E$2000,H$4)</f>
        <v>0</v>
      </c>
      <c r="I123" s="37">
        <f>SUMIFS(台帳!$I$2:$I$2000,台帳!$A$2:$A$2000,$A123,台帳!$E$2:$E$2000,I$4)</f>
        <v>0</v>
      </c>
      <c r="J123" s="37">
        <f>SUMIFS(台帳!$I$2:$I$2000,台帳!$A$2:$A$2000,$A123,台帳!$E$2:$E$2000,J$4)</f>
        <v>0</v>
      </c>
      <c r="K123" s="37">
        <f>SUMIFS(台帳!$I$2:$I$2000,台帳!$A$2:$A$2000,$A123,台帳!$E$2:$E$2000,K$4)</f>
        <v>0</v>
      </c>
      <c r="L123" s="37">
        <f>SUMIFS(台帳!$I$2:$I$2000,台帳!$A$2:$A$2000,$A123,台帳!$E$2:$E$2000,L$4)</f>
        <v>0</v>
      </c>
      <c r="M123" s="37">
        <f>SUMIFS(台帳!$I$2:$I$2000,台帳!$A$2:$A$2000,$A123,台帳!$E$2:$E$2000,M$4)</f>
        <v>0</v>
      </c>
      <c r="N123" s="37">
        <f>SUMIFS(台帳!$I$2:$I$2000,台帳!$A$2:$A$2000,$A123,台帳!$E$2:$E$2000,N$4)</f>
        <v>0</v>
      </c>
      <c r="O123" s="37">
        <f>SUMIFS(台帳!$I$2:$I$2000,台帳!$A$2:$A$2000,$A123,台帳!$D$2:$D$2000,"自社")</f>
        <v>0</v>
      </c>
      <c r="P123" s="37">
        <f>SUMIFS(台帳!$I$2:$I$2000,台帳!$A$2:$A$2000,$A123,台帳!$D$2:$D$2000,"業者")</f>
        <v>0</v>
      </c>
      <c r="Q123" s="37">
        <f>SUM(C123:N123)</f>
        <v>0</v>
      </c>
      <c r="R123" s="37">
        <f>R122+C123</f>
        <v>0</v>
      </c>
      <c r="S123" s="37">
        <f>S122+D123</f>
        <v>7</v>
      </c>
      <c r="T123" s="37">
        <f>T122+E123</f>
        <v>6</v>
      </c>
      <c r="U123" s="37">
        <f>U122+F123</f>
        <v>30</v>
      </c>
      <c r="V123" s="37">
        <f>V122+G123</f>
        <v>51</v>
      </c>
      <c r="W123" s="37">
        <f>W122+H123</f>
        <v>85</v>
      </c>
      <c r="X123" s="37">
        <f>X122+I123</f>
        <v>19</v>
      </c>
      <c r="Y123" s="37">
        <f>Y122+J123</f>
        <v>0</v>
      </c>
      <c r="Z123" s="37">
        <f>Z122+K123</f>
        <v>17</v>
      </c>
      <c r="AA123" s="37">
        <f>AA122+L123</f>
        <v>2</v>
      </c>
      <c r="AB123" s="37">
        <f>AB122+M123</f>
        <v>0</v>
      </c>
      <c r="AC123" s="37">
        <f>AC122+N123</f>
        <v>2</v>
      </c>
      <c r="AD123" s="37">
        <f>AD122+O123</f>
        <v>145</v>
      </c>
      <c r="AE123" s="37">
        <f>AE122+P123</f>
        <v>74</v>
      </c>
      <c r="AF123" s="37">
        <f>AF122+Q123</f>
        <v>219</v>
      </c>
      <c r="AG123" s="38" t="str">
        <f>IFERROR(INDEX(台帳!$H$2:$H$2000,MATCH($A123,台帳!$A$2:$A$2000,0)),"")</f>
        <v/>
      </c>
    </row>
    <row r="124" spans="1:33" ht="15.75" x14ac:dyDescent="0.25">
      <c r="A124" s="31">
        <v>46251</v>
      </c>
      <c r="B124" s="32" t="str">
        <f>CHOOSE(WEEKDAY(A124),"日","月","火","水","木","金","土")</f>
        <v>月</v>
      </c>
      <c r="C124" s="33">
        <f>SUMIFS(台帳!$I$2:$I$2000,台帳!$A$2:$A$2000,$A124,台帳!$E$2:$E$2000,C$4)</f>
        <v>0</v>
      </c>
      <c r="D124" s="33">
        <f>SUMIFS(台帳!$I$2:$I$2000,台帳!$A$2:$A$2000,$A124,台帳!$E$2:$E$2000,D$4)</f>
        <v>0</v>
      </c>
      <c r="E124" s="33">
        <f>SUMIFS(台帳!$I$2:$I$2000,台帳!$A$2:$A$2000,$A124,台帳!$E$2:$E$2000,E$4)</f>
        <v>0</v>
      </c>
      <c r="F124" s="33">
        <f>SUMIFS(台帳!$I$2:$I$2000,台帳!$A$2:$A$2000,$A124,台帳!$E$2:$E$2000,F$4)</f>
        <v>0</v>
      </c>
      <c r="G124" s="33">
        <f>SUMIFS(台帳!$I$2:$I$2000,台帳!$A$2:$A$2000,$A124,台帳!$E$2:$E$2000,G$4)</f>
        <v>0</v>
      </c>
      <c r="H124" s="33">
        <f>SUMIFS(台帳!$I$2:$I$2000,台帳!$A$2:$A$2000,$A124,台帳!$E$2:$E$2000,H$4)</f>
        <v>0</v>
      </c>
      <c r="I124" s="33">
        <f>SUMIFS(台帳!$I$2:$I$2000,台帳!$A$2:$A$2000,$A124,台帳!$E$2:$E$2000,I$4)</f>
        <v>0</v>
      </c>
      <c r="J124" s="33">
        <f>SUMIFS(台帳!$I$2:$I$2000,台帳!$A$2:$A$2000,$A124,台帳!$E$2:$E$2000,J$4)</f>
        <v>2</v>
      </c>
      <c r="K124" s="33">
        <f>SUMIFS(台帳!$I$2:$I$2000,台帳!$A$2:$A$2000,$A124,台帳!$E$2:$E$2000,K$4)</f>
        <v>0</v>
      </c>
      <c r="L124" s="33">
        <f>SUMIFS(台帳!$I$2:$I$2000,台帳!$A$2:$A$2000,$A124,台帳!$E$2:$E$2000,L$4)</f>
        <v>0</v>
      </c>
      <c r="M124" s="33">
        <f>SUMIFS(台帳!$I$2:$I$2000,台帳!$A$2:$A$2000,$A124,台帳!$E$2:$E$2000,M$4)</f>
        <v>0</v>
      </c>
      <c r="N124" s="33">
        <f>SUMIFS(台帳!$I$2:$I$2000,台帳!$A$2:$A$2000,$A124,台帳!$E$2:$E$2000,N$4)</f>
        <v>0</v>
      </c>
      <c r="O124" s="33">
        <f>SUMIFS(台帳!$I$2:$I$2000,台帳!$A$2:$A$2000,$A124,台帳!$D$2:$D$2000,"自社")</f>
        <v>0</v>
      </c>
      <c r="P124" s="33">
        <f>SUMIFS(台帳!$I$2:$I$2000,台帳!$A$2:$A$2000,$A124,台帳!$D$2:$D$2000,"業者")</f>
        <v>2</v>
      </c>
      <c r="Q124" s="33">
        <f>SUM(C124:N124)</f>
        <v>2</v>
      </c>
      <c r="R124" s="33">
        <f>R123+C124</f>
        <v>0</v>
      </c>
      <c r="S124" s="33">
        <f>S123+D124</f>
        <v>7</v>
      </c>
      <c r="T124" s="33">
        <f>T123+E124</f>
        <v>6</v>
      </c>
      <c r="U124" s="33">
        <f>U123+F124</f>
        <v>30</v>
      </c>
      <c r="V124" s="33">
        <f>V123+G124</f>
        <v>51</v>
      </c>
      <c r="W124" s="33">
        <f>W123+H124</f>
        <v>85</v>
      </c>
      <c r="X124" s="33">
        <f>X123+I124</f>
        <v>19</v>
      </c>
      <c r="Y124" s="33">
        <f>Y123+J124</f>
        <v>2</v>
      </c>
      <c r="Z124" s="33">
        <f>Z123+K124</f>
        <v>17</v>
      </c>
      <c r="AA124" s="33">
        <f>AA123+L124</f>
        <v>2</v>
      </c>
      <c r="AB124" s="33">
        <f>AB123+M124</f>
        <v>0</v>
      </c>
      <c r="AC124" s="33">
        <f>AC123+N124</f>
        <v>2</v>
      </c>
      <c r="AD124" s="33">
        <f>AD123+O124</f>
        <v>145</v>
      </c>
      <c r="AE124" s="33">
        <f>AE123+P124</f>
        <v>76</v>
      </c>
      <c r="AF124" s="33">
        <f>AF123+Q124</f>
        <v>221</v>
      </c>
      <c r="AG124" s="34" t="str">
        <f>IFERROR(INDEX(台帳!$H$2:$H$2000,MATCH($A124,台帳!$A$2:$A$2000,0)),"")</f>
        <v>自社は新都心 長嶺邸フェンス工事のため谷邸作業なし（荷川取、山里、友寄）</v>
      </c>
    </row>
    <row r="125" spans="1:33" ht="15.75" x14ac:dyDescent="0.25">
      <c r="A125" s="31">
        <v>46252</v>
      </c>
      <c r="B125" s="32" t="str">
        <f>CHOOSE(WEEKDAY(A125),"日","月","火","水","木","金","土")</f>
        <v>火</v>
      </c>
      <c r="C125" s="33">
        <f>SUMIFS(台帳!$I$2:$I$2000,台帳!$A$2:$A$2000,$A125,台帳!$E$2:$E$2000,C$4)</f>
        <v>0</v>
      </c>
      <c r="D125" s="33">
        <f>SUMIFS(台帳!$I$2:$I$2000,台帳!$A$2:$A$2000,$A125,台帳!$E$2:$E$2000,D$4)</f>
        <v>0</v>
      </c>
      <c r="E125" s="33">
        <f>SUMIFS(台帳!$I$2:$I$2000,台帳!$A$2:$A$2000,$A125,台帳!$E$2:$E$2000,E$4)</f>
        <v>0</v>
      </c>
      <c r="F125" s="33">
        <f>SUMIFS(台帳!$I$2:$I$2000,台帳!$A$2:$A$2000,$A125,台帳!$E$2:$E$2000,F$4)</f>
        <v>0</v>
      </c>
      <c r="G125" s="33">
        <f>SUMIFS(台帳!$I$2:$I$2000,台帳!$A$2:$A$2000,$A125,台帳!$E$2:$E$2000,G$4)</f>
        <v>0</v>
      </c>
      <c r="H125" s="33">
        <f>SUMIFS(台帳!$I$2:$I$2000,台帳!$A$2:$A$2000,$A125,台帳!$E$2:$E$2000,H$4)</f>
        <v>0</v>
      </c>
      <c r="I125" s="33">
        <f>SUMIFS(台帳!$I$2:$I$2000,台帳!$A$2:$A$2000,$A125,台帳!$E$2:$E$2000,I$4)</f>
        <v>0</v>
      </c>
      <c r="J125" s="33">
        <f>SUMIFS(台帳!$I$2:$I$2000,台帳!$A$2:$A$2000,$A125,台帳!$E$2:$E$2000,J$4)</f>
        <v>1</v>
      </c>
      <c r="K125" s="33">
        <f>SUMIFS(台帳!$I$2:$I$2000,台帳!$A$2:$A$2000,$A125,台帳!$E$2:$E$2000,K$4)</f>
        <v>0</v>
      </c>
      <c r="L125" s="33">
        <f>SUMIFS(台帳!$I$2:$I$2000,台帳!$A$2:$A$2000,$A125,台帳!$E$2:$E$2000,L$4)</f>
        <v>0</v>
      </c>
      <c r="M125" s="33">
        <f>SUMIFS(台帳!$I$2:$I$2000,台帳!$A$2:$A$2000,$A125,台帳!$E$2:$E$2000,M$4)</f>
        <v>2</v>
      </c>
      <c r="N125" s="33">
        <f>SUMIFS(台帳!$I$2:$I$2000,台帳!$A$2:$A$2000,$A125,台帳!$E$2:$E$2000,N$4)</f>
        <v>0</v>
      </c>
      <c r="O125" s="33">
        <f>SUMIFS(台帳!$I$2:$I$2000,台帳!$A$2:$A$2000,$A125,台帳!$D$2:$D$2000,"自社")</f>
        <v>2</v>
      </c>
      <c r="P125" s="33">
        <f>SUMIFS(台帳!$I$2:$I$2000,台帳!$A$2:$A$2000,$A125,台帳!$D$2:$D$2000,"業者")</f>
        <v>1</v>
      </c>
      <c r="Q125" s="33">
        <f>SUM(C125:N125)</f>
        <v>3</v>
      </c>
      <c r="R125" s="33">
        <f>R124+C125</f>
        <v>0</v>
      </c>
      <c r="S125" s="33">
        <f>S124+D125</f>
        <v>7</v>
      </c>
      <c r="T125" s="33">
        <f>T124+E125</f>
        <v>6</v>
      </c>
      <c r="U125" s="33">
        <f>U124+F125</f>
        <v>30</v>
      </c>
      <c r="V125" s="33">
        <f>V124+G125</f>
        <v>51</v>
      </c>
      <c r="W125" s="33">
        <f>W124+H125</f>
        <v>85</v>
      </c>
      <c r="X125" s="33">
        <f>X124+I125</f>
        <v>19</v>
      </c>
      <c r="Y125" s="33">
        <f>Y124+J125</f>
        <v>3</v>
      </c>
      <c r="Z125" s="33">
        <f>Z124+K125</f>
        <v>17</v>
      </c>
      <c r="AA125" s="33">
        <f>AA124+L125</f>
        <v>2</v>
      </c>
      <c r="AB125" s="33">
        <f>AB124+M125</f>
        <v>2</v>
      </c>
      <c r="AC125" s="33">
        <f>AC124+N125</f>
        <v>2</v>
      </c>
      <c r="AD125" s="33">
        <f>AD124+O125</f>
        <v>147</v>
      </c>
      <c r="AE125" s="33">
        <f>AE124+P125</f>
        <v>77</v>
      </c>
      <c r="AF125" s="33">
        <f>AF124+Q125</f>
        <v>224</v>
      </c>
      <c r="AG125" s="34" t="str">
        <f>IFERROR(INDEX(台帳!$H$2:$H$2000,MATCH($A125,台帳!$A$2:$A$2000,0)),"")</f>
        <v>午後より玄関ポーチ・土間吊り作業</v>
      </c>
    </row>
    <row r="126" spans="1:33" ht="15.75" x14ac:dyDescent="0.25">
      <c r="A126" s="31">
        <v>46253</v>
      </c>
      <c r="B126" s="32" t="str">
        <f>CHOOSE(WEEKDAY(A126),"日","月","火","水","木","金","土")</f>
        <v>水</v>
      </c>
      <c r="C126" s="33">
        <f>SUMIFS(台帳!$I$2:$I$2000,台帳!$A$2:$A$2000,$A126,台帳!$E$2:$E$2000,C$4)</f>
        <v>0</v>
      </c>
      <c r="D126" s="33">
        <f>SUMIFS(台帳!$I$2:$I$2000,台帳!$A$2:$A$2000,$A126,台帳!$E$2:$E$2000,D$4)</f>
        <v>0</v>
      </c>
      <c r="E126" s="33">
        <f>SUMIFS(台帳!$I$2:$I$2000,台帳!$A$2:$A$2000,$A126,台帳!$E$2:$E$2000,E$4)</f>
        <v>0</v>
      </c>
      <c r="F126" s="33">
        <f>SUMIFS(台帳!$I$2:$I$2000,台帳!$A$2:$A$2000,$A126,台帳!$E$2:$E$2000,F$4)</f>
        <v>0</v>
      </c>
      <c r="G126" s="33">
        <f>SUMIFS(台帳!$I$2:$I$2000,台帳!$A$2:$A$2000,$A126,台帳!$E$2:$E$2000,G$4)</f>
        <v>0</v>
      </c>
      <c r="H126" s="33">
        <f>SUMIFS(台帳!$I$2:$I$2000,台帳!$A$2:$A$2000,$A126,台帳!$E$2:$E$2000,H$4)</f>
        <v>0</v>
      </c>
      <c r="I126" s="33">
        <f>SUMIFS(台帳!$I$2:$I$2000,台帳!$A$2:$A$2000,$A126,台帳!$E$2:$E$2000,I$4)</f>
        <v>0</v>
      </c>
      <c r="J126" s="33">
        <f>SUMIFS(台帳!$I$2:$I$2000,台帳!$A$2:$A$2000,$A126,台帳!$E$2:$E$2000,J$4)</f>
        <v>2</v>
      </c>
      <c r="K126" s="33">
        <f>SUMIFS(台帳!$I$2:$I$2000,台帳!$A$2:$A$2000,$A126,台帳!$E$2:$E$2000,K$4)</f>
        <v>0</v>
      </c>
      <c r="L126" s="33">
        <f>SUMIFS(台帳!$I$2:$I$2000,台帳!$A$2:$A$2000,$A126,台帳!$E$2:$E$2000,L$4)</f>
        <v>0</v>
      </c>
      <c r="M126" s="33">
        <f>SUMIFS(台帳!$I$2:$I$2000,台帳!$A$2:$A$2000,$A126,台帳!$E$2:$E$2000,M$4)</f>
        <v>2</v>
      </c>
      <c r="N126" s="33">
        <f>SUMIFS(台帳!$I$2:$I$2000,台帳!$A$2:$A$2000,$A126,台帳!$E$2:$E$2000,N$4)</f>
        <v>0</v>
      </c>
      <c r="O126" s="33">
        <f>SUMIFS(台帳!$I$2:$I$2000,台帳!$A$2:$A$2000,$A126,台帳!$D$2:$D$2000,"自社")</f>
        <v>2</v>
      </c>
      <c r="P126" s="33">
        <f>SUMIFS(台帳!$I$2:$I$2000,台帳!$A$2:$A$2000,$A126,台帳!$D$2:$D$2000,"業者")</f>
        <v>2</v>
      </c>
      <c r="Q126" s="33">
        <f>SUM(C126:N126)</f>
        <v>4</v>
      </c>
      <c r="R126" s="33">
        <f>R125+C126</f>
        <v>0</v>
      </c>
      <c r="S126" s="33">
        <f>S125+D126</f>
        <v>7</v>
      </c>
      <c r="T126" s="33">
        <f>T125+E126</f>
        <v>6</v>
      </c>
      <c r="U126" s="33">
        <f>U125+F126</f>
        <v>30</v>
      </c>
      <c r="V126" s="33">
        <f>V125+G126</f>
        <v>51</v>
      </c>
      <c r="W126" s="33">
        <f>W125+H126</f>
        <v>85</v>
      </c>
      <c r="X126" s="33">
        <f>X125+I126</f>
        <v>19</v>
      </c>
      <c r="Y126" s="33">
        <f>Y125+J126</f>
        <v>5</v>
      </c>
      <c r="Z126" s="33">
        <f>Z125+K126</f>
        <v>17</v>
      </c>
      <c r="AA126" s="33">
        <f>AA125+L126</f>
        <v>2</v>
      </c>
      <c r="AB126" s="33">
        <f>AB125+M126</f>
        <v>4</v>
      </c>
      <c r="AC126" s="33">
        <f>AC125+N126</f>
        <v>2</v>
      </c>
      <c r="AD126" s="33">
        <f>AD125+O126</f>
        <v>149</v>
      </c>
      <c r="AE126" s="33">
        <f>AE125+P126</f>
        <v>79</v>
      </c>
      <c r="AF126" s="33">
        <f>AF125+Q126</f>
        <v>228</v>
      </c>
      <c r="AG126" s="34" t="str">
        <f>IFERROR(INDEX(台帳!$H$2:$H$2000,MATCH($A126,台帳!$A$2:$A$2000,0)),"")</f>
        <v>作業内容の記載なし（前日の続きと推定）</v>
      </c>
    </row>
    <row r="127" spans="1:33" ht="15.75" x14ac:dyDescent="0.25">
      <c r="A127" s="31">
        <v>46254</v>
      </c>
      <c r="B127" s="32" t="str">
        <f>CHOOSE(WEEKDAY(A127),"日","月","火","水","木","金","土")</f>
        <v>木</v>
      </c>
      <c r="C127" s="33">
        <f>SUMIFS(台帳!$I$2:$I$2000,台帳!$A$2:$A$2000,$A127,台帳!$E$2:$E$2000,C$4)</f>
        <v>0</v>
      </c>
      <c r="D127" s="33">
        <f>SUMIFS(台帳!$I$2:$I$2000,台帳!$A$2:$A$2000,$A127,台帳!$E$2:$E$2000,D$4)</f>
        <v>0</v>
      </c>
      <c r="E127" s="33">
        <f>SUMIFS(台帳!$I$2:$I$2000,台帳!$A$2:$A$2000,$A127,台帳!$E$2:$E$2000,E$4)</f>
        <v>0</v>
      </c>
      <c r="F127" s="33">
        <f>SUMIFS(台帳!$I$2:$I$2000,台帳!$A$2:$A$2000,$A127,台帳!$E$2:$E$2000,F$4)</f>
        <v>0</v>
      </c>
      <c r="G127" s="33">
        <f>SUMIFS(台帳!$I$2:$I$2000,台帳!$A$2:$A$2000,$A127,台帳!$E$2:$E$2000,G$4)</f>
        <v>0</v>
      </c>
      <c r="H127" s="33">
        <f>SUMIFS(台帳!$I$2:$I$2000,台帳!$A$2:$A$2000,$A127,台帳!$E$2:$E$2000,H$4)</f>
        <v>0</v>
      </c>
      <c r="I127" s="33">
        <f>SUMIFS(台帳!$I$2:$I$2000,台帳!$A$2:$A$2000,$A127,台帳!$E$2:$E$2000,I$4)</f>
        <v>0</v>
      </c>
      <c r="J127" s="33">
        <f>SUMIFS(台帳!$I$2:$I$2000,台帳!$A$2:$A$2000,$A127,台帳!$E$2:$E$2000,J$4)</f>
        <v>4</v>
      </c>
      <c r="K127" s="33">
        <f>SUMIFS(台帳!$I$2:$I$2000,台帳!$A$2:$A$2000,$A127,台帳!$E$2:$E$2000,K$4)</f>
        <v>0</v>
      </c>
      <c r="L127" s="33">
        <f>SUMIFS(台帳!$I$2:$I$2000,台帳!$A$2:$A$2000,$A127,台帳!$E$2:$E$2000,L$4)</f>
        <v>0</v>
      </c>
      <c r="M127" s="33">
        <f>SUMIFS(台帳!$I$2:$I$2000,台帳!$A$2:$A$2000,$A127,台帳!$E$2:$E$2000,M$4)</f>
        <v>0</v>
      </c>
      <c r="N127" s="33">
        <f>SUMIFS(台帳!$I$2:$I$2000,台帳!$A$2:$A$2000,$A127,台帳!$E$2:$E$2000,N$4)</f>
        <v>0</v>
      </c>
      <c r="O127" s="33">
        <f>SUMIFS(台帳!$I$2:$I$2000,台帳!$A$2:$A$2000,$A127,台帳!$D$2:$D$2000,"自社")</f>
        <v>2</v>
      </c>
      <c r="P127" s="33">
        <f>SUMIFS(台帳!$I$2:$I$2000,台帳!$A$2:$A$2000,$A127,台帳!$D$2:$D$2000,"業者")</f>
        <v>2</v>
      </c>
      <c r="Q127" s="33">
        <f>SUM(C127:N127)</f>
        <v>4</v>
      </c>
      <c r="R127" s="33">
        <f>R126+C127</f>
        <v>0</v>
      </c>
      <c r="S127" s="33">
        <f>S126+D127</f>
        <v>7</v>
      </c>
      <c r="T127" s="33">
        <f>T126+E127</f>
        <v>6</v>
      </c>
      <c r="U127" s="33">
        <f>U126+F127</f>
        <v>30</v>
      </c>
      <c r="V127" s="33">
        <f>V126+G127</f>
        <v>51</v>
      </c>
      <c r="W127" s="33">
        <f>W126+H127</f>
        <v>85</v>
      </c>
      <c r="X127" s="33">
        <f>X126+I127</f>
        <v>19</v>
      </c>
      <c r="Y127" s="33">
        <f>Y126+J127</f>
        <v>9</v>
      </c>
      <c r="Z127" s="33">
        <f>Z126+K127</f>
        <v>17</v>
      </c>
      <c r="AA127" s="33">
        <f>AA126+L127</f>
        <v>2</v>
      </c>
      <c r="AB127" s="33">
        <f>AB126+M127</f>
        <v>4</v>
      </c>
      <c r="AC127" s="33">
        <f>AC126+N127</f>
        <v>2</v>
      </c>
      <c r="AD127" s="33">
        <f>AD126+O127</f>
        <v>151</v>
      </c>
      <c r="AE127" s="33">
        <f>AE126+P127</f>
        <v>81</v>
      </c>
      <c r="AF127" s="33">
        <f>AF126+Q127</f>
        <v>232</v>
      </c>
      <c r="AG127" s="34" t="str">
        <f>IFERROR(INDEX(台帳!$H$2:$H$2000,MATCH($A127,台帳!$A$2:$A$2000,0)),"")</f>
        <v>床材及び仕上げ資材搬入</v>
      </c>
    </row>
    <row r="128" spans="1:33" ht="15.75" x14ac:dyDescent="0.25">
      <c r="A128" s="31">
        <v>46255</v>
      </c>
      <c r="B128" s="32" t="str">
        <f>CHOOSE(WEEKDAY(A128),"日","月","火","水","木","金","土")</f>
        <v>金</v>
      </c>
      <c r="C128" s="33">
        <f>SUMIFS(台帳!$I$2:$I$2000,台帳!$A$2:$A$2000,$A128,台帳!$E$2:$E$2000,C$4)</f>
        <v>0</v>
      </c>
      <c r="D128" s="33">
        <f>SUMIFS(台帳!$I$2:$I$2000,台帳!$A$2:$A$2000,$A128,台帳!$E$2:$E$2000,D$4)</f>
        <v>0</v>
      </c>
      <c r="E128" s="33">
        <f>SUMIFS(台帳!$I$2:$I$2000,台帳!$A$2:$A$2000,$A128,台帳!$E$2:$E$2000,E$4)</f>
        <v>0</v>
      </c>
      <c r="F128" s="33">
        <f>SUMIFS(台帳!$I$2:$I$2000,台帳!$A$2:$A$2000,$A128,台帳!$E$2:$E$2000,F$4)</f>
        <v>0</v>
      </c>
      <c r="G128" s="33">
        <f>SUMIFS(台帳!$I$2:$I$2000,台帳!$A$2:$A$2000,$A128,台帳!$E$2:$E$2000,G$4)</f>
        <v>0</v>
      </c>
      <c r="H128" s="33">
        <f>SUMIFS(台帳!$I$2:$I$2000,台帳!$A$2:$A$2000,$A128,台帳!$E$2:$E$2000,H$4)</f>
        <v>0</v>
      </c>
      <c r="I128" s="33">
        <f>SUMIFS(台帳!$I$2:$I$2000,台帳!$A$2:$A$2000,$A128,台帳!$E$2:$E$2000,I$4)</f>
        <v>0</v>
      </c>
      <c r="J128" s="33">
        <f>SUMIFS(台帳!$I$2:$I$2000,台帳!$A$2:$A$2000,$A128,台帳!$E$2:$E$2000,J$4)</f>
        <v>3</v>
      </c>
      <c r="K128" s="33">
        <f>SUMIFS(台帳!$I$2:$I$2000,台帳!$A$2:$A$2000,$A128,台帳!$E$2:$E$2000,K$4)</f>
        <v>0</v>
      </c>
      <c r="L128" s="33">
        <f>SUMIFS(台帳!$I$2:$I$2000,台帳!$A$2:$A$2000,$A128,台帳!$E$2:$E$2000,L$4)</f>
        <v>0</v>
      </c>
      <c r="M128" s="33">
        <f>SUMIFS(台帳!$I$2:$I$2000,台帳!$A$2:$A$2000,$A128,台帳!$E$2:$E$2000,M$4)</f>
        <v>0</v>
      </c>
      <c r="N128" s="33">
        <f>SUMIFS(台帳!$I$2:$I$2000,台帳!$A$2:$A$2000,$A128,台帳!$E$2:$E$2000,N$4)</f>
        <v>0</v>
      </c>
      <c r="O128" s="33">
        <f>SUMIFS(台帳!$I$2:$I$2000,台帳!$A$2:$A$2000,$A128,台帳!$D$2:$D$2000,"自社")</f>
        <v>3</v>
      </c>
      <c r="P128" s="33">
        <f>SUMIFS(台帳!$I$2:$I$2000,台帳!$A$2:$A$2000,$A128,台帳!$D$2:$D$2000,"業者")</f>
        <v>0</v>
      </c>
      <c r="Q128" s="33">
        <f>SUM(C128:N128)</f>
        <v>3</v>
      </c>
      <c r="R128" s="33">
        <f>R127+C128</f>
        <v>0</v>
      </c>
      <c r="S128" s="33">
        <f>S127+D128</f>
        <v>7</v>
      </c>
      <c r="T128" s="33">
        <f>T127+E128</f>
        <v>6</v>
      </c>
      <c r="U128" s="33">
        <f>U127+F128</f>
        <v>30</v>
      </c>
      <c r="V128" s="33">
        <f>V127+G128</f>
        <v>51</v>
      </c>
      <c r="W128" s="33">
        <f>W127+H128</f>
        <v>85</v>
      </c>
      <c r="X128" s="33">
        <f>X127+I128</f>
        <v>19</v>
      </c>
      <c r="Y128" s="33">
        <f>Y127+J128</f>
        <v>12</v>
      </c>
      <c r="Z128" s="33">
        <f>Z127+K128</f>
        <v>17</v>
      </c>
      <c r="AA128" s="33">
        <f>AA127+L128</f>
        <v>2</v>
      </c>
      <c r="AB128" s="33">
        <f>AB127+M128</f>
        <v>4</v>
      </c>
      <c r="AC128" s="33">
        <f>AC127+N128</f>
        <v>2</v>
      </c>
      <c r="AD128" s="33">
        <f>AD127+O128</f>
        <v>154</v>
      </c>
      <c r="AE128" s="33">
        <f>AE127+P128</f>
        <v>81</v>
      </c>
      <c r="AF128" s="33">
        <f>AF127+Q128</f>
        <v>235</v>
      </c>
      <c r="AG128" s="34" t="str">
        <f>IFERROR(INDEX(台帳!$H$2:$H$2000,MATCH($A128,台帳!$A$2:$A$2000,0)),"")</f>
        <v>フローリング張り</v>
      </c>
    </row>
    <row r="129" spans="1:33" ht="15.75" x14ac:dyDescent="0.25">
      <c r="A129" s="35">
        <v>46256</v>
      </c>
      <c r="B129" s="36" t="str">
        <f>CHOOSE(WEEKDAY(A129),"日","月","火","水","木","金","土")</f>
        <v>土</v>
      </c>
      <c r="C129" s="37">
        <f>SUMIFS(台帳!$I$2:$I$2000,台帳!$A$2:$A$2000,$A129,台帳!$E$2:$E$2000,C$4)</f>
        <v>0</v>
      </c>
      <c r="D129" s="37">
        <f>SUMIFS(台帳!$I$2:$I$2000,台帳!$A$2:$A$2000,$A129,台帳!$E$2:$E$2000,D$4)</f>
        <v>0</v>
      </c>
      <c r="E129" s="37">
        <f>SUMIFS(台帳!$I$2:$I$2000,台帳!$A$2:$A$2000,$A129,台帳!$E$2:$E$2000,E$4)</f>
        <v>0</v>
      </c>
      <c r="F129" s="37">
        <f>SUMIFS(台帳!$I$2:$I$2000,台帳!$A$2:$A$2000,$A129,台帳!$E$2:$E$2000,F$4)</f>
        <v>0</v>
      </c>
      <c r="G129" s="37">
        <f>SUMIFS(台帳!$I$2:$I$2000,台帳!$A$2:$A$2000,$A129,台帳!$E$2:$E$2000,G$4)</f>
        <v>0</v>
      </c>
      <c r="H129" s="37">
        <f>SUMIFS(台帳!$I$2:$I$2000,台帳!$A$2:$A$2000,$A129,台帳!$E$2:$E$2000,H$4)</f>
        <v>1</v>
      </c>
      <c r="I129" s="37">
        <f>SUMIFS(台帳!$I$2:$I$2000,台帳!$A$2:$A$2000,$A129,台帳!$E$2:$E$2000,I$4)</f>
        <v>3</v>
      </c>
      <c r="J129" s="37">
        <f>SUMIFS(台帳!$I$2:$I$2000,台帳!$A$2:$A$2000,$A129,台帳!$E$2:$E$2000,J$4)</f>
        <v>3</v>
      </c>
      <c r="K129" s="37">
        <f>SUMIFS(台帳!$I$2:$I$2000,台帳!$A$2:$A$2000,$A129,台帳!$E$2:$E$2000,K$4)</f>
        <v>0</v>
      </c>
      <c r="L129" s="37">
        <f>SUMIFS(台帳!$I$2:$I$2000,台帳!$A$2:$A$2000,$A129,台帳!$E$2:$E$2000,L$4)</f>
        <v>1</v>
      </c>
      <c r="M129" s="37">
        <f>SUMIFS(台帳!$I$2:$I$2000,台帳!$A$2:$A$2000,$A129,台帳!$E$2:$E$2000,M$4)</f>
        <v>0</v>
      </c>
      <c r="N129" s="37">
        <f>SUMIFS(台帳!$I$2:$I$2000,台帳!$A$2:$A$2000,$A129,台帳!$E$2:$E$2000,N$4)</f>
        <v>0</v>
      </c>
      <c r="O129" s="37">
        <f>SUMIFS(台帳!$I$2:$I$2000,台帳!$A$2:$A$2000,$A129,台帳!$D$2:$D$2000,"自社")</f>
        <v>3</v>
      </c>
      <c r="P129" s="37">
        <f>SUMIFS(台帳!$I$2:$I$2000,台帳!$A$2:$A$2000,$A129,台帳!$D$2:$D$2000,"業者")</f>
        <v>5</v>
      </c>
      <c r="Q129" s="37">
        <f>SUM(C129:N129)</f>
        <v>8</v>
      </c>
      <c r="R129" s="37">
        <f>R128+C129</f>
        <v>0</v>
      </c>
      <c r="S129" s="37">
        <f>S128+D129</f>
        <v>7</v>
      </c>
      <c r="T129" s="37">
        <f>T128+E129</f>
        <v>6</v>
      </c>
      <c r="U129" s="37">
        <f>U128+F129</f>
        <v>30</v>
      </c>
      <c r="V129" s="37">
        <f>V128+G129</f>
        <v>51</v>
      </c>
      <c r="W129" s="37">
        <f>W128+H129</f>
        <v>86</v>
      </c>
      <c r="X129" s="37">
        <f>X128+I129</f>
        <v>22</v>
      </c>
      <c r="Y129" s="37">
        <f>Y128+J129</f>
        <v>15</v>
      </c>
      <c r="Z129" s="37">
        <f>Z128+K129</f>
        <v>17</v>
      </c>
      <c r="AA129" s="37">
        <f>AA128+L129</f>
        <v>3</v>
      </c>
      <c r="AB129" s="37">
        <f>AB128+M129</f>
        <v>4</v>
      </c>
      <c r="AC129" s="37">
        <f>AC128+N129</f>
        <v>2</v>
      </c>
      <c r="AD129" s="37">
        <f>AD128+O129</f>
        <v>157</v>
      </c>
      <c r="AE129" s="37">
        <f>AE128+P129</f>
        <v>86</v>
      </c>
      <c r="AF129" s="37">
        <f>AF128+Q129</f>
        <v>243</v>
      </c>
      <c r="AG129" s="38" t="str">
        <f>IFERROR(INDEX(台帳!$H$2:$H$2000,MATCH($A129,台帳!$A$2:$A$2000,0)),"")</f>
        <v>フローリング張り</v>
      </c>
    </row>
    <row r="130" spans="1:33" ht="15.75" x14ac:dyDescent="0.25">
      <c r="A130" s="35">
        <v>46257</v>
      </c>
      <c r="B130" s="36" t="str">
        <f>CHOOSE(WEEKDAY(A130),"日","月","火","水","木","金","土")</f>
        <v>日</v>
      </c>
      <c r="C130" s="37">
        <f>SUMIFS(台帳!$I$2:$I$2000,台帳!$A$2:$A$2000,$A130,台帳!$E$2:$E$2000,C$4)</f>
        <v>0</v>
      </c>
      <c r="D130" s="37">
        <f>SUMIFS(台帳!$I$2:$I$2000,台帳!$A$2:$A$2000,$A130,台帳!$E$2:$E$2000,D$4)</f>
        <v>0</v>
      </c>
      <c r="E130" s="37">
        <f>SUMIFS(台帳!$I$2:$I$2000,台帳!$A$2:$A$2000,$A130,台帳!$E$2:$E$2000,E$4)</f>
        <v>0</v>
      </c>
      <c r="F130" s="37">
        <f>SUMIFS(台帳!$I$2:$I$2000,台帳!$A$2:$A$2000,$A130,台帳!$E$2:$E$2000,F$4)</f>
        <v>0</v>
      </c>
      <c r="G130" s="37">
        <f>SUMIFS(台帳!$I$2:$I$2000,台帳!$A$2:$A$2000,$A130,台帳!$E$2:$E$2000,G$4)</f>
        <v>0</v>
      </c>
      <c r="H130" s="37">
        <f>SUMIFS(台帳!$I$2:$I$2000,台帳!$A$2:$A$2000,$A130,台帳!$E$2:$E$2000,H$4)</f>
        <v>0</v>
      </c>
      <c r="I130" s="37">
        <f>SUMIFS(台帳!$I$2:$I$2000,台帳!$A$2:$A$2000,$A130,台帳!$E$2:$E$2000,I$4)</f>
        <v>0</v>
      </c>
      <c r="J130" s="37">
        <f>SUMIFS(台帳!$I$2:$I$2000,台帳!$A$2:$A$2000,$A130,台帳!$E$2:$E$2000,J$4)</f>
        <v>0</v>
      </c>
      <c r="K130" s="37">
        <f>SUMIFS(台帳!$I$2:$I$2000,台帳!$A$2:$A$2000,$A130,台帳!$E$2:$E$2000,K$4)</f>
        <v>0</v>
      </c>
      <c r="L130" s="37">
        <f>SUMIFS(台帳!$I$2:$I$2000,台帳!$A$2:$A$2000,$A130,台帳!$E$2:$E$2000,L$4)</f>
        <v>0</v>
      </c>
      <c r="M130" s="37">
        <f>SUMIFS(台帳!$I$2:$I$2000,台帳!$A$2:$A$2000,$A130,台帳!$E$2:$E$2000,M$4)</f>
        <v>0</v>
      </c>
      <c r="N130" s="37">
        <f>SUMIFS(台帳!$I$2:$I$2000,台帳!$A$2:$A$2000,$A130,台帳!$E$2:$E$2000,N$4)</f>
        <v>0</v>
      </c>
      <c r="O130" s="37">
        <f>SUMIFS(台帳!$I$2:$I$2000,台帳!$A$2:$A$2000,$A130,台帳!$D$2:$D$2000,"自社")</f>
        <v>0</v>
      </c>
      <c r="P130" s="37">
        <f>SUMIFS(台帳!$I$2:$I$2000,台帳!$A$2:$A$2000,$A130,台帳!$D$2:$D$2000,"業者")</f>
        <v>0</v>
      </c>
      <c r="Q130" s="37">
        <f>SUM(C130:N130)</f>
        <v>0</v>
      </c>
      <c r="R130" s="37">
        <f>R129+C130</f>
        <v>0</v>
      </c>
      <c r="S130" s="37">
        <f>S129+D130</f>
        <v>7</v>
      </c>
      <c r="T130" s="37">
        <f>T129+E130</f>
        <v>6</v>
      </c>
      <c r="U130" s="37">
        <f>U129+F130</f>
        <v>30</v>
      </c>
      <c r="V130" s="37">
        <f>V129+G130</f>
        <v>51</v>
      </c>
      <c r="W130" s="37">
        <f>W129+H130</f>
        <v>86</v>
      </c>
      <c r="X130" s="37">
        <f>X129+I130</f>
        <v>22</v>
      </c>
      <c r="Y130" s="37">
        <f>Y129+J130</f>
        <v>15</v>
      </c>
      <c r="Z130" s="37">
        <f>Z129+K130</f>
        <v>17</v>
      </c>
      <c r="AA130" s="37">
        <f>AA129+L130</f>
        <v>3</v>
      </c>
      <c r="AB130" s="37">
        <f>AB129+M130</f>
        <v>4</v>
      </c>
      <c r="AC130" s="37">
        <f>AC129+N130</f>
        <v>2</v>
      </c>
      <c r="AD130" s="37">
        <f>AD129+O130</f>
        <v>157</v>
      </c>
      <c r="AE130" s="37">
        <f>AE129+P130</f>
        <v>86</v>
      </c>
      <c r="AF130" s="37">
        <f>AF129+Q130</f>
        <v>243</v>
      </c>
      <c r="AG130" s="38" t="str">
        <f>IFERROR(INDEX(台帳!$H$2:$H$2000,MATCH($A130,台帳!$A$2:$A$2000,0)),"")</f>
        <v/>
      </c>
    </row>
    <row r="131" spans="1:33" ht="15.75" x14ac:dyDescent="0.25">
      <c r="A131" s="31">
        <v>46258</v>
      </c>
      <c r="B131" s="32" t="str">
        <f>CHOOSE(WEEKDAY(A131),"日","月","火","水","木","金","土")</f>
        <v>月</v>
      </c>
      <c r="C131" s="33">
        <f>SUMIFS(台帳!$I$2:$I$2000,台帳!$A$2:$A$2000,$A131,台帳!$E$2:$E$2000,C$4)</f>
        <v>0</v>
      </c>
      <c r="D131" s="33">
        <f>SUMIFS(台帳!$I$2:$I$2000,台帳!$A$2:$A$2000,$A131,台帳!$E$2:$E$2000,D$4)</f>
        <v>0</v>
      </c>
      <c r="E131" s="33">
        <f>SUMIFS(台帳!$I$2:$I$2000,台帳!$A$2:$A$2000,$A131,台帳!$E$2:$E$2000,E$4)</f>
        <v>0</v>
      </c>
      <c r="F131" s="33">
        <f>SUMIFS(台帳!$I$2:$I$2000,台帳!$A$2:$A$2000,$A131,台帳!$E$2:$E$2000,F$4)</f>
        <v>0</v>
      </c>
      <c r="G131" s="33">
        <f>SUMIFS(台帳!$I$2:$I$2000,台帳!$A$2:$A$2000,$A131,台帳!$E$2:$E$2000,G$4)</f>
        <v>0</v>
      </c>
      <c r="H131" s="33">
        <f>SUMIFS(台帳!$I$2:$I$2000,台帳!$A$2:$A$2000,$A131,台帳!$E$2:$E$2000,H$4)</f>
        <v>0</v>
      </c>
      <c r="I131" s="33">
        <f>SUMIFS(台帳!$I$2:$I$2000,台帳!$A$2:$A$2000,$A131,台帳!$E$2:$E$2000,I$4)</f>
        <v>0</v>
      </c>
      <c r="J131" s="33">
        <f>SUMIFS(台帳!$I$2:$I$2000,台帳!$A$2:$A$2000,$A131,台帳!$E$2:$E$2000,J$4)</f>
        <v>3</v>
      </c>
      <c r="K131" s="33">
        <f>SUMIFS(台帳!$I$2:$I$2000,台帳!$A$2:$A$2000,$A131,台帳!$E$2:$E$2000,K$4)</f>
        <v>0</v>
      </c>
      <c r="L131" s="33">
        <f>SUMIFS(台帳!$I$2:$I$2000,台帳!$A$2:$A$2000,$A131,台帳!$E$2:$E$2000,L$4)</f>
        <v>0</v>
      </c>
      <c r="M131" s="33">
        <f>SUMIFS(台帳!$I$2:$I$2000,台帳!$A$2:$A$2000,$A131,台帳!$E$2:$E$2000,M$4)</f>
        <v>0</v>
      </c>
      <c r="N131" s="33">
        <f>SUMIFS(台帳!$I$2:$I$2000,台帳!$A$2:$A$2000,$A131,台帳!$E$2:$E$2000,N$4)</f>
        <v>0</v>
      </c>
      <c r="O131" s="33">
        <f>SUMIFS(台帳!$I$2:$I$2000,台帳!$A$2:$A$2000,$A131,台帳!$D$2:$D$2000,"自社")</f>
        <v>3</v>
      </c>
      <c r="P131" s="33">
        <f>SUMIFS(台帳!$I$2:$I$2000,台帳!$A$2:$A$2000,$A131,台帳!$D$2:$D$2000,"業者")</f>
        <v>0</v>
      </c>
      <c r="Q131" s="33">
        <f>SUM(C131:N131)</f>
        <v>3</v>
      </c>
      <c r="R131" s="33">
        <f>R130+C131</f>
        <v>0</v>
      </c>
      <c r="S131" s="33">
        <f>S130+D131</f>
        <v>7</v>
      </c>
      <c r="T131" s="33">
        <f>T130+E131</f>
        <v>6</v>
      </c>
      <c r="U131" s="33">
        <f>U130+F131</f>
        <v>30</v>
      </c>
      <c r="V131" s="33">
        <f>V130+G131</f>
        <v>51</v>
      </c>
      <c r="W131" s="33">
        <f>W130+H131</f>
        <v>86</v>
      </c>
      <c r="X131" s="33">
        <f>X130+I131</f>
        <v>22</v>
      </c>
      <c r="Y131" s="33">
        <f>Y130+J131</f>
        <v>18</v>
      </c>
      <c r="Z131" s="33">
        <f>Z130+K131</f>
        <v>17</v>
      </c>
      <c r="AA131" s="33">
        <f>AA130+L131</f>
        <v>3</v>
      </c>
      <c r="AB131" s="33">
        <f>AB130+M131</f>
        <v>4</v>
      </c>
      <c r="AC131" s="33">
        <f>AC130+N131</f>
        <v>2</v>
      </c>
      <c r="AD131" s="33">
        <f>AD130+O131</f>
        <v>160</v>
      </c>
      <c r="AE131" s="33">
        <f>AE130+P131</f>
        <v>86</v>
      </c>
      <c r="AF131" s="33">
        <f>AF130+Q131</f>
        <v>246</v>
      </c>
      <c r="AG131" s="34" t="str">
        <f>IFERROR(INDEX(台帳!$H$2:$H$2000,MATCH($A131,台帳!$A$2:$A$2000,0)),"")</f>
        <v>床張り</v>
      </c>
    </row>
    <row r="132" spans="1:33" ht="15.75" x14ac:dyDescent="0.25">
      <c r="A132" s="31">
        <v>46259</v>
      </c>
      <c r="B132" s="32" t="str">
        <f>CHOOSE(WEEKDAY(A132),"日","月","火","水","木","金","土")</f>
        <v>火</v>
      </c>
      <c r="C132" s="33">
        <f>SUMIFS(台帳!$I$2:$I$2000,台帳!$A$2:$A$2000,$A132,台帳!$E$2:$E$2000,C$4)</f>
        <v>0</v>
      </c>
      <c r="D132" s="33">
        <f>SUMIFS(台帳!$I$2:$I$2000,台帳!$A$2:$A$2000,$A132,台帳!$E$2:$E$2000,D$4)</f>
        <v>0</v>
      </c>
      <c r="E132" s="33">
        <f>SUMIFS(台帳!$I$2:$I$2000,台帳!$A$2:$A$2000,$A132,台帳!$E$2:$E$2000,E$4)</f>
        <v>0</v>
      </c>
      <c r="F132" s="33">
        <f>SUMIFS(台帳!$I$2:$I$2000,台帳!$A$2:$A$2000,$A132,台帳!$E$2:$E$2000,F$4)</f>
        <v>0</v>
      </c>
      <c r="G132" s="33">
        <f>SUMIFS(台帳!$I$2:$I$2000,台帳!$A$2:$A$2000,$A132,台帳!$E$2:$E$2000,G$4)</f>
        <v>0</v>
      </c>
      <c r="H132" s="33">
        <f>SUMIFS(台帳!$I$2:$I$2000,台帳!$A$2:$A$2000,$A132,台帳!$E$2:$E$2000,H$4)</f>
        <v>1</v>
      </c>
      <c r="I132" s="33">
        <f>SUMIFS(台帳!$I$2:$I$2000,台帳!$A$2:$A$2000,$A132,台帳!$E$2:$E$2000,I$4)</f>
        <v>0</v>
      </c>
      <c r="J132" s="33">
        <f>SUMIFS(台帳!$I$2:$I$2000,台帳!$A$2:$A$2000,$A132,台帳!$E$2:$E$2000,J$4)</f>
        <v>3</v>
      </c>
      <c r="K132" s="33">
        <f>SUMIFS(台帳!$I$2:$I$2000,台帳!$A$2:$A$2000,$A132,台帳!$E$2:$E$2000,K$4)</f>
        <v>2</v>
      </c>
      <c r="L132" s="33">
        <f>SUMIFS(台帳!$I$2:$I$2000,台帳!$A$2:$A$2000,$A132,台帳!$E$2:$E$2000,L$4)</f>
        <v>0</v>
      </c>
      <c r="M132" s="33">
        <f>SUMIFS(台帳!$I$2:$I$2000,台帳!$A$2:$A$2000,$A132,台帳!$E$2:$E$2000,M$4)</f>
        <v>0</v>
      </c>
      <c r="N132" s="33">
        <f>SUMIFS(台帳!$I$2:$I$2000,台帳!$A$2:$A$2000,$A132,台帳!$E$2:$E$2000,N$4)</f>
        <v>0</v>
      </c>
      <c r="O132" s="33">
        <f>SUMIFS(台帳!$I$2:$I$2000,台帳!$A$2:$A$2000,$A132,台帳!$D$2:$D$2000,"自社")</f>
        <v>3</v>
      </c>
      <c r="P132" s="33">
        <f>SUMIFS(台帳!$I$2:$I$2000,台帳!$A$2:$A$2000,$A132,台帳!$D$2:$D$2000,"業者")</f>
        <v>3</v>
      </c>
      <c r="Q132" s="33">
        <f>SUM(C132:N132)</f>
        <v>6</v>
      </c>
      <c r="R132" s="33">
        <f>R131+C132</f>
        <v>0</v>
      </c>
      <c r="S132" s="33">
        <f>S131+D132</f>
        <v>7</v>
      </c>
      <c r="T132" s="33">
        <f>T131+E132</f>
        <v>6</v>
      </c>
      <c r="U132" s="33">
        <f>U131+F132</f>
        <v>30</v>
      </c>
      <c r="V132" s="33">
        <f>V131+G132</f>
        <v>51</v>
      </c>
      <c r="W132" s="33">
        <f>W131+H132</f>
        <v>87</v>
      </c>
      <c r="X132" s="33">
        <f>X131+I132</f>
        <v>22</v>
      </c>
      <c r="Y132" s="33">
        <f>Y131+J132</f>
        <v>21</v>
      </c>
      <c r="Z132" s="33">
        <f>Z131+K132</f>
        <v>19</v>
      </c>
      <c r="AA132" s="33">
        <f>AA131+L132</f>
        <v>3</v>
      </c>
      <c r="AB132" s="33">
        <f>AB131+M132</f>
        <v>4</v>
      </c>
      <c r="AC132" s="33">
        <f>AC131+N132</f>
        <v>2</v>
      </c>
      <c r="AD132" s="33">
        <f>AD131+O132</f>
        <v>163</v>
      </c>
      <c r="AE132" s="33">
        <f>AE131+P132</f>
        <v>89</v>
      </c>
      <c r="AF132" s="33">
        <f>AF131+Q132</f>
        <v>252</v>
      </c>
      <c r="AG132" s="34" t="str">
        <f>IFERROR(INDEX(台帳!$H$2:$H$2000,MATCH($A132,台帳!$A$2:$A$2000,0)),"")</f>
        <v>床張り</v>
      </c>
    </row>
    <row r="133" spans="1:33" ht="15.75" x14ac:dyDescent="0.25">
      <c r="A133" s="31">
        <v>46260</v>
      </c>
      <c r="B133" s="32" t="str">
        <f>CHOOSE(WEEKDAY(A133),"日","月","火","水","木","金","土")</f>
        <v>水</v>
      </c>
      <c r="C133" s="33">
        <f>SUMIFS(台帳!$I$2:$I$2000,台帳!$A$2:$A$2000,$A133,台帳!$E$2:$E$2000,C$4)</f>
        <v>0</v>
      </c>
      <c r="D133" s="33">
        <f>SUMIFS(台帳!$I$2:$I$2000,台帳!$A$2:$A$2000,$A133,台帳!$E$2:$E$2000,D$4)</f>
        <v>0</v>
      </c>
      <c r="E133" s="33">
        <f>SUMIFS(台帳!$I$2:$I$2000,台帳!$A$2:$A$2000,$A133,台帳!$E$2:$E$2000,E$4)</f>
        <v>0</v>
      </c>
      <c r="F133" s="33">
        <f>SUMIFS(台帳!$I$2:$I$2000,台帳!$A$2:$A$2000,$A133,台帳!$E$2:$E$2000,F$4)</f>
        <v>0</v>
      </c>
      <c r="G133" s="33">
        <f>SUMIFS(台帳!$I$2:$I$2000,台帳!$A$2:$A$2000,$A133,台帳!$E$2:$E$2000,G$4)</f>
        <v>0</v>
      </c>
      <c r="H133" s="33">
        <f>SUMIFS(台帳!$I$2:$I$2000,台帳!$A$2:$A$2000,$A133,台帳!$E$2:$E$2000,H$4)</f>
        <v>0</v>
      </c>
      <c r="I133" s="33">
        <f>SUMIFS(台帳!$I$2:$I$2000,台帳!$A$2:$A$2000,$A133,台帳!$E$2:$E$2000,I$4)</f>
        <v>0</v>
      </c>
      <c r="J133" s="33">
        <f>SUMIFS(台帳!$I$2:$I$2000,台帳!$A$2:$A$2000,$A133,台帳!$E$2:$E$2000,J$4)</f>
        <v>3</v>
      </c>
      <c r="K133" s="33">
        <f>SUMIFS(台帳!$I$2:$I$2000,台帳!$A$2:$A$2000,$A133,台帳!$E$2:$E$2000,K$4)</f>
        <v>0</v>
      </c>
      <c r="L133" s="33">
        <f>SUMIFS(台帳!$I$2:$I$2000,台帳!$A$2:$A$2000,$A133,台帳!$E$2:$E$2000,L$4)</f>
        <v>0</v>
      </c>
      <c r="M133" s="33">
        <f>SUMIFS(台帳!$I$2:$I$2000,台帳!$A$2:$A$2000,$A133,台帳!$E$2:$E$2000,M$4)</f>
        <v>0</v>
      </c>
      <c r="N133" s="33">
        <f>SUMIFS(台帳!$I$2:$I$2000,台帳!$A$2:$A$2000,$A133,台帳!$E$2:$E$2000,N$4)</f>
        <v>0</v>
      </c>
      <c r="O133" s="33">
        <f>SUMIFS(台帳!$I$2:$I$2000,台帳!$A$2:$A$2000,$A133,台帳!$D$2:$D$2000,"自社")</f>
        <v>3</v>
      </c>
      <c r="P133" s="33">
        <f>SUMIFS(台帳!$I$2:$I$2000,台帳!$A$2:$A$2000,$A133,台帳!$D$2:$D$2000,"業者")</f>
        <v>0</v>
      </c>
      <c r="Q133" s="33">
        <f>SUM(C133:N133)</f>
        <v>3</v>
      </c>
      <c r="R133" s="33">
        <f>R132+C133</f>
        <v>0</v>
      </c>
      <c r="S133" s="33">
        <f>S132+D133</f>
        <v>7</v>
      </c>
      <c r="T133" s="33">
        <f>T132+E133</f>
        <v>6</v>
      </c>
      <c r="U133" s="33">
        <f>U132+F133</f>
        <v>30</v>
      </c>
      <c r="V133" s="33">
        <f>V132+G133</f>
        <v>51</v>
      </c>
      <c r="W133" s="33">
        <f>W132+H133</f>
        <v>87</v>
      </c>
      <c r="X133" s="33">
        <f>X132+I133</f>
        <v>22</v>
      </c>
      <c r="Y133" s="33">
        <f>Y132+J133</f>
        <v>24</v>
      </c>
      <c r="Z133" s="33">
        <f>Z132+K133</f>
        <v>19</v>
      </c>
      <c r="AA133" s="33">
        <f>AA132+L133</f>
        <v>3</v>
      </c>
      <c r="AB133" s="33">
        <f>AB132+M133</f>
        <v>4</v>
      </c>
      <c r="AC133" s="33">
        <f>AC132+N133</f>
        <v>2</v>
      </c>
      <c r="AD133" s="33">
        <f>AD132+O133</f>
        <v>166</v>
      </c>
      <c r="AE133" s="33">
        <f>AE132+P133</f>
        <v>89</v>
      </c>
      <c r="AF133" s="33">
        <f>AF132+Q133</f>
        <v>255</v>
      </c>
      <c r="AG133" s="34" t="str">
        <f>IFERROR(INDEX(台帳!$H$2:$H$2000,MATCH($A133,台帳!$A$2:$A$2000,0)),"")</f>
        <v>床張り及び幅木取付</v>
      </c>
    </row>
    <row r="134" spans="1:33" ht="15.75" x14ac:dyDescent="0.25">
      <c r="A134" s="31">
        <v>46261</v>
      </c>
      <c r="B134" s="32" t="str">
        <f>CHOOSE(WEEKDAY(A134),"日","月","火","水","木","金","土")</f>
        <v>木</v>
      </c>
      <c r="C134" s="33">
        <f>SUMIFS(台帳!$I$2:$I$2000,台帳!$A$2:$A$2000,$A134,台帳!$E$2:$E$2000,C$4)</f>
        <v>0</v>
      </c>
      <c r="D134" s="33">
        <f>SUMIFS(台帳!$I$2:$I$2000,台帳!$A$2:$A$2000,$A134,台帳!$E$2:$E$2000,D$4)</f>
        <v>0</v>
      </c>
      <c r="E134" s="33">
        <f>SUMIFS(台帳!$I$2:$I$2000,台帳!$A$2:$A$2000,$A134,台帳!$E$2:$E$2000,E$4)</f>
        <v>0</v>
      </c>
      <c r="F134" s="33">
        <f>SUMIFS(台帳!$I$2:$I$2000,台帳!$A$2:$A$2000,$A134,台帳!$E$2:$E$2000,F$4)</f>
        <v>0</v>
      </c>
      <c r="G134" s="33">
        <f>SUMIFS(台帳!$I$2:$I$2000,台帳!$A$2:$A$2000,$A134,台帳!$E$2:$E$2000,G$4)</f>
        <v>0</v>
      </c>
      <c r="H134" s="33">
        <f>SUMIFS(台帳!$I$2:$I$2000,台帳!$A$2:$A$2000,$A134,台帳!$E$2:$E$2000,H$4)</f>
        <v>0</v>
      </c>
      <c r="I134" s="33">
        <f>SUMIFS(台帳!$I$2:$I$2000,台帳!$A$2:$A$2000,$A134,台帳!$E$2:$E$2000,I$4)</f>
        <v>0</v>
      </c>
      <c r="J134" s="33">
        <f>SUMIFS(台帳!$I$2:$I$2000,台帳!$A$2:$A$2000,$A134,台帳!$E$2:$E$2000,J$4)</f>
        <v>0</v>
      </c>
      <c r="K134" s="33">
        <f>SUMIFS(台帳!$I$2:$I$2000,台帳!$A$2:$A$2000,$A134,台帳!$E$2:$E$2000,K$4)</f>
        <v>0</v>
      </c>
      <c r="L134" s="33">
        <f>SUMIFS(台帳!$I$2:$I$2000,台帳!$A$2:$A$2000,$A134,台帳!$E$2:$E$2000,L$4)</f>
        <v>3</v>
      </c>
      <c r="M134" s="33">
        <f>SUMIFS(台帳!$I$2:$I$2000,台帳!$A$2:$A$2000,$A134,台帳!$E$2:$E$2000,M$4)</f>
        <v>0</v>
      </c>
      <c r="N134" s="33">
        <f>SUMIFS(台帳!$I$2:$I$2000,台帳!$A$2:$A$2000,$A134,台帳!$E$2:$E$2000,N$4)</f>
        <v>0</v>
      </c>
      <c r="O134" s="33">
        <f>SUMIFS(台帳!$I$2:$I$2000,台帳!$A$2:$A$2000,$A134,台帳!$D$2:$D$2000,"自社")</f>
        <v>0</v>
      </c>
      <c r="P134" s="33">
        <f>SUMIFS(台帳!$I$2:$I$2000,台帳!$A$2:$A$2000,$A134,台帳!$D$2:$D$2000,"業者")</f>
        <v>3</v>
      </c>
      <c r="Q134" s="33">
        <f>SUM(C134:N134)</f>
        <v>3</v>
      </c>
      <c r="R134" s="33">
        <f>R133+C134</f>
        <v>0</v>
      </c>
      <c r="S134" s="33">
        <f>S133+D134</f>
        <v>7</v>
      </c>
      <c r="T134" s="33">
        <f>T133+E134</f>
        <v>6</v>
      </c>
      <c r="U134" s="33">
        <f>U133+F134</f>
        <v>30</v>
      </c>
      <c r="V134" s="33">
        <f>V133+G134</f>
        <v>51</v>
      </c>
      <c r="W134" s="33">
        <f>W133+H134</f>
        <v>87</v>
      </c>
      <c r="X134" s="33">
        <f>X133+I134</f>
        <v>22</v>
      </c>
      <c r="Y134" s="33">
        <f>Y133+J134</f>
        <v>24</v>
      </c>
      <c r="Z134" s="33">
        <f>Z133+K134</f>
        <v>19</v>
      </c>
      <c r="AA134" s="33">
        <f>AA133+L134</f>
        <v>6</v>
      </c>
      <c r="AB134" s="33">
        <f>AB133+M134</f>
        <v>4</v>
      </c>
      <c r="AC134" s="33">
        <f>AC133+N134</f>
        <v>2</v>
      </c>
      <c r="AD134" s="33">
        <f>AD133+O134</f>
        <v>166</v>
      </c>
      <c r="AE134" s="33">
        <f>AE133+P134</f>
        <v>92</v>
      </c>
      <c r="AF134" s="33">
        <f>AF133+Q134</f>
        <v>258</v>
      </c>
      <c r="AG134" s="34" t="str">
        <f>IFERROR(INDEX(台帳!$H$2:$H$2000,MATCH($A134,台帳!$A$2:$A$2000,0)),"")</f>
        <v>自社作業員の記載なし</v>
      </c>
    </row>
    <row r="135" spans="1:33" ht="15.75" x14ac:dyDescent="0.25">
      <c r="A135" s="31">
        <v>46262</v>
      </c>
      <c r="B135" s="32" t="str">
        <f>CHOOSE(WEEKDAY(A135),"日","月","火","水","木","金","土")</f>
        <v>金</v>
      </c>
      <c r="C135" s="33">
        <f>SUMIFS(台帳!$I$2:$I$2000,台帳!$A$2:$A$2000,$A135,台帳!$E$2:$E$2000,C$4)</f>
        <v>0</v>
      </c>
      <c r="D135" s="33">
        <f>SUMIFS(台帳!$I$2:$I$2000,台帳!$A$2:$A$2000,$A135,台帳!$E$2:$E$2000,D$4)</f>
        <v>0</v>
      </c>
      <c r="E135" s="33">
        <f>SUMIFS(台帳!$I$2:$I$2000,台帳!$A$2:$A$2000,$A135,台帳!$E$2:$E$2000,E$4)</f>
        <v>0</v>
      </c>
      <c r="F135" s="33">
        <f>SUMIFS(台帳!$I$2:$I$2000,台帳!$A$2:$A$2000,$A135,台帳!$E$2:$E$2000,F$4)</f>
        <v>0</v>
      </c>
      <c r="G135" s="33">
        <f>SUMIFS(台帳!$I$2:$I$2000,台帳!$A$2:$A$2000,$A135,台帳!$E$2:$E$2000,G$4)</f>
        <v>0</v>
      </c>
      <c r="H135" s="33">
        <f>SUMIFS(台帳!$I$2:$I$2000,台帳!$A$2:$A$2000,$A135,台帳!$E$2:$E$2000,H$4)</f>
        <v>0</v>
      </c>
      <c r="I135" s="33">
        <f>SUMIFS(台帳!$I$2:$I$2000,台帳!$A$2:$A$2000,$A135,台帳!$E$2:$E$2000,I$4)</f>
        <v>0</v>
      </c>
      <c r="J135" s="33">
        <f>SUMIFS(台帳!$I$2:$I$2000,台帳!$A$2:$A$2000,$A135,台帳!$E$2:$E$2000,J$4)</f>
        <v>0</v>
      </c>
      <c r="K135" s="33">
        <f>SUMIFS(台帳!$I$2:$I$2000,台帳!$A$2:$A$2000,$A135,台帳!$E$2:$E$2000,K$4)</f>
        <v>0</v>
      </c>
      <c r="L135" s="33">
        <f>SUMIFS(台帳!$I$2:$I$2000,台帳!$A$2:$A$2000,$A135,台帳!$E$2:$E$2000,L$4)</f>
        <v>0</v>
      </c>
      <c r="M135" s="33">
        <f>SUMIFS(台帳!$I$2:$I$2000,台帳!$A$2:$A$2000,$A135,台帳!$E$2:$E$2000,M$4)</f>
        <v>0</v>
      </c>
      <c r="N135" s="33">
        <f>SUMIFS(台帳!$I$2:$I$2000,台帳!$A$2:$A$2000,$A135,台帳!$E$2:$E$2000,N$4)</f>
        <v>2</v>
      </c>
      <c r="O135" s="33">
        <f>SUMIFS(台帳!$I$2:$I$2000,台帳!$A$2:$A$2000,$A135,台帳!$D$2:$D$2000,"自社")</f>
        <v>2</v>
      </c>
      <c r="P135" s="33">
        <f>SUMIFS(台帳!$I$2:$I$2000,台帳!$A$2:$A$2000,$A135,台帳!$D$2:$D$2000,"業者")</f>
        <v>0</v>
      </c>
      <c r="Q135" s="33">
        <f>SUM(C135:N135)</f>
        <v>2</v>
      </c>
      <c r="R135" s="33">
        <f>R134+C135</f>
        <v>0</v>
      </c>
      <c r="S135" s="33">
        <f>S134+D135</f>
        <v>7</v>
      </c>
      <c r="T135" s="33">
        <f>T134+E135</f>
        <v>6</v>
      </c>
      <c r="U135" s="33">
        <f>U134+F135</f>
        <v>30</v>
      </c>
      <c r="V135" s="33">
        <f>V134+G135</f>
        <v>51</v>
      </c>
      <c r="W135" s="33">
        <f>W134+H135</f>
        <v>87</v>
      </c>
      <c r="X135" s="33">
        <f>X134+I135</f>
        <v>22</v>
      </c>
      <c r="Y135" s="33">
        <f>Y134+J135</f>
        <v>24</v>
      </c>
      <c r="Z135" s="33">
        <f>Z134+K135</f>
        <v>19</v>
      </c>
      <c r="AA135" s="33">
        <f>AA134+L135</f>
        <v>6</v>
      </c>
      <c r="AB135" s="33">
        <f>AB134+M135</f>
        <v>4</v>
      </c>
      <c r="AC135" s="33">
        <f>AC134+N135</f>
        <v>4</v>
      </c>
      <c r="AD135" s="33">
        <f>AD134+O135</f>
        <v>168</v>
      </c>
      <c r="AE135" s="33">
        <f>AE134+P135</f>
        <v>92</v>
      </c>
      <c r="AF135" s="33">
        <f>AF134+Q135</f>
        <v>260</v>
      </c>
      <c r="AG135" s="34" t="str">
        <f>IFERROR(INDEX(台帳!$H$2:$H$2000,MATCH($A135,台帳!$A$2:$A$2000,0)),"")</f>
        <v>ブロック打ち出し及び検査前片付け、検査11時（設計 斉藤参加）</v>
      </c>
    </row>
    <row r="136" spans="1:33" ht="15.75" x14ac:dyDescent="0.25">
      <c r="A136" s="35">
        <v>46263</v>
      </c>
      <c r="B136" s="36" t="str">
        <f>CHOOSE(WEEKDAY(A136),"日","月","火","水","木","金","土")</f>
        <v>土</v>
      </c>
      <c r="C136" s="37">
        <f>SUMIFS(台帳!$I$2:$I$2000,台帳!$A$2:$A$2000,$A136,台帳!$E$2:$E$2000,C$4)</f>
        <v>0</v>
      </c>
      <c r="D136" s="37">
        <f>SUMIFS(台帳!$I$2:$I$2000,台帳!$A$2:$A$2000,$A136,台帳!$E$2:$E$2000,D$4)</f>
        <v>0</v>
      </c>
      <c r="E136" s="37">
        <f>SUMIFS(台帳!$I$2:$I$2000,台帳!$A$2:$A$2000,$A136,台帳!$E$2:$E$2000,E$4)</f>
        <v>0</v>
      </c>
      <c r="F136" s="37">
        <f>SUMIFS(台帳!$I$2:$I$2000,台帳!$A$2:$A$2000,$A136,台帳!$E$2:$E$2000,F$4)</f>
        <v>0</v>
      </c>
      <c r="G136" s="37">
        <f>SUMIFS(台帳!$I$2:$I$2000,台帳!$A$2:$A$2000,$A136,台帳!$E$2:$E$2000,G$4)</f>
        <v>0</v>
      </c>
      <c r="H136" s="37">
        <f>SUMIFS(台帳!$I$2:$I$2000,台帳!$A$2:$A$2000,$A136,台帳!$E$2:$E$2000,H$4)</f>
        <v>0</v>
      </c>
      <c r="I136" s="37">
        <f>SUMIFS(台帳!$I$2:$I$2000,台帳!$A$2:$A$2000,$A136,台帳!$E$2:$E$2000,I$4)</f>
        <v>0</v>
      </c>
      <c r="J136" s="37">
        <f>SUMIFS(台帳!$I$2:$I$2000,台帳!$A$2:$A$2000,$A136,台帳!$E$2:$E$2000,J$4)</f>
        <v>0</v>
      </c>
      <c r="K136" s="37">
        <f>SUMIFS(台帳!$I$2:$I$2000,台帳!$A$2:$A$2000,$A136,台帳!$E$2:$E$2000,K$4)</f>
        <v>0</v>
      </c>
      <c r="L136" s="37">
        <f>SUMIFS(台帳!$I$2:$I$2000,台帳!$A$2:$A$2000,$A136,台帳!$E$2:$E$2000,L$4)</f>
        <v>0</v>
      </c>
      <c r="M136" s="37">
        <f>SUMIFS(台帳!$I$2:$I$2000,台帳!$A$2:$A$2000,$A136,台帳!$E$2:$E$2000,M$4)</f>
        <v>0</v>
      </c>
      <c r="N136" s="37">
        <f>SUMIFS(台帳!$I$2:$I$2000,台帳!$A$2:$A$2000,$A136,台帳!$E$2:$E$2000,N$4)</f>
        <v>1</v>
      </c>
      <c r="O136" s="37">
        <f>SUMIFS(台帳!$I$2:$I$2000,台帳!$A$2:$A$2000,$A136,台帳!$D$2:$D$2000,"自社")</f>
        <v>1</v>
      </c>
      <c r="P136" s="37">
        <f>SUMIFS(台帳!$I$2:$I$2000,台帳!$A$2:$A$2000,$A136,台帳!$D$2:$D$2000,"業者")</f>
        <v>0</v>
      </c>
      <c r="Q136" s="37">
        <f>SUM(C136:N136)</f>
        <v>1</v>
      </c>
      <c r="R136" s="37">
        <f>R135+C136</f>
        <v>0</v>
      </c>
      <c r="S136" s="37">
        <f>S135+D136</f>
        <v>7</v>
      </c>
      <c r="T136" s="37">
        <f>T135+E136</f>
        <v>6</v>
      </c>
      <c r="U136" s="37">
        <f>U135+F136</f>
        <v>30</v>
      </c>
      <c r="V136" s="37">
        <f>V135+G136</f>
        <v>51</v>
      </c>
      <c r="W136" s="37">
        <f>W135+H136</f>
        <v>87</v>
      </c>
      <c r="X136" s="37">
        <f>X135+I136</f>
        <v>22</v>
      </c>
      <c r="Y136" s="37">
        <f>Y135+J136</f>
        <v>24</v>
      </c>
      <c r="Z136" s="37">
        <f>Z135+K136</f>
        <v>19</v>
      </c>
      <c r="AA136" s="37">
        <f>AA135+L136</f>
        <v>6</v>
      </c>
      <c r="AB136" s="37">
        <f>AB135+M136</f>
        <v>4</v>
      </c>
      <c r="AC136" s="37">
        <f>AC135+N136</f>
        <v>5</v>
      </c>
      <c r="AD136" s="37">
        <f>AD135+O136</f>
        <v>169</v>
      </c>
      <c r="AE136" s="37">
        <f>AE135+P136</f>
        <v>92</v>
      </c>
      <c r="AF136" s="37">
        <f>AF135+Q136</f>
        <v>261</v>
      </c>
      <c r="AG136" s="38" t="str">
        <f>IFERROR(INDEX(台帳!$H$2:$H$2000,MATCH($A136,台帳!$A$2:$A$2000,0)),"")</f>
        <v>現場の片付け・清掃及び品物調達調査</v>
      </c>
    </row>
    <row r="137" spans="1:33" ht="15.75" x14ac:dyDescent="0.25">
      <c r="A137" s="35">
        <v>46264</v>
      </c>
      <c r="B137" s="36" t="str">
        <f>CHOOSE(WEEKDAY(A137),"日","月","火","水","木","金","土")</f>
        <v>日</v>
      </c>
      <c r="C137" s="37">
        <f>SUMIFS(台帳!$I$2:$I$2000,台帳!$A$2:$A$2000,$A137,台帳!$E$2:$E$2000,C$4)</f>
        <v>0</v>
      </c>
      <c r="D137" s="37">
        <f>SUMIFS(台帳!$I$2:$I$2000,台帳!$A$2:$A$2000,$A137,台帳!$E$2:$E$2000,D$4)</f>
        <v>0</v>
      </c>
      <c r="E137" s="37">
        <f>SUMIFS(台帳!$I$2:$I$2000,台帳!$A$2:$A$2000,$A137,台帳!$E$2:$E$2000,E$4)</f>
        <v>0</v>
      </c>
      <c r="F137" s="37">
        <f>SUMIFS(台帳!$I$2:$I$2000,台帳!$A$2:$A$2000,$A137,台帳!$E$2:$E$2000,F$4)</f>
        <v>0</v>
      </c>
      <c r="G137" s="37">
        <f>SUMIFS(台帳!$I$2:$I$2000,台帳!$A$2:$A$2000,$A137,台帳!$E$2:$E$2000,G$4)</f>
        <v>0</v>
      </c>
      <c r="H137" s="37">
        <f>SUMIFS(台帳!$I$2:$I$2000,台帳!$A$2:$A$2000,$A137,台帳!$E$2:$E$2000,H$4)</f>
        <v>0</v>
      </c>
      <c r="I137" s="37">
        <f>SUMIFS(台帳!$I$2:$I$2000,台帳!$A$2:$A$2000,$A137,台帳!$E$2:$E$2000,I$4)</f>
        <v>0</v>
      </c>
      <c r="J137" s="37">
        <f>SUMIFS(台帳!$I$2:$I$2000,台帳!$A$2:$A$2000,$A137,台帳!$E$2:$E$2000,J$4)</f>
        <v>0</v>
      </c>
      <c r="K137" s="37">
        <f>SUMIFS(台帳!$I$2:$I$2000,台帳!$A$2:$A$2000,$A137,台帳!$E$2:$E$2000,K$4)</f>
        <v>0</v>
      </c>
      <c r="L137" s="37">
        <f>SUMIFS(台帳!$I$2:$I$2000,台帳!$A$2:$A$2000,$A137,台帳!$E$2:$E$2000,L$4)</f>
        <v>2</v>
      </c>
      <c r="M137" s="37">
        <f>SUMIFS(台帳!$I$2:$I$2000,台帳!$A$2:$A$2000,$A137,台帳!$E$2:$E$2000,M$4)</f>
        <v>0</v>
      </c>
      <c r="N137" s="37">
        <f>SUMIFS(台帳!$I$2:$I$2000,台帳!$A$2:$A$2000,$A137,台帳!$E$2:$E$2000,N$4)</f>
        <v>4</v>
      </c>
      <c r="O137" s="37">
        <f>SUMIFS(台帳!$I$2:$I$2000,台帳!$A$2:$A$2000,$A137,台帳!$D$2:$D$2000,"自社")</f>
        <v>4</v>
      </c>
      <c r="P137" s="37">
        <f>SUMIFS(台帳!$I$2:$I$2000,台帳!$A$2:$A$2000,$A137,台帳!$D$2:$D$2000,"業者")</f>
        <v>2</v>
      </c>
      <c r="Q137" s="37">
        <f>SUM(C137:N137)</f>
        <v>6</v>
      </c>
      <c r="R137" s="37">
        <f>R136+C137</f>
        <v>0</v>
      </c>
      <c r="S137" s="37">
        <f>S136+D137</f>
        <v>7</v>
      </c>
      <c r="T137" s="37">
        <f>T136+E137</f>
        <v>6</v>
      </c>
      <c r="U137" s="37">
        <f>U136+F137</f>
        <v>30</v>
      </c>
      <c r="V137" s="37">
        <f>V136+G137</f>
        <v>51</v>
      </c>
      <c r="W137" s="37">
        <f>W136+H137</f>
        <v>87</v>
      </c>
      <c r="X137" s="37">
        <f>X136+I137</f>
        <v>22</v>
      </c>
      <c r="Y137" s="37">
        <f>Y136+J137</f>
        <v>24</v>
      </c>
      <c r="Z137" s="37">
        <f>Z136+K137</f>
        <v>19</v>
      </c>
      <c r="AA137" s="37">
        <f>AA136+L137</f>
        <v>8</v>
      </c>
      <c r="AB137" s="37">
        <f>AB136+M137</f>
        <v>4</v>
      </c>
      <c r="AC137" s="37">
        <f>AC136+N137</f>
        <v>9</v>
      </c>
      <c r="AD137" s="37">
        <f>AD136+O137</f>
        <v>173</v>
      </c>
      <c r="AE137" s="37">
        <f>AE136+P137</f>
        <v>94</v>
      </c>
      <c r="AF137" s="37">
        <f>AF136+Q137</f>
        <v>267</v>
      </c>
      <c r="AG137" s="38" t="str">
        <f>IFERROR(INDEX(台帳!$H$2:$H$2000,MATCH($A137,台帳!$A$2:$A$2000,0)),"")</f>
        <v>防風ネット巻き上げ、中城住宅建築予定のお客様 現場案内</v>
      </c>
    </row>
    <row r="138" spans="1:33" ht="15.75" x14ac:dyDescent="0.25">
      <c r="A138" s="31">
        <v>46265</v>
      </c>
      <c r="B138" s="32" t="str">
        <f>CHOOSE(WEEKDAY(A138),"日","月","火","水","木","金","土")</f>
        <v>月</v>
      </c>
      <c r="C138" s="33">
        <f>SUMIFS(台帳!$I$2:$I$2000,台帳!$A$2:$A$2000,$A138,台帳!$E$2:$E$2000,C$4)</f>
        <v>0</v>
      </c>
      <c r="D138" s="33">
        <f>SUMIFS(台帳!$I$2:$I$2000,台帳!$A$2:$A$2000,$A138,台帳!$E$2:$E$2000,D$4)</f>
        <v>0</v>
      </c>
      <c r="E138" s="33">
        <f>SUMIFS(台帳!$I$2:$I$2000,台帳!$A$2:$A$2000,$A138,台帳!$E$2:$E$2000,E$4)</f>
        <v>0</v>
      </c>
      <c r="F138" s="33">
        <f>SUMIFS(台帳!$I$2:$I$2000,台帳!$A$2:$A$2000,$A138,台帳!$E$2:$E$2000,F$4)</f>
        <v>0</v>
      </c>
      <c r="G138" s="33">
        <f>SUMIFS(台帳!$I$2:$I$2000,台帳!$A$2:$A$2000,$A138,台帳!$E$2:$E$2000,G$4)</f>
        <v>0</v>
      </c>
      <c r="H138" s="33">
        <f>SUMIFS(台帳!$I$2:$I$2000,台帳!$A$2:$A$2000,$A138,台帳!$E$2:$E$2000,H$4)</f>
        <v>0</v>
      </c>
      <c r="I138" s="33">
        <f>SUMIFS(台帳!$I$2:$I$2000,台帳!$A$2:$A$2000,$A138,台帳!$E$2:$E$2000,I$4)</f>
        <v>0</v>
      </c>
      <c r="J138" s="33">
        <f>SUMIFS(台帳!$I$2:$I$2000,台帳!$A$2:$A$2000,$A138,台帳!$E$2:$E$2000,J$4)</f>
        <v>3</v>
      </c>
      <c r="K138" s="33">
        <f>SUMIFS(台帳!$I$2:$I$2000,台帳!$A$2:$A$2000,$A138,台帳!$E$2:$E$2000,K$4)</f>
        <v>0</v>
      </c>
      <c r="L138" s="33">
        <f>SUMIFS(台帳!$I$2:$I$2000,台帳!$A$2:$A$2000,$A138,台帳!$E$2:$E$2000,L$4)</f>
        <v>0</v>
      </c>
      <c r="M138" s="33">
        <f>SUMIFS(台帳!$I$2:$I$2000,台帳!$A$2:$A$2000,$A138,台帳!$E$2:$E$2000,M$4)</f>
        <v>0</v>
      </c>
      <c r="N138" s="33">
        <f>SUMIFS(台帳!$I$2:$I$2000,台帳!$A$2:$A$2000,$A138,台帳!$E$2:$E$2000,N$4)</f>
        <v>0</v>
      </c>
      <c r="O138" s="33">
        <f>SUMIFS(台帳!$I$2:$I$2000,台帳!$A$2:$A$2000,$A138,台帳!$D$2:$D$2000,"自社")</f>
        <v>2</v>
      </c>
      <c r="P138" s="33">
        <f>SUMIFS(台帳!$I$2:$I$2000,台帳!$A$2:$A$2000,$A138,台帳!$D$2:$D$2000,"業者")</f>
        <v>1</v>
      </c>
      <c r="Q138" s="33">
        <f>SUM(C138:N138)</f>
        <v>3</v>
      </c>
      <c r="R138" s="33">
        <f>R137+C138</f>
        <v>0</v>
      </c>
      <c r="S138" s="33">
        <f>S137+D138</f>
        <v>7</v>
      </c>
      <c r="T138" s="33">
        <f>T137+E138</f>
        <v>6</v>
      </c>
      <c r="U138" s="33">
        <f>U137+F138</f>
        <v>30</v>
      </c>
      <c r="V138" s="33">
        <f>V137+G138</f>
        <v>51</v>
      </c>
      <c r="W138" s="33">
        <f>W137+H138</f>
        <v>87</v>
      </c>
      <c r="X138" s="33">
        <f>X137+I138</f>
        <v>22</v>
      </c>
      <c r="Y138" s="33">
        <f>Y137+J138</f>
        <v>27</v>
      </c>
      <c r="Z138" s="33">
        <f>Z137+K138</f>
        <v>19</v>
      </c>
      <c r="AA138" s="33">
        <f>AA137+L138</f>
        <v>8</v>
      </c>
      <c r="AB138" s="33">
        <f>AB137+M138</f>
        <v>4</v>
      </c>
      <c r="AC138" s="33">
        <f>AC137+N138</f>
        <v>9</v>
      </c>
      <c r="AD138" s="33">
        <f>AD137+O138</f>
        <v>175</v>
      </c>
      <c r="AE138" s="33">
        <f>AE137+P138</f>
        <v>95</v>
      </c>
      <c r="AF138" s="33">
        <f>AF137+Q138</f>
        <v>270</v>
      </c>
      <c r="AG138" s="34" t="str">
        <f>IFERROR(INDEX(台帳!$H$2:$H$2000,MATCH($A138,台帳!$A$2:$A$2000,0)),"")</f>
        <v>内部床ボンド清掃</v>
      </c>
    </row>
    <row r="139" spans="1:33" ht="15.75" x14ac:dyDescent="0.25">
      <c r="A139" s="31">
        <v>46266</v>
      </c>
      <c r="B139" s="32" t="str">
        <f>CHOOSE(WEEKDAY(A139),"日","月","火","水","木","金","土")</f>
        <v>火</v>
      </c>
      <c r="C139" s="33">
        <f>SUMIFS(台帳!$I$2:$I$2000,台帳!$A$2:$A$2000,$A139,台帳!$E$2:$E$2000,C$4)</f>
        <v>0</v>
      </c>
      <c r="D139" s="33">
        <f>SUMIFS(台帳!$I$2:$I$2000,台帳!$A$2:$A$2000,$A139,台帳!$E$2:$E$2000,D$4)</f>
        <v>0</v>
      </c>
      <c r="E139" s="33">
        <f>SUMIFS(台帳!$I$2:$I$2000,台帳!$A$2:$A$2000,$A139,台帳!$E$2:$E$2000,E$4)</f>
        <v>0</v>
      </c>
      <c r="F139" s="33">
        <f>SUMIFS(台帳!$I$2:$I$2000,台帳!$A$2:$A$2000,$A139,台帳!$E$2:$E$2000,F$4)</f>
        <v>0</v>
      </c>
      <c r="G139" s="33">
        <f>SUMIFS(台帳!$I$2:$I$2000,台帳!$A$2:$A$2000,$A139,台帳!$E$2:$E$2000,G$4)</f>
        <v>0</v>
      </c>
      <c r="H139" s="33">
        <f>SUMIFS(台帳!$I$2:$I$2000,台帳!$A$2:$A$2000,$A139,台帳!$E$2:$E$2000,H$4)</f>
        <v>0</v>
      </c>
      <c r="I139" s="33">
        <f>SUMIFS(台帳!$I$2:$I$2000,台帳!$A$2:$A$2000,$A139,台帳!$E$2:$E$2000,I$4)</f>
        <v>0</v>
      </c>
      <c r="J139" s="33">
        <f>SUMIFS(台帳!$I$2:$I$2000,台帳!$A$2:$A$2000,$A139,台帳!$E$2:$E$2000,J$4)</f>
        <v>1</v>
      </c>
      <c r="K139" s="33">
        <f>SUMIFS(台帳!$I$2:$I$2000,台帳!$A$2:$A$2000,$A139,台帳!$E$2:$E$2000,K$4)</f>
        <v>0</v>
      </c>
      <c r="L139" s="33">
        <f>SUMIFS(台帳!$I$2:$I$2000,台帳!$A$2:$A$2000,$A139,台帳!$E$2:$E$2000,L$4)</f>
        <v>0</v>
      </c>
      <c r="M139" s="33">
        <f>SUMIFS(台帳!$I$2:$I$2000,台帳!$A$2:$A$2000,$A139,台帳!$E$2:$E$2000,M$4)</f>
        <v>2</v>
      </c>
      <c r="N139" s="33">
        <f>SUMIFS(台帳!$I$2:$I$2000,台帳!$A$2:$A$2000,$A139,台帳!$E$2:$E$2000,N$4)</f>
        <v>0</v>
      </c>
      <c r="O139" s="33">
        <f>SUMIFS(台帳!$I$2:$I$2000,台帳!$A$2:$A$2000,$A139,台帳!$D$2:$D$2000,"自社")</f>
        <v>2</v>
      </c>
      <c r="P139" s="33">
        <f>SUMIFS(台帳!$I$2:$I$2000,台帳!$A$2:$A$2000,$A139,台帳!$D$2:$D$2000,"業者")</f>
        <v>1</v>
      </c>
      <c r="Q139" s="33">
        <f>SUM(C139:N139)</f>
        <v>3</v>
      </c>
      <c r="R139" s="33">
        <f>R138+C139</f>
        <v>0</v>
      </c>
      <c r="S139" s="33">
        <f>S138+D139</f>
        <v>7</v>
      </c>
      <c r="T139" s="33">
        <f>T138+E139</f>
        <v>6</v>
      </c>
      <c r="U139" s="33">
        <f>U138+F139</f>
        <v>30</v>
      </c>
      <c r="V139" s="33">
        <f>V138+G139</f>
        <v>51</v>
      </c>
      <c r="W139" s="33">
        <f>W138+H139</f>
        <v>87</v>
      </c>
      <c r="X139" s="33">
        <f>X138+I139</f>
        <v>22</v>
      </c>
      <c r="Y139" s="33">
        <f>Y138+J139</f>
        <v>28</v>
      </c>
      <c r="Z139" s="33">
        <f>Z138+K139</f>
        <v>19</v>
      </c>
      <c r="AA139" s="33">
        <f>AA138+L139</f>
        <v>8</v>
      </c>
      <c r="AB139" s="33">
        <f>AB138+M139</f>
        <v>6</v>
      </c>
      <c r="AC139" s="33">
        <f>AC138+N139</f>
        <v>9</v>
      </c>
      <c r="AD139" s="33">
        <f>AD138+O139</f>
        <v>177</v>
      </c>
      <c r="AE139" s="33">
        <f>AE138+P139</f>
        <v>96</v>
      </c>
      <c r="AF139" s="33">
        <f>AF138+Q139</f>
        <v>273</v>
      </c>
      <c r="AG139" s="34" t="str">
        <f>IFERROR(INDEX(台帳!$H$2:$H$2000,MATCH($A139,台帳!$A$2:$A$2000,0)),"")</f>
        <v>外構土間整地</v>
      </c>
    </row>
    <row r="140" spans="1:33" ht="15.75" x14ac:dyDescent="0.25">
      <c r="A140" s="31">
        <v>46267</v>
      </c>
      <c r="B140" s="32" t="str">
        <f>CHOOSE(WEEKDAY(A140),"日","月","火","水","木","金","土")</f>
        <v>水</v>
      </c>
      <c r="C140" s="33">
        <f>SUMIFS(台帳!$I$2:$I$2000,台帳!$A$2:$A$2000,$A140,台帳!$E$2:$E$2000,C$4)</f>
        <v>0</v>
      </c>
      <c r="D140" s="33">
        <f>SUMIFS(台帳!$I$2:$I$2000,台帳!$A$2:$A$2000,$A140,台帳!$E$2:$E$2000,D$4)</f>
        <v>0</v>
      </c>
      <c r="E140" s="33">
        <f>SUMIFS(台帳!$I$2:$I$2000,台帳!$A$2:$A$2000,$A140,台帳!$E$2:$E$2000,E$4)</f>
        <v>0</v>
      </c>
      <c r="F140" s="33">
        <f>SUMIFS(台帳!$I$2:$I$2000,台帳!$A$2:$A$2000,$A140,台帳!$E$2:$E$2000,F$4)</f>
        <v>0</v>
      </c>
      <c r="G140" s="33">
        <f>SUMIFS(台帳!$I$2:$I$2000,台帳!$A$2:$A$2000,$A140,台帳!$E$2:$E$2000,G$4)</f>
        <v>0</v>
      </c>
      <c r="H140" s="33">
        <f>SUMIFS(台帳!$I$2:$I$2000,台帳!$A$2:$A$2000,$A140,台帳!$E$2:$E$2000,H$4)</f>
        <v>0</v>
      </c>
      <c r="I140" s="33">
        <f>SUMIFS(台帳!$I$2:$I$2000,台帳!$A$2:$A$2000,$A140,台帳!$E$2:$E$2000,I$4)</f>
        <v>0</v>
      </c>
      <c r="J140" s="33">
        <f>SUMIFS(台帳!$I$2:$I$2000,台帳!$A$2:$A$2000,$A140,台帳!$E$2:$E$2000,J$4)</f>
        <v>0</v>
      </c>
      <c r="K140" s="33">
        <f>SUMIFS(台帳!$I$2:$I$2000,台帳!$A$2:$A$2000,$A140,台帳!$E$2:$E$2000,K$4)</f>
        <v>0</v>
      </c>
      <c r="L140" s="33">
        <f>SUMIFS(台帳!$I$2:$I$2000,台帳!$A$2:$A$2000,$A140,台帳!$E$2:$E$2000,L$4)</f>
        <v>0</v>
      </c>
      <c r="M140" s="33">
        <f>SUMIFS(台帳!$I$2:$I$2000,台帳!$A$2:$A$2000,$A140,台帳!$E$2:$E$2000,M$4)</f>
        <v>3</v>
      </c>
      <c r="N140" s="33">
        <f>SUMIFS(台帳!$I$2:$I$2000,台帳!$A$2:$A$2000,$A140,台帳!$E$2:$E$2000,N$4)</f>
        <v>0</v>
      </c>
      <c r="O140" s="33">
        <f>SUMIFS(台帳!$I$2:$I$2000,台帳!$A$2:$A$2000,$A140,台帳!$D$2:$D$2000,"自社")</f>
        <v>3</v>
      </c>
      <c r="P140" s="33">
        <f>SUMIFS(台帳!$I$2:$I$2000,台帳!$A$2:$A$2000,$A140,台帳!$D$2:$D$2000,"業者")</f>
        <v>0</v>
      </c>
      <c r="Q140" s="33">
        <f>SUM(C140:N140)</f>
        <v>3</v>
      </c>
      <c r="R140" s="33">
        <f>R139+C140</f>
        <v>0</v>
      </c>
      <c r="S140" s="33">
        <f>S139+D140</f>
        <v>7</v>
      </c>
      <c r="T140" s="33">
        <f>T139+E140</f>
        <v>6</v>
      </c>
      <c r="U140" s="33">
        <f>U139+F140</f>
        <v>30</v>
      </c>
      <c r="V140" s="33">
        <f>V139+G140</f>
        <v>51</v>
      </c>
      <c r="W140" s="33">
        <f>W139+H140</f>
        <v>87</v>
      </c>
      <c r="X140" s="33">
        <f>X139+I140</f>
        <v>22</v>
      </c>
      <c r="Y140" s="33">
        <f>Y139+J140</f>
        <v>28</v>
      </c>
      <c r="Z140" s="33">
        <f>Z139+K140</f>
        <v>19</v>
      </c>
      <c r="AA140" s="33">
        <f>AA139+L140</f>
        <v>8</v>
      </c>
      <c r="AB140" s="33">
        <f>AB139+M140</f>
        <v>9</v>
      </c>
      <c r="AC140" s="33">
        <f>AC139+N140</f>
        <v>9</v>
      </c>
      <c r="AD140" s="33">
        <f>AD139+O140</f>
        <v>180</v>
      </c>
      <c r="AE140" s="33">
        <f>AE139+P140</f>
        <v>96</v>
      </c>
      <c r="AF140" s="33">
        <f>AF139+Q140</f>
        <v>276</v>
      </c>
      <c r="AG140" s="34" t="str">
        <f>IFERROR(INDEX(台帳!$H$2:$H$2000,MATCH($A140,台帳!$A$2:$A$2000,0)),"")</f>
        <v>外構土間整地掘削（2tダンプ追加）</v>
      </c>
    </row>
    <row r="141" spans="1:33" ht="15.75" x14ac:dyDescent="0.25">
      <c r="A141" s="39" t="s">
        <v>421</v>
      </c>
      <c r="B141" s="39"/>
      <c r="C141" s="40">
        <f>SUM(C5:C140)</f>
        <v>0</v>
      </c>
      <c r="D141" s="40">
        <f>SUM(D5:D140)</f>
        <v>7</v>
      </c>
      <c r="E141" s="40">
        <f>SUM(E5:E140)</f>
        <v>6</v>
      </c>
      <c r="F141" s="40">
        <f>SUM(F5:F140)</f>
        <v>30</v>
      </c>
      <c r="G141" s="40">
        <f>SUM(G5:G140)</f>
        <v>51</v>
      </c>
      <c r="H141" s="40">
        <f>SUM(H5:H140)</f>
        <v>87</v>
      </c>
      <c r="I141" s="40">
        <f>SUM(I5:I140)</f>
        <v>22</v>
      </c>
      <c r="J141" s="40">
        <f>SUM(J5:J140)</f>
        <v>28</v>
      </c>
      <c r="K141" s="40">
        <f>SUM(K5:K140)</f>
        <v>19</v>
      </c>
      <c r="L141" s="40">
        <f>SUM(L5:L140)</f>
        <v>8</v>
      </c>
      <c r="M141" s="40">
        <f>SUM(M5:M140)</f>
        <v>9</v>
      </c>
      <c r="N141" s="40">
        <f>SUM(N5:N140)</f>
        <v>9</v>
      </c>
      <c r="O141" s="40">
        <f>SUM(O5:O140)</f>
        <v>180</v>
      </c>
      <c r="P141" s="40">
        <f>SUM(P5:P140)</f>
        <v>96</v>
      </c>
      <c r="Q141" s="40">
        <f>SUM(Q5:Q140)</f>
        <v>276</v>
      </c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41"/>
    </row>
  </sheetData>
  <printOptions horizontalCentered="1"/>
  <pageMargins left="0.4" right="0.4" top="0.5" bottom="0.5" header="0.25" footer="0.25"/>
  <pageSetup paperSize="9" fitToHeight="0" orientation="landscape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  <pageSetUpPr fitToPage="1"/>
  </sheetPr>
  <dimension ref="A1:AR141"/>
  <sheetViews>
    <sheetView zoomScale="90" zoomScaleNormal="90" workbookViewId="0">
      <pane xSplit="2" ySplit="4" topLeftCell="C5" activePane="bottomRight" state="frozen"/>
      <selection pane="bottomLeft" activeCell="A5" sqref="A5"/>
      <selection pane="topRight" activeCell="C1" sqref="C1"/>
      <selection pane="bottomRight"/>
    </sheetView>
  </sheetViews>
  <sheetFormatPr defaultColWidth="8.7421875" defaultRowHeight="15" x14ac:dyDescent="0.2"/>
  <cols>
    <col min="1" max="1" width="6.9921875" customWidth="1"/>
    <col min="2" max="2" width="4.03515625" customWidth="1"/>
    <col min="3" max="44" width="7.53125" customWidth="1"/>
  </cols>
  <sheetData>
    <row r="1" spans="1:44" ht="18.75" x14ac:dyDescent="0.25">
      <c r="A1" s="3" t="s">
        <v>438</v>
      </c>
    </row>
    <row r="2" spans="1:44" x14ac:dyDescent="0.2">
      <c r="A2" s="15" t="s">
        <v>439</v>
      </c>
    </row>
    <row r="3" spans="1:44" ht="17.25" x14ac:dyDescent="0.2">
      <c r="C3" s="42" t="s">
        <v>368</v>
      </c>
      <c r="D3" s="42" t="s">
        <v>368</v>
      </c>
      <c r="E3" s="42" t="s">
        <v>372</v>
      </c>
      <c r="F3" s="42" t="s">
        <v>372</v>
      </c>
      <c r="G3" s="42" t="s">
        <v>375</v>
      </c>
      <c r="H3" s="42" t="s">
        <v>377</v>
      </c>
      <c r="I3" s="42" t="s">
        <v>380</v>
      </c>
      <c r="J3" s="42" t="s">
        <v>380</v>
      </c>
      <c r="K3" s="42" t="s">
        <v>380</v>
      </c>
      <c r="L3" s="42" t="s">
        <v>380</v>
      </c>
      <c r="M3" s="42" t="s">
        <v>380</v>
      </c>
      <c r="N3" s="42" t="s">
        <v>380</v>
      </c>
      <c r="O3" s="42" t="s">
        <v>380</v>
      </c>
      <c r="P3" s="42" t="s">
        <v>382</v>
      </c>
      <c r="Q3" s="42" t="s">
        <v>382</v>
      </c>
      <c r="R3" s="42" t="s">
        <v>382</v>
      </c>
      <c r="S3" s="42" t="s">
        <v>382</v>
      </c>
      <c r="T3" s="42" t="s">
        <v>382</v>
      </c>
      <c r="U3" s="42" t="s">
        <v>382</v>
      </c>
      <c r="V3" s="42" t="s">
        <v>382</v>
      </c>
      <c r="W3" s="42" t="s">
        <v>382</v>
      </c>
      <c r="X3" s="42" t="s">
        <v>382</v>
      </c>
      <c r="Y3" s="42" t="s">
        <v>384</v>
      </c>
      <c r="Z3" s="42" t="s">
        <v>384</v>
      </c>
      <c r="AA3" s="42" t="s">
        <v>384</v>
      </c>
      <c r="AB3" s="42" t="s">
        <v>384</v>
      </c>
      <c r="AC3" s="42" t="s">
        <v>384</v>
      </c>
      <c r="AD3" s="42" t="s">
        <v>387</v>
      </c>
      <c r="AE3" s="42" t="s">
        <v>387</v>
      </c>
      <c r="AF3" s="42" t="s">
        <v>387</v>
      </c>
      <c r="AG3" s="42" t="s">
        <v>389</v>
      </c>
      <c r="AH3" s="42" t="s">
        <v>389</v>
      </c>
      <c r="AI3" s="42" t="s">
        <v>392</v>
      </c>
      <c r="AJ3" s="42" t="s">
        <v>392</v>
      </c>
      <c r="AK3" s="42" t="s">
        <v>392</v>
      </c>
      <c r="AL3" s="42" t="s">
        <v>392</v>
      </c>
      <c r="AM3" s="42" t="s">
        <v>394</v>
      </c>
      <c r="AN3" s="42" t="s">
        <v>394</v>
      </c>
      <c r="AO3" s="42" t="s">
        <v>396</v>
      </c>
      <c r="AP3" s="42" t="s">
        <v>396</v>
      </c>
      <c r="AQ3" s="42" t="s">
        <v>396</v>
      </c>
    </row>
    <row r="4" spans="1:44" ht="94.5" customHeight="1" x14ac:dyDescent="0.2">
      <c r="A4" s="5" t="s">
        <v>105</v>
      </c>
      <c r="B4" s="5" t="s">
        <v>106</v>
      </c>
      <c r="C4" s="43" t="s">
        <v>369</v>
      </c>
      <c r="D4" s="43" t="s">
        <v>153</v>
      </c>
      <c r="E4" s="43" t="s">
        <v>116</v>
      </c>
      <c r="F4" s="43" t="s">
        <v>122</v>
      </c>
      <c r="G4" s="43" t="s">
        <v>135</v>
      </c>
      <c r="H4" s="43" t="s">
        <v>139</v>
      </c>
      <c r="I4" s="43" t="s">
        <v>149</v>
      </c>
      <c r="J4" s="43" t="s">
        <v>167</v>
      </c>
      <c r="K4" s="43" t="s">
        <v>172</v>
      </c>
      <c r="L4" s="43" t="s">
        <v>178</v>
      </c>
      <c r="M4" s="43" t="s">
        <v>182</v>
      </c>
      <c r="N4" s="43" t="s">
        <v>187</v>
      </c>
      <c r="O4" s="43" t="s">
        <v>204</v>
      </c>
      <c r="P4" s="43" t="s">
        <v>209</v>
      </c>
      <c r="Q4" s="43" t="s">
        <v>222</v>
      </c>
      <c r="R4" s="43" t="s">
        <v>230</v>
      </c>
      <c r="S4" s="43" t="s">
        <v>233</v>
      </c>
      <c r="T4" s="43" t="s">
        <v>398</v>
      </c>
      <c r="U4" s="43" t="s">
        <v>258</v>
      </c>
      <c r="V4" s="43" t="s">
        <v>283</v>
      </c>
      <c r="W4" s="43" t="s">
        <v>440</v>
      </c>
      <c r="X4" s="43" t="s">
        <v>322</v>
      </c>
      <c r="Y4" s="43" t="s">
        <v>297</v>
      </c>
      <c r="Z4" s="43" t="s">
        <v>246</v>
      </c>
      <c r="AA4" s="43" t="s">
        <v>255</v>
      </c>
      <c r="AB4" s="43" t="s">
        <v>274</v>
      </c>
      <c r="AC4" s="43" t="s">
        <v>325</v>
      </c>
      <c r="AD4" s="43" t="s">
        <v>306</v>
      </c>
      <c r="AE4" s="43" t="s">
        <v>316</v>
      </c>
      <c r="AF4" s="43" t="s">
        <v>352</v>
      </c>
      <c r="AG4" s="43" t="s">
        <v>252</v>
      </c>
      <c r="AH4" s="43" t="s">
        <v>334</v>
      </c>
      <c r="AI4" s="43" t="s">
        <v>212</v>
      </c>
      <c r="AJ4" s="43" t="s">
        <v>271</v>
      </c>
      <c r="AK4" s="43" t="s">
        <v>348</v>
      </c>
      <c r="AL4" s="43" t="s">
        <v>328</v>
      </c>
      <c r="AM4" s="43" t="s">
        <v>356</v>
      </c>
      <c r="AN4" s="43" t="s">
        <v>310</v>
      </c>
      <c r="AO4" s="43" t="s">
        <v>242</v>
      </c>
      <c r="AP4" s="43" t="s">
        <v>341</v>
      </c>
      <c r="AQ4" s="43" t="s">
        <v>98</v>
      </c>
      <c r="AR4" s="43" t="s">
        <v>421</v>
      </c>
    </row>
    <row r="5" spans="1:44" ht="17.25" x14ac:dyDescent="0.35">
      <c r="A5" s="44">
        <v>46132</v>
      </c>
      <c r="B5" s="45" t="str">
        <f>CHOOSE(WEEKDAY(A5),"日","月","火","水","木","金","土")</f>
        <v>月</v>
      </c>
      <c r="C5" s="46">
        <f>SUMIFS(台帳!$I$2:$I$2000,台帳!$A$2:$A$2000,$A5,台帳!$F$2:$F$2000,C$4)</f>
        <v>0</v>
      </c>
      <c r="D5" s="46">
        <f>SUMIFS(台帳!$I$2:$I$2000,台帳!$A$2:$A$2000,$A5,台帳!$F$2:$F$2000,D$4)</f>
        <v>0</v>
      </c>
      <c r="E5" s="46">
        <f>SUMIFS(台帳!$I$2:$I$2000,台帳!$A$2:$A$2000,$A5,台帳!$F$2:$F$2000,E$4)</f>
        <v>2</v>
      </c>
      <c r="F5" s="46">
        <f>SUMIFS(台帳!$I$2:$I$2000,台帳!$A$2:$A$2000,$A5,台帳!$F$2:$F$2000,F$4)</f>
        <v>0</v>
      </c>
      <c r="G5" s="46">
        <f>SUMIFS(台帳!$I$2:$I$2000,台帳!$A$2:$A$2000,$A5,台帳!$F$2:$F$2000,G$4)</f>
        <v>0</v>
      </c>
      <c r="H5" s="46">
        <f>SUMIFS(台帳!$I$2:$I$2000,台帳!$A$2:$A$2000,$A5,台帳!$F$2:$F$2000,H$4)</f>
        <v>0</v>
      </c>
      <c r="I5" s="46">
        <f>SUMIFS(台帳!$I$2:$I$2000,台帳!$A$2:$A$2000,$A5,台帳!$F$2:$F$2000,I$4)</f>
        <v>0</v>
      </c>
      <c r="J5" s="46">
        <f>SUMIFS(台帳!$I$2:$I$2000,台帳!$A$2:$A$2000,$A5,台帳!$F$2:$F$2000,J$4)</f>
        <v>0</v>
      </c>
      <c r="K5" s="46">
        <f>SUMIFS(台帳!$I$2:$I$2000,台帳!$A$2:$A$2000,$A5,台帳!$F$2:$F$2000,K$4)</f>
        <v>0</v>
      </c>
      <c r="L5" s="46">
        <f>SUMIFS(台帳!$I$2:$I$2000,台帳!$A$2:$A$2000,$A5,台帳!$F$2:$F$2000,L$4)</f>
        <v>0</v>
      </c>
      <c r="M5" s="46">
        <f>SUMIFS(台帳!$I$2:$I$2000,台帳!$A$2:$A$2000,$A5,台帳!$F$2:$F$2000,M$4)</f>
        <v>0</v>
      </c>
      <c r="N5" s="46">
        <f>SUMIFS(台帳!$I$2:$I$2000,台帳!$A$2:$A$2000,$A5,台帳!$F$2:$F$2000,N$4)</f>
        <v>0</v>
      </c>
      <c r="O5" s="46">
        <f>SUMIFS(台帳!$I$2:$I$2000,台帳!$A$2:$A$2000,$A5,台帳!$F$2:$F$2000,O$4)</f>
        <v>0</v>
      </c>
      <c r="P5" s="46">
        <f>SUMIFS(台帳!$I$2:$I$2000,台帳!$A$2:$A$2000,$A5,台帳!$F$2:$F$2000,P$4)</f>
        <v>0</v>
      </c>
      <c r="Q5" s="46">
        <f>SUMIFS(台帳!$I$2:$I$2000,台帳!$A$2:$A$2000,$A5,台帳!$F$2:$F$2000,Q$4)</f>
        <v>0</v>
      </c>
      <c r="R5" s="46">
        <f>SUMIFS(台帳!$I$2:$I$2000,台帳!$A$2:$A$2000,$A5,台帳!$F$2:$F$2000,R$4)</f>
        <v>0</v>
      </c>
      <c r="S5" s="46">
        <f>SUMIFS(台帳!$I$2:$I$2000,台帳!$A$2:$A$2000,$A5,台帳!$F$2:$F$2000,S$4)</f>
        <v>0</v>
      </c>
      <c r="T5" s="46">
        <f>SUMIFS(台帳!$I$2:$I$2000,台帳!$A$2:$A$2000,$A5,台帳!$F$2:$F$2000,T$4)</f>
        <v>0</v>
      </c>
      <c r="U5" s="46">
        <f>SUMIFS(台帳!$I$2:$I$2000,台帳!$A$2:$A$2000,$A5,台帳!$F$2:$F$2000,U$4)</f>
        <v>0</v>
      </c>
      <c r="V5" s="46">
        <f>SUMIFS(台帳!$I$2:$I$2000,台帳!$A$2:$A$2000,$A5,台帳!$F$2:$F$2000,V$4)</f>
        <v>0</v>
      </c>
      <c r="W5" s="46">
        <f>SUMIFS(台帳!$I$2:$I$2000,台帳!$A$2:$A$2000,$A5,台帳!$F$2:$F$2000,W$4)</f>
        <v>0</v>
      </c>
      <c r="X5" s="46">
        <f>SUMIFS(台帳!$I$2:$I$2000,台帳!$A$2:$A$2000,$A5,台帳!$F$2:$F$2000,X$4)</f>
        <v>0</v>
      </c>
      <c r="Y5" s="46">
        <f>SUMIFS(台帳!$I$2:$I$2000,台帳!$A$2:$A$2000,$A5,台帳!$F$2:$F$2000,Y$4)</f>
        <v>0</v>
      </c>
      <c r="Z5" s="46">
        <f>SUMIFS(台帳!$I$2:$I$2000,台帳!$A$2:$A$2000,$A5,台帳!$F$2:$F$2000,Z$4)</f>
        <v>0</v>
      </c>
      <c r="AA5" s="46">
        <f>SUMIFS(台帳!$I$2:$I$2000,台帳!$A$2:$A$2000,$A5,台帳!$F$2:$F$2000,AA$4)</f>
        <v>0</v>
      </c>
      <c r="AB5" s="46">
        <f>SUMIFS(台帳!$I$2:$I$2000,台帳!$A$2:$A$2000,$A5,台帳!$F$2:$F$2000,AB$4)</f>
        <v>0</v>
      </c>
      <c r="AC5" s="46">
        <f>SUMIFS(台帳!$I$2:$I$2000,台帳!$A$2:$A$2000,$A5,台帳!$F$2:$F$2000,AC$4)</f>
        <v>0</v>
      </c>
      <c r="AD5" s="46">
        <f>SUMIFS(台帳!$I$2:$I$2000,台帳!$A$2:$A$2000,$A5,台帳!$F$2:$F$2000,AD$4)</f>
        <v>0</v>
      </c>
      <c r="AE5" s="46">
        <f>SUMIFS(台帳!$I$2:$I$2000,台帳!$A$2:$A$2000,$A5,台帳!$F$2:$F$2000,AE$4)</f>
        <v>0</v>
      </c>
      <c r="AF5" s="46">
        <f>SUMIFS(台帳!$I$2:$I$2000,台帳!$A$2:$A$2000,$A5,台帳!$F$2:$F$2000,AF$4)</f>
        <v>0</v>
      </c>
      <c r="AG5" s="46">
        <f>SUMIFS(台帳!$I$2:$I$2000,台帳!$A$2:$A$2000,$A5,台帳!$F$2:$F$2000,AG$4)</f>
        <v>0</v>
      </c>
      <c r="AH5" s="46">
        <f>SUMIFS(台帳!$I$2:$I$2000,台帳!$A$2:$A$2000,$A5,台帳!$F$2:$F$2000,AH$4)</f>
        <v>0</v>
      </c>
      <c r="AI5" s="46">
        <f>SUMIFS(台帳!$I$2:$I$2000,台帳!$A$2:$A$2000,$A5,台帳!$F$2:$F$2000,AI$4)</f>
        <v>0</v>
      </c>
      <c r="AJ5" s="46">
        <f>SUMIFS(台帳!$I$2:$I$2000,台帳!$A$2:$A$2000,$A5,台帳!$F$2:$F$2000,AJ$4)</f>
        <v>0</v>
      </c>
      <c r="AK5" s="46">
        <f>SUMIFS(台帳!$I$2:$I$2000,台帳!$A$2:$A$2000,$A5,台帳!$F$2:$F$2000,AK$4)</f>
        <v>0</v>
      </c>
      <c r="AL5" s="46">
        <f>SUMIFS(台帳!$I$2:$I$2000,台帳!$A$2:$A$2000,$A5,台帳!$F$2:$F$2000,AL$4)</f>
        <v>0</v>
      </c>
      <c r="AM5" s="46">
        <f>SUMIFS(台帳!$I$2:$I$2000,台帳!$A$2:$A$2000,$A5,台帳!$F$2:$F$2000,AM$4)</f>
        <v>0</v>
      </c>
      <c r="AN5" s="46">
        <f>SUMIFS(台帳!$I$2:$I$2000,台帳!$A$2:$A$2000,$A5,台帳!$F$2:$F$2000,AN$4)</f>
        <v>0</v>
      </c>
      <c r="AO5" s="46">
        <f>SUMIFS(台帳!$I$2:$I$2000,台帳!$A$2:$A$2000,$A5,台帳!$F$2:$F$2000,AO$4)</f>
        <v>0</v>
      </c>
      <c r="AP5" s="46">
        <f>SUMIFS(台帳!$I$2:$I$2000,台帳!$A$2:$A$2000,$A5,台帳!$F$2:$F$2000,AP$4)</f>
        <v>0</v>
      </c>
      <c r="AQ5" s="46">
        <f>SUMIFS(台帳!$I$2:$I$2000,台帳!$A$2:$A$2000,$A5,台帳!$F$2:$F$2000,AQ$4)</f>
        <v>0</v>
      </c>
      <c r="AR5" s="46">
        <f>SUM(C5:AQ5)</f>
        <v>2</v>
      </c>
    </row>
    <row r="6" spans="1:44" ht="17.25" x14ac:dyDescent="0.35">
      <c r="A6" s="44">
        <v>46133</v>
      </c>
      <c r="B6" s="45" t="str">
        <f>CHOOSE(WEEKDAY(A6),"日","月","火","水","木","金","土")</f>
        <v>火</v>
      </c>
      <c r="C6" s="46">
        <f>SUMIFS(台帳!$I$2:$I$2000,台帳!$A$2:$A$2000,$A6,台帳!$F$2:$F$2000,C$4)</f>
        <v>0</v>
      </c>
      <c r="D6" s="46">
        <f>SUMIFS(台帳!$I$2:$I$2000,台帳!$A$2:$A$2000,$A6,台帳!$F$2:$F$2000,D$4)</f>
        <v>0</v>
      </c>
      <c r="E6" s="46">
        <f>SUMIFS(台帳!$I$2:$I$2000,台帳!$A$2:$A$2000,$A6,台帳!$F$2:$F$2000,E$4)</f>
        <v>2</v>
      </c>
      <c r="F6" s="46">
        <f>SUMIFS(台帳!$I$2:$I$2000,台帳!$A$2:$A$2000,$A6,台帳!$F$2:$F$2000,F$4)</f>
        <v>0</v>
      </c>
      <c r="G6" s="46">
        <f>SUMIFS(台帳!$I$2:$I$2000,台帳!$A$2:$A$2000,$A6,台帳!$F$2:$F$2000,G$4)</f>
        <v>0</v>
      </c>
      <c r="H6" s="46">
        <f>SUMIFS(台帳!$I$2:$I$2000,台帳!$A$2:$A$2000,$A6,台帳!$F$2:$F$2000,H$4)</f>
        <v>0</v>
      </c>
      <c r="I6" s="46">
        <f>SUMIFS(台帳!$I$2:$I$2000,台帳!$A$2:$A$2000,$A6,台帳!$F$2:$F$2000,I$4)</f>
        <v>0</v>
      </c>
      <c r="J6" s="46">
        <f>SUMIFS(台帳!$I$2:$I$2000,台帳!$A$2:$A$2000,$A6,台帳!$F$2:$F$2000,J$4)</f>
        <v>0</v>
      </c>
      <c r="K6" s="46">
        <f>SUMIFS(台帳!$I$2:$I$2000,台帳!$A$2:$A$2000,$A6,台帳!$F$2:$F$2000,K$4)</f>
        <v>0</v>
      </c>
      <c r="L6" s="46">
        <f>SUMIFS(台帳!$I$2:$I$2000,台帳!$A$2:$A$2000,$A6,台帳!$F$2:$F$2000,L$4)</f>
        <v>0</v>
      </c>
      <c r="M6" s="46">
        <f>SUMIFS(台帳!$I$2:$I$2000,台帳!$A$2:$A$2000,$A6,台帳!$F$2:$F$2000,M$4)</f>
        <v>0</v>
      </c>
      <c r="N6" s="46">
        <f>SUMIFS(台帳!$I$2:$I$2000,台帳!$A$2:$A$2000,$A6,台帳!$F$2:$F$2000,N$4)</f>
        <v>0</v>
      </c>
      <c r="O6" s="46">
        <f>SUMIFS(台帳!$I$2:$I$2000,台帳!$A$2:$A$2000,$A6,台帳!$F$2:$F$2000,O$4)</f>
        <v>0</v>
      </c>
      <c r="P6" s="46">
        <f>SUMIFS(台帳!$I$2:$I$2000,台帳!$A$2:$A$2000,$A6,台帳!$F$2:$F$2000,P$4)</f>
        <v>0</v>
      </c>
      <c r="Q6" s="46">
        <f>SUMIFS(台帳!$I$2:$I$2000,台帳!$A$2:$A$2000,$A6,台帳!$F$2:$F$2000,Q$4)</f>
        <v>0</v>
      </c>
      <c r="R6" s="46">
        <f>SUMIFS(台帳!$I$2:$I$2000,台帳!$A$2:$A$2000,$A6,台帳!$F$2:$F$2000,R$4)</f>
        <v>0</v>
      </c>
      <c r="S6" s="46">
        <f>SUMIFS(台帳!$I$2:$I$2000,台帳!$A$2:$A$2000,$A6,台帳!$F$2:$F$2000,S$4)</f>
        <v>0</v>
      </c>
      <c r="T6" s="46">
        <f>SUMIFS(台帳!$I$2:$I$2000,台帳!$A$2:$A$2000,$A6,台帳!$F$2:$F$2000,T$4)</f>
        <v>0</v>
      </c>
      <c r="U6" s="46">
        <f>SUMIFS(台帳!$I$2:$I$2000,台帳!$A$2:$A$2000,$A6,台帳!$F$2:$F$2000,U$4)</f>
        <v>0</v>
      </c>
      <c r="V6" s="46">
        <f>SUMIFS(台帳!$I$2:$I$2000,台帳!$A$2:$A$2000,$A6,台帳!$F$2:$F$2000,V$4)</f>
        <v>0</v>
      </c>
      <c r="W6" s="46">
        <f>SUMIFS(台帳!$I$2:$I$2000,台帳!$A$2:$A$2000,$A6,台帳!$F$2:$F$2000,W$4)</f>
        <v>0</v>
      </c>
      <c r="X6" s="46">
        <f>SUMIFS(台帳!$I$2:$I$2000,台帳!$A$2:$A$2000,$A6,台帳!$F$2:$F$2000,X$4)</f>
        <v>0</v>
      </c>
      <c r="Y6" s="46">
        <f>SUMIFS(台帳!$I$2:$I$2000,台帳!$A$2:$A$2000,$A6,台帳!$F$2:$F$2000,Y$4)</f>
        <v>0</v>
      </c>
      <c r="Z6" s="46">
        <f>SUMIFS(台帳!$I$2:$I$2000,台帳!$A$2:$A$2000,$A6,台帳!$F$2:$F$2000,Z$4)</f>
        <v>0</v>
      </c>
      <c r="AA6" s="46">
        <f>SUMIFS(台帳!$I$2:$I$2000,台帳!$A$2:$A$2000,$A6,台帳!$F$2:$F$2000,AA$4)</f>
        <v>0</v>
      </c>
      <c r="AB6" s="46">
        <f>SUMIFS(台帳!$I$2:$I$2000,台帳!$A$2:$A$2000,$A6,台帳!$F$2:$F$2000,AB$4)</f>
        <v>0</v>
      </c>
      <c r="AC6" s="46">
        <f>SUMIFS(台帳!$I$2:$I$2000,台帳!$A$2:$A$2000,$A6,台帳!$F$2:$F$2000,AC$4)</f>
        <v>0</v>
      </c>
      <c r="AD6" s="46">
        <f>SUMIFS(台帳!$I$2:$I$2000,台帳!$A$2:$A$2000,$A6,台帳!$F$2:$F$2000,AD$4)</f>
        <v>0</v>
      </c>
      <c r="AE6" s="46">
        <f>SUMIFS(台帳!$I$2:$I$2000,台帳!$A$2:$A$2000,$A6,台帳!$F$2:$F$2000,AE$4)</f>
        <v>0</v>
      </c>
      <c r="AF6" s="46">
        <f>SUMIFS(台帳!$I$2:$I$2000,台帳!$A$2:$A$2000,$A6,台帳!$F$2:$F$2000,AF$4)</f>
        <v>0</v>
      </c>
      <c r="AG6" s="46">
        <f>SUMIFS(台帳!$I$2:$I$2000,台帳!$A$2:$A$2000,$A6,台帳!$F$2:$F$2000,AG$4)</f>
        <v>0</v>
      </c>
      <c r="AH6" s="46">
        <f>SUMIFS(台帳!$I$2:$I$2000,台帳!$A$2:$A$2000,$A6,台帳!$F$2:$F$2000,AH$4)</f>
        <v>0</v>
      </c>
      <c r="AI6" s="46">
        <f>SUMIFS(台帳!$I$2:$I$2000,台帳!$A$2:$A$2000,$A6,台帳!$F$2:$F$2000,AI$4)</f>
        <v>0</v>
      </c>
      <c r="AJ6" s="46">
        <f>SUMIFS(台帳!$I$2:$I$2000,台帳!$A$2:$A$2000,$A6,台帳!$F$2:$F$2000,AJ$4)</f>
        <v>0</v>
      </c>
      <c r="AK6" s="46">
        <f>SUMIFS(台帳!$I$2:$I$2000,台帳!$A$2:$A$2000,$A6,台帳!$F$2:$F$2000,AK$4)</f>
        <v>0</v>
      </c>
      <c r="AL6" s="46">
        <f>SUMIFS(台帳!$I$2:$I$2000,台帳!$A$2:$A$2000,$A6,台帳!$F$2:$F$2000,AL$4)</f>
        <v>0</v>
      </c>
      <c r="AM6" s="46">
        <f>SUMIFS(台帳!$I$2:$I$2000,台帳!$A$2:$A$2000,$A6,台帳!$F$2:$F$2000,AM$4)</f>
        <v>0</v>
      </c>
      <c r="AN6" s="46">
        <f>SUMIFS(台帳!$I$2:$I$2000,台帳!$A$2:$A$2000,$A6,台帳!$F$2:$F$2000,AN$4)</f>
        <v>0</v>
      </c>
      <c r="AO6" s="46">
        <f>SUMIFS(台帳!$I$2:$I$2000,台帳!$A$2:$A$2000,$A6,台帳!$F$2:$F$2000,AO$4)</f>
        <v>0</v>
      </c>
      <c r="AP6" s="46">
        <f>SUMIFS(台帳!$I$2:$I$2000,台帳!$A$2:$A$2000,$A6,台帳!$F$2:$F$2000,AP$4)</f>
        <v>0</v>
      </c>
      <c r="AQ6" s="46">
        <f>SUMIFS(台帳!$I$2:$I$2000,台帳!$A$2:$A$2000,$A6,台帳!$F$2:$F$2000,AQ$4)</f>
        <v>0</v>
      </c>
      <c r="AR6" s="46">
        <f>SUM(C6:AQ6)</f>
        <v>2</v>
      </c>
    </row>
    <row r="7" spans="1:44" ht="17.25" x14ac:dyDescent="0.35">
      <c r="A7" s="44">
        <v>46134</v>
      </c>
      <c r="B7" s="45" t="str">
        <f>CHOOSE(WEEKDAY(A7),"日","月","火","水","木","金","土")</f>
        <v>水</v>
      </c>
      <c r="C7" s="46">
        <f>SUMIFS(台帳!$I$2:$I$2000,台帳!$A$2:$A$2000,$A7,台帳!$F$2:$F$2000,C$4)</f>
        <v>0</v>
      </c>
      <c r="D7" s="46">
        <f>SUMIFS(台帳!$I$2:$I$2000,台帳!$A$2:$A$2000,$A7,台帳!$F$2:$F$2000,D$4)</f>
        <v>0</v>
      </c>
      <c r="E7" s="46">
        <f>SUMIFS(台帳!$I$2:$I$2000,台帳!$A$2:$A$2000,$A7,台帳!$F$2:$F$2000,E$4)</f>
        <v>3</v>
      </c>
      <c r="F7" s="46">
        <f>SUMIFS(台帳!$I$2:$I$2000,台帳!$A$2:$A$2000,$A7,台帳!$F$2:$F$2000,F$4)</f>
        <v>0</v>
      </c>
      <c r="G7" s="46">
        <f>SUMIFS(台帳!$I$2:$I$2000,台帳!$A$2:$A$2000,$A7,台帳!$F$2:$F$2000,G$4)</f>
        <v>0</v>
      </c>
      <c r="H7" s="46">
        <f>SUMIFS(台帳!$I$2:$I$2000,台帳!$A$2:$A$2000,$A7,台帳!$F$2:$F$2000,H$4)</f>
        <v>0</v>
      </c>
      <c r="I7" s="46">
        <f>SUMIFS(台帳!$I$2:$I$2000,台帳!$A$2:$A$2000,$A7,台帳!$F$2:$F$2000,I$4)</f>
        <v>0</v>
      </c>
      <c r="J7" s="46">
        <f>SUMIFS(台帳!$I$2:$I$2000,台帳!$A$2:$A$2000,$A7,台帳!$F$2:$F$2000,J$4)</f>
        <v>0</v>
      </c>
      <c r="K7" s="46">
        <f>SUMIFS(台帳!$I$2:$I$2000,台帳!$A$2:$A$2000,$A7,台帳!$F$2:$F$2000,K$4)</f>
        <v>0</v>
      </c>
      <c r="L7" s="46">
        <f>SUMIFS(台帳!$I$2:$I$2000,台帳!$A$2:$A$2000,$A7,台帳!$F$2:$F$2000,L$4)</f>
        <v>0</v>
      </c>
      <c r="M7" s="46">
        <f>SUMIFS(台帳!$I$2:$I$2000,台帳!$A$2:$A$2000,$A7,台帳!$F$2:$F$2000,M$4)</f>
        <v>0</v>
      </c>
      <c r="N7" s="46">
        <f>SUMIFS(台帳!$I$2:$I$2000,台帳!$A$2:$A$2000,$A7,台帳!$F$2:$F$2000,N$4)</f>
        <v>0</v>
      </c>
      <c r="O7" s="46">
        <f>SUMIFS(台帳!$I$2:$I$2000,台帳!$A$2:$A$2000,$A7,台帳!$F$2:$F$2000,O$4)</f>
        <v>0</v>
      </c>
      <c r="P7" s="46">
        <f>SUMIFS(台帳!$I$2:$I$2000,台帳!$A$2:$A$2000,$A7,台帳!$F$2:$F$2000,P$4)</f>
        <v>0</v>
      </c>
      <c r="Q7" s="46">
        <f>SUMIFS(台帳!$I$2:$I$2000,台帳!$A$2:$A$2000,$A7,台帳!$F$2:$F$2000,Q$4)</f>
        <v>0</v>
      </c>
      <c r="R7" s="46">
        <f>SUMIFS(台帳!$I$2:$I$2000,台帳!$A$2:$A$2000,$A7,台帳!$F$2:$F$2000,R$4)</f>
        <v>0</v>
      </c>
      <c r="S7" s="46">
        <f>SUMIFS(台帳!$I$2:$I$2000,台帳!$A$2:$A$2000,$A7,台帳!$F$2:$F$2000,S$4)</f>
        <v>0</v>
      </c>
      <c r="T7" s="46">
        <f>SUMIFS(台帳!$I$2:$I$2000,台帳!$A$2:$A$2000,$A7,台帳!$F$2:$F$2000,T$4)</f>
        <v>0</v>
      </c>
      <c r="U7" s="46">
        <f>SUMIFS(台帳!$I$2:$I$2000,台帳!$A$2:$A$2000,$A7,台帳!$F$2:$F$2000,U$4)</f>
        <v>0</v>
      </c>
      <c r="V7" s="46">
        <f>SUMIFS(台帳!$I$2:$I$2000,台帳!$A$2:$A$2000,$A7,台帳!$F$2:$F$2000,V$4)</f>
        <v>0</v>
      </c>
      <c r="W7" s="46">
        <f>SUMIFS(台帳!$I$2:$I$2000,台帳!$A$2:$A$2000,$A7,台帳!$F$2:$F$2000,W$4)</f>
        <v>0</v>
      </c>
      <c r="X7" s="46">
        <f>SUMIFS(台帳!$I$2:$I$2000,台帳!$A$2:$A$2000,$A7,台帳!$F$2:$F$2000,X$4)</f>
        <v>0</v>
      </c>
      <c r="Y7" s="46">
        <f>SUMIFS(台帳!$I$2:$I$2000,台帳!$A$2:$A$2000,$A7,台帳!$F$2:$F$2000,Y$4)</f>
        <v>0</v>
      </c>
      <c r="Z7" s="46">
        <f>SUMIFS(台帳!$I$2:$I$2000,台帳!$A$2:$A$2000,$A7,台帳!$F$2:$F$2000,Z$4)</f>
        <v>0</v>
      </c>
      <c r="AA7" s="46">
        <f>SUMIFS(台帳!$I$2:$I$2000,台帳!$A$2:$A$2000,$A7,台帳!$F$2:$F$2000,AA$4)</f>
        <v>0</v>
      </c>
      <c r="AB7" s="46">
        <f>SUMIFS(台帳!$I$2:$I$2000,台帳!$A$2:$A$2000,$A7,台帳!$F$2:$F$2000,AB$4)</f>
        <v>0</v>
      </c>
      <c r="AC7" s="46">
        <f>SUMIFS(台帳!$I$2:$I$2000,台帳!$A$2:$A$2000,$A7,台帳!$F$2:$F$2000,AC$4)</f>
        <v>0</v>
      </c>
      <c r="AD7" s="46">
        <f>SUMIFS(台帳!$I$2:$I$2000,台帳!$A$2:$A$2000,$A7,台帳!$F$2:$F$2000,AD$4)</f>
        <v>0</v>
      </c>
      <c r="AE7" s="46">
        <f>SUMIFS(台帳!$I$2:$I$2000,台帳!$A$2:$A$2000,$A7,台帳!$F$2:$F$2000,AE$4)</f>
        <v>0</v>
      </c>
      <c r="AF7" s="46">
        <f>SUMIFS(台帳!$I$2:$I$2000,台帳!$A$2:$A$2000,$A7,台帳!$F$2:$F$2000,AF$4)</f>
        <v>0</v>
      </c>
      <c r="AG7" s="46">
        <f>SUMIFS(台帳!$I$2:$I$2000,台帳!$A$2:$A$2000,$A7,台帳!$F$2:$F$2000,AG$4)</f>
        <v>0</v>
      </c>
      <c r="AH7" s="46">
        <f>SUMIFS(台帳!$I$2:$I$2000,台帳!$A$2:$A$2000,$A7,台帳!$F$2:$F$2000,AH$4)</f>
        <v>0</v>
      </c>
      <c r="AI7" s="46">
        <f>SUMIFS(台帳!$I$2:$I$2000,台帳!$A$2:$A$2000,$A7,台帳!$F$2:$F$2000,AI$4)</f>
        <v>0</v>
      </c>
      <c r="AJ7" s="46">
        <f>SUMIFS(台帳!$I$2:$I$2000,台帳!$A$2:$A$2000,$A7,台帳!$F$2:$F$2000,AJ$4)</f>
        <v>0</v>
      </c>
      <c r="AK7" s="46">
        <f>SUMIFS(台帳!$I$2:$I$2000,台帳!$A$2:$A$2000,$A7,台帳!$F$2:$F$2000,AK$4)</f>
        <v>0</v>
      </c>
      <c r="AL7" s="46">
        <f>SUMIFS(台帳!$I$2:$I$2000,台帳!$A$2:$A$2000,$A7,台帳!$F$2:$F$2000,AL$4)</f>
        <v>0</v>
      </c>
      <c r="AM7" s="46">
        <f>SUMIFS(台帳!$I$2:$I$2000,台帳!$A$2:$A$2000,$A7,台帳!$F$2:$F$2000,AM$4)</f>
        <v>0</v>
      </c>
      <c r="AN7" s="46">
        <f>SUMIFS(台帳!$I$2:$I$2000,台帳!$A$2:$A$2000,$A7,台帳!$F$2:$F$2000,AN$4)</f>
        <v>0</v>
      </c>
      <c r="AO7" s="46">
        <f>SUMIFS(台帳!$I$2:$I$2000,台帳!$A$2:$A$2000,$A7,台帳!$F$2:$F$2000,AO$4)</f>
        <v>0</v>
      </c>
      <c r="AP7" s="46">
        <f>SUMIFS(台帳!$I$2:$I$2000,台帳!$A$2:$A$2000,$A7,台帳!$F$2:$F$2000,AP$4)</f>
        <v>0</v>
      </c>
      <c r="AQ7" s="46">
        <f>SUMIFS(台帳!$I$2:$I$2000,台帳!$A$2:$A$2000,$A7,台帳!$F$2:$F$2000,AQ$4)</f>
        <v>0</v>
      </c>
      <c r="AR7" s="46">
        <f>SUM(C7:AQ7)</f>
        <v>3</v>
      </c>
    </row>
    <row r="8" spans="1:44" ht="17.25" x14ac:dyDescent="0.35">
      <c r="A8" s="44">
        <v>46135</v>
      </c>
      <c r="B8" s="45" t="str">
        <f>CHOOSE(WEEKDAY(A8),"日","月","火","水","木","金","土")</f>
        <v>木</v>
      </c>
      <c r="C8" s="46">
        <f>SUMIFS(台帳!$I$2:$I$2000,台帳!$A$2:$A$2000,$A8,台帳!$F$2:$F$2000,C$4)</f>
        <v>0</v>
      </c>
      <c r="D8" s="46">
        <f>SUMIFS(台帳!$I$2:$I$2000,台帳!$A$2:$A$2000,$A8,台帳!$F$2:$F$2000,D$4)</f>
        <v>0</v>
      </c>
      <c r="E8" s="46">
        <f>SUMIFS(台帳!$I$2:$I$2000,台帳!$A$2:$A$2000,$A8,台帳!$F$2:$F$2000,E$4)</f>
        <v>0</v>
      </c>
      <c r="F8" s="46">
        <f>SUMIFS(台帳!$I$2:$I$2000,台帳!$A$2:$A$2000,$A8,台帳!$F$2:$F$2000,F$4)</f>
        <v>0</v>
      </c>
      <c r="G8" s="46">
        <f>SUMIFS(台帳!$I$2:$I$2000,台帳!$A$2:$A$2000,$A8,台帳!$F$2:$F$2000,G$4)</f>
        <v>0</v>
      </c>
      <c r="H8" s="46">
        <f>SUMIFS(台帳!$I$2:$I$2000,台帳!$A$2:$A$2000,$A8,台帳!$F$2:$F$2000,H$4)</f>
        <v>0</v>
      </c>
      <c r="I8" s="46">
        <f>SUMIFS(台帳!$I$2:$I$2000,台帳!$A$2:$A$2000,$A8,台帳!$F$2:$F$2000,I$4)</f>
        <v>0</v>
      </c>
      <c r="J8" s="46">
        <f>SUMIFS(台帳!$I$2:$I$2000,台帳!$A$2:$A$2000,$A8,台帳!$F$2:$F$2000,J$4)</f>
        <v>0</v>
      </c>
      <c r="K8" s="46">
        <f>SUMIFS(台帳!$I$2:$I$2000,台帳!$A$2:$A$2000,$A8,台帳!$F$2:$F$2000,K$4)</f>
        <v>0</v>
      </c>
      <c r="L8" s="46">
        <f>SUMIFS(台帳!$I$2:$I$2000,台帳!$A$2:$A$2000,$A8,台帳!$F$2:$F$2000,L$4)</f>
        <v>0</v>
      </c>
      <c r="M8" s="46">
        <f>SUMIFS(台帳!$I$2:$I$2000,台帳!$A$2:$A$2000,$A8,台帳!$F$2:$F$2000,M$4)</f>
        <v>0</v>
      </c>
      <c r="N8" s="46">
        <f>SUMIFS(台帳!$I$2:$I$2000,台帳!$A$2:$A$2000,$A8,台帳!$F$2:$F$2000,N$4)</f>
        <v>0</v>
      </c>
      <c r="O8" s="46">
        <f>SUMIFS(台帳!$I$2:$I$2000,台帳!$A$2:$A$2000,$A8,台帳!$F$2:$F$2000,O$4)</f>
        <v>0</v>
      </c>
      <c r="P8" s="46">
        <f>SUMIFS(台帳!$I$2:$I$2000,台帳!$A$2:$A$2000,$A8,台帳!$F$2:$F$2000,P$4)</f>
        <v>0</v>
      </c>
      <c r="Q8" s="46">
        <f>SUMIFS(台帳!$I$2:$I$2000,台帳!$A$2:$A$2000,$A8,台帳!$F$2:$F$2000,Q$4)</f>
        <v>0</v>
      </c>
      <c r="R8" s="46">
        <f>SUMIFS(台帳!$I$2:$I$2000,台帳!$A$2:$A$2000,$A8,台帳!$F$2:$F$2000,R$4)</f>
        <v>0</v>
      </c>
      <c r="S8" s="46">
        <f>SUMIFS(台帳!$I$2:$I$2000,台帳!$A$2:$A$2000,$A8,台帳!$F$2:$F$2000,S$4)</f>
        <v>0</v>
      </c>
      <c r="T8" s="46">
        <f>SUMIFS(台帳!$I$2:$I$2000,台帳!$A$2:$A$2000,$A8,台帳!$F$2:$F$2000,T$4)</f>
        <v>0</v>
      </c>
      <c r="U8" s="46">
        <f>SUMIFS(台帳!$I$2:$I$2000,台帳!$A$2:$A$2000,$A8,台帳!$F$2:$F$2000,U$4)</f>
        <v>0</v>
      </c>
      <c r="V8" s="46">
        <f>SUMIFS(台帳!$I$2:$I$2000,台帳!$A$2:$A$2000,$A8,台帳!$F$2:$F$2000,V$4)</f>
        <v>0</v>
      </c>
      <c r="W8" s="46">
        <f>SUMIFS(台帳!$I$2:$I$2000,台帳!$A$2:$A$2000,$A8,台帳!$F$2:$F$2000,W$4)</f>
        <v>0</v>
      </c>
      <c r="X8" s="46">
        <f>SUMIFS(台帳!$I$2:$I$2000,台帳!$A$2:$A$2000,$A8,台帳!$F$2:$F$2000,X$4)</f>
        <v>0</v>
      </c>
      <c r="Y8" s="46">
        <f>SUMIFS(台帳!$I$2:$I$2000,台帳!$A$2:$A$2000,$A8,台帳!$F$2:$F$2000,Y$4)</f>
        <v>0</v>
      </c>
      <c r="Z8" s="46">
        <f>SUMIFS(台帳!$I$2:$I$2000,台帳!$A$2:$A$2000,$A8,台帳!$F$2:$F$2000,Z$4)</f>
        <v>0</v>
      </c>
      <c r="AA8" s="46">
        <f>SUMIFS(台帳!$I$2:$I$2000,台帳!$A$2:$A$2000,$A8,台帳!$F$2:$F$2000,AA$4)</f>
        <v>0</v>
      </c>
      <c r="AB8" s="46">
        <f>SUMIFS(台帳!$I$2:$I$2000,台帳!$A$2:$A$2000,$A8,台帳!$F$2:$F$2000,AB$4)</f>
        <v>0</v>
      </c>
      <c r="AC8" s="46">
        <f>SUMIFS(台帳!$I$2:$I$2000,台帳!$A$2:$A$2000,$A8,台帳!$F$2:$F$2000,AC$4)</f>
        <v>0</v>
      </c>
      <c r="AD8" s="46">
        <f>SUMIFS(台帳!$I$2:$I$2000,台帳!$A$2:$A$2000,$A8,台帳!$F$2:$F$2000,AD$4)</f>
        <v>0</v>
      </c>
      <c r="AE8" s="46">
        <f>SUMIFS(台帳!$I$2:$I$2000,台帳!$A$2:$A$2000,$A8,台帳!$F$2:$F$2000,AE$4)</f>
        <v>0</v>
      </c>
      <c r="AF8" s="46">
        <f>SUMIFS(台帳!$I$2:$I$2000,台帳!$A$2:$A$2000,$A8,台帳!$F$2:$F$2000,AF$4)</f>
        <v>0</v>
      </c>
      <c r="AG8" s="46">
        <f>SUMIFS(台帳!$I$2:$I$2000,台帳!$A$2:$A$2000,$A8,台帳!$F$2:$F$2000,AG$4)</f>
        <v>0</v>
      </c>
      <c r="AH8" s="46">
        <f>SUMIFS(台帳!$I$2:$I$2000,台帳!$A$2:$A$2000,$A8,台帳!$F$2:$F$2000,AH$4)</f>
        <v>0</v>
      </c>
      <c r="AI8" s="46">
        <f>SUMIFS(台帳!$I$2:$I$2000,台帳!$A$2:$A$2000,$A8,台帳!$F$2:$F$2000,AI$4)</f>
        <v>0</v>
      </c>
      <c r="AJ8" s="46">
        <f>SUMIFS(台帳!$I$2:$I$2000,台帳!$A$2:$A$2000,$A8,台帳!$F$2:$F$2000,AJ$4)</f>
        <v>0</v>
      </c>
      <c r="AK8" s="46">
        <f>SUMIFS(台帳!$I$2:$I$2000,台帳!$A$2:$A$2000,$A8,台帳!$F$2:$F$2000,AK$4)</f>
        <v>0</v>
      </c>
      <c r="AL8" s="46">
        <f>SUMIFS(台帳!$I$2:$I$2000,台帳!$A$2:$A$2000,$A8,台帳!$F$2:$F$2000,AL$4)</f>
        <v>0</v>
      </c>
      <c r="AM8" s="46">
        <f>SUMIFS(台帳!$I$2:$I$2000,台帳!$A$2:$A$2000,$A8,台帳!$F$2:$F$2000,AM$4)</f>
        <v>0</v>
      </c>
      <c r="AN8" s="46">
        <f>SUMIFS(台帳!$I$2:$I$2000,台帳!$A$2:$A$2000,$A8,台帳!$F$2:$F$2000,AN$4)</f>
        <v>0</v>
      </c>
      <c r="AO8" s="46">
        <f>SUMIFS(台帳!$I$2:$I$2000,台帳!$A$2:$A$2000,$A8,台帳!$F$2:$F$2000,AO$4)</f>
        <v>0</v>
      </c>
      <c r="AP8" s="46">
        <f>SUMIFS(台帳!$I$2:$I$2000,台帳!$A$2:$A$2000,$A8,台帳!$F$2:$F$2000,AP$4)</f>
        <v>0</v>
      </c>
      <c r="AQ8" s="46">
        <f>SUMIFS(台帳!$I$2:$I$2000,台帳!$A$2:$A$2000,$A8,台帳!$F$2:$F$2000,AQ$4)</f>
        <v>0</v>
      </c>
      <c r="AR8" s="46">
        <f>SUM(C8:AQ8)</f>
        <v>0</v>
      </c>
    </row>
    <row r="9" spans="1:44" ht="17.25" x14ac:dyDescent="0.35">
      <c r="A9" s="44">
        <v>46136</v>
      </c>
      <c r="B9" s="45" t="str">
        <f>CHOOSE(WEEKDAY(A9),"日","月","火","水","木","金","土")</f>
        <v>金</v>
      </c>
      <c r="C9" s="46">
        <f>SUMIFS(台帳!$I$2:$I$2000,台帳!$A$2:$A$2000,$A9,台帳!$F$2:$F$2000,C$4)</f>
        <v>0</v>
      </c>
      <c r="D9" s="46">
        <f>SUMIFS(台帳!$I$2:$I$2000,台帳!$A$2:$A$2000,$A9,台帳!$F$2:$F$2000,D$4)</f>
        <v>0</v>
      </c>
      <c r="E9" s="46">
        <f>SUMIFS(台帳!$I$2:$I$2000,台帳!$A$2:$A$2000,$A9,台帳!$F$2:$F$2000,E$4)</f>
        <v>0</v>
      </c>
      <c r="F9" s="46">
        <f>SUMIFS(台帳!$I$2:$I$2000,台帳!$A$2:$A$2000,$A9,台帳!$F$2:$F$2000,F$4)</f>
        <v>0</v>
      </c>
      <c r="G9" s="46">
        <f>SUMIFS(台帳!$I$2:$I$2000,台帳!$A$2:$A$2000,$A9,台帳!$F$2:$F$2000,G$4)</f>
        <v>0</v>
      </c>
      <c r="H9" s="46">
        <f>SUMIFS(台帳!$I$2:$I$2000,台帳!$A$2:$A$2000,$A9,台帳!$F$2:$F$2000,H$4)</f>
        <v>0</v>
      </c>
      <c r="I9" s="46">
        <f>SUMIFS(台帳!$I$2:$I$2000,台帳!$A$2:$A$2000,$A9,台帳!$F$2:$F$2000,I$4)</f>
        <v>0</v>
      </c>
      <c r="J9" s="46">
        <f>SUMIFS(台帳!$I$2:$I$2000,台帳!$A$2:$A$2000,$A9,台帳!$F$2:$F$2000,J$4)</f>
        <v>0</v>
      </c>
      <c r="K9" s="46">
        <f>SUMIFS(台帳!$I$2:$I$2000,台帳!$A$2:$A$2000,$A9,台帳!$F$2:$F$2000,K$4)</f>
        <v>0</v>
      </c>
      <c r="L9" s="46">
        <f>SUMIFS(台帳!$I$2:$I$2000,台帳!$A$2:$A$2000,$A9,台帳!$F$2:$F$2000,L$4)</f>
        <v>0</v>
      </c>
      <c r="M9" s="46">
        <f>SUMIFS(台帳!$I$2:$I$2000,台帳!$A$2:$A$2000,$A9,台帳!$F$2:$F$2000,M$4)</f>
        <v>0</v>
      </c>
      <c r="N9" s="46">
        <f>SUMIFS(台帳!$I$2:$I$2000,台帳!$A$2:$A$2000,$A9,台帳!$F$2:$F$2000,N$4)</f>
        <v>0</v>
      </c>
      <c r="O9" s="46">
        <f>SUMIFS(台帳!$I$2:$I$2000,台帳!$A$2:$A$2000,$A9,台帳!$F$2:$F$2000,O$4)</f>
        <v>0</v>
      </c>
      <c r="P9" s="46">
        <f>SUMIFS(台帳!$I$2:$I$2000,台帳!$A$2:$A$2000,$A9,台帳!$F$2:$F$2000,P$4)</f>
        <v>0</v>
      </c>
      <c r="Q9" s="46">
        <f>SUMIFS(台帳!$I$2:$I$2000,台帳!$A$2:$A$2000,$A9,台帳!$F$2:$F$2000,Q$4)</f>
        <v>0</v>
      </c>
      <c r="R9" s="46">
        <f>SUMIFS(台帳!$I$2:$I$2000,台帳!$A$2:$A$2000,$A9,台帳!$F$2:$F$2000,R$4)</f>
        <v>0</v>
      </c>
      <c r="S9" s="46">
        <f>SUMIFS(台帳!$I$2:$I$2000,台帳!$A$2:$A$2000,$A9,台帳!$F$2:$F$2000,S$4)</f>
        <v>0</v>
      </c>
      <c r="T9" s="46">
        <f>SUMIFS(台帳!$I$2:$I$2000,台帳!$A$2:$A$2000,$A9,台帳!$F$2:$F$2000,T$4)</f>
        <v>0</v>
      </c>
      <c r="U9" s="46">
        <f>SUMIFS(台帳!$I$2:$I$2000,台帳!$A$2:$A$2000,$A9,台帳!$F$2:$F$2000,U$4)</f>
        <v>0</v>
      </c>
      <c r="V9" s="46">
        <f>SUMIFS(台帳!$I$2:$I$2000,台帳!$A$2:$A$2000,$A9,台帳!$F$2:$F$2000,V$4)</f>
        <v>0</v>
      </c>
      <c r="W9" s="46">
        <f>SUMIFS(台帳!$I$2:$I$2000,台帳!$A$2:$A$2000,$A9,台帳!$F$2:$F$2000,W$4)</f>
        <v>0</v>
      </c>
      <c r="X9" s="46">
        <f>SUMIFS(台帳!$I$2:$I$2000,台帳!$A$2:$A$2000,$A9,台帳!$F$2:$F$2000,X$4)</f>
        <v>0</v>
      </c>
      <c r="Y9" s="46">
        <f>SUMIFS(台帳!$I$2:$I$2000,台帳!$A$2:$A$2000,$A9,台帳!$F$2:$F$2000,Y$4)</f>
        <v>0</v>
      </c>
      <c r="Z9" s="46">
        <f>SUMIFS(台帳!$I$2:$I$2000,台帳!$A$2:$A$2000,$A9,台帳!$F$2:$F$2000,Z$4)</f>
        <v>0</v>
      </c>
      <c r="AA9" s="46">
        <f>SUMIFS(台帳!$I$2:$I$2000,台帳!$A$2:$A$2000,$A9,台帳!$F$2:$F$2000,AA$4)</f>
        <v>0</v>
      </c>
      <c r="AB9" s="46">
        <f>SUMIFS(台帳!$I$2:$I$2000,台帳!$A$2:$A$2000,$A9,台帳!$F$2:$F$2000,AB$4)</f>
        <v>0</v>
      </c>
      <c r="AC9" s="46">
        <f>SUMIFS(台帳!$I$2:$I$2000,台帳!$A$2:$A$2000,$A9,台帳!$F$2:$F$2000,AC$4)</f>
        <v>0</v>
      </c>
      <c r="AD9" s="46">
        <f>SUMIFS(台帳!$I$2:$I$2000,台帳!$A$2:$A$2000,$A9,台帳!$F$2:$F$2000,AD$4)</f>
        <v>0</v>
      </c>
      <c r="AE9" s="46">
        <f>SUMIFS(台帳!$I$2:$I$2000,台帳!$A$2:$A$2000,$A9,台帳!$F$2:$F$2000,AE$4)</f>
        <v>0</v>
      </c>
      <c r="AF9" s="46">
        <f>SUMIFS(台帳!$I$2:$I$2000,台帳!$A$2:$A$2000,$A9,台帳!$F$2:$F$2000,AF$4)</f>
        <v>0</v>
      </c>
      <c r="AG9" s="46">
        <f>SUMIFS(台帳!$I$2:$I$2000,台帳!$A$2:$A$2000,$A9,台帳!$F$2:$F$2000,AG$4)</f>
        <v>0</v>
      </c>
      <c r="AH9" s="46">
        <f>SUMIFS(台帳!$I$2:$I$2000,台帳!$A$2:$A$2000,$A9,台帳!$F$2:$F$2000,AH$4)</f>
        <v>0</v>
      </c>
      <c r="AI9" s="46">
        <f>SUMIFS(台帳!$I$2:$I$2000,台帳!$A$2:$A$2000,$A9,台帳!$F$2:$F$2000,AI$4)</f>
        <v>0</v>
      </c>
      <c r="AJ9" s="46">
        <f>SUMIFS(台帳!$I$2:$I$2000,台帳!$A$2:$A$2000,$A9,台帳!$F$2:$F$2000,AJ$4)</f>
        <v>0</v>
      </c>
      <c r="AK9" s="46">
        <f>SUMIFS(台帳!$I$2:$I$2000,台帳!$A$2:$A$2000,$A9,台帳!$F$2:$F$2000,AK$4)</f>
        <v>0</v>
      </c>
      <c r="AL9" s="46">
        <f>SUMIFS(台帳!$I$2:$I$2000,台帳!$A$2:$A$2000,$A9,台帳!$F$2:$F$2000,AL$4)</f>
        <v>0</v>
      </c>
      <c r="AM9" s="46">
        <f>SUMIFS(台帳!$I$2:$I$2000,台帳!$A$2:$A$2000,$A9,台帳!$F$2:$F$2000,AM$4)</f>
        <v>0</v>
      </c>
      <c r="AN9" s="46">
        <f>SUMIFS(台帳!$I$2:$I$2000,台帳!$A$2:$A$2000,$A9,台帳!$F$2:$F$2000,AN$4)</f>
        <v>0</v>
      </c>
      <c r="AO9" s="46">
        <f>SUMIFS(台帳!$I$2:$I$2000,台帳!$A$2:$A$2000,$A9,台帳!$F$2:$F$2000,AO$4)</f>
        <v>0</v>
      </c>
      <c r="AP9" s="46">
        <f>SUMIFS(台帳!$I$2:$I$2000,台帳!$A$2:$A$2000,$A9,台帳!$F$2:$F$2000,AP$4)</f>
        <v>0</v>
      </c>
      <c r="AQ9" s="46">
        <f>SUMIFS(台帳!$I$2:$I$2000,台帳!$A$2:$A$2000,$A9,台帳!$F$2:$F$2000,AQ$4)</f>
        <v>0</v>
      </c>
      <c r="AR9" s="46">
        <f>SUM(C9:AQ9)</f>
        <v>0</v>
      </c>
    </row>
    <row r="10" spans="1:44" ht="17.25" x14ac:dyDescent="0.35">
      <c r="A10" s="44">
        <v>46137</v>
      </c>
      <c r="B10" s="45" t="str">
        <f>CHOOSE(WEEKDAY(A10),"日","月","火","水","木","金","土")</f>
        <v>土</v>
      </c>
      <c r="C10" s="46">
        <f>SUMIFS(台帳!$I$2:$I$2000,台帳!$A$2:$A$2000,$A10,台帳!$F$2:$F$2000,C$4)</f>
        <v>0</v>
      </c>
      <c r="D10" s="46">
        <f>SUMIFS(台帳!$I$2:$I$2000,台帳!$A$2:$A$2000,$A10,台帳!$F$2:$F$2000,D$4)</f>
        <v>0</v>
      </c>
      <c r="E10" s="46">
        <f>SUMIFS(台帳!$I$2:$I$2000,台帳!$A$2:$A$2000,$A10,台帳!$F$2:$F$2000,E$4)</f>
        <v>0</v>
      </c>
      <c r="F10" s="46">
        <f>SUMIFS(台帳!$I$2:$I$2000,台帳!$A$2:$A$2000,$A10,台帳!$F$2:$F$2000,F$4)</f>
        <v>0</v>
      </c>
      <c r="G10" s="46">
        <f>SUMIFS(台帳!$I$2:$I$2000,台帳!$A$2:$A$2000,$A10,台帳!$F$2:$F$2000,G$4)</f>
        <v>0</v>
      </c>
      <c r="H10" s="46">
        <f>SUMIFS(台帳!$I$2:$I$2000,台帳!$A$2:$A$2000,$A10,台帳!$F$2:$F$2000,H$4)</f>
        <v>0</v>
      </c>
      <c r="I10" s="46">
        <f>SUMIFS(台帳!$I$2:$I$2000,台帳!$A$2:$A$2000,$A10,台帳!$F$2:$F$2000,I$4)</f>
        <v>0</v>
      </c>
      <c r="J10" s="46">
        <f>SUMIFS(台帳!$I$2:$I$2000,台帳!$A$2:$A$2000,$A10,台帳!$F$2:$F$2000,J$4)</f>
        <v>0</v>
      </c>
      <c r="K10" s="46">
        <f>SUMIFS(台帳!$I$2:$I$2000,台帳!$A$2:$A$2000,$A10,台帳!$F$2:$F$2000,K$4)</f>
        <v>0</v>
      </c>
      <c r="L10" s="46">
        <f>SUMIFS(台帳!$I$2:$I$2000,台帳!$A$2:$A$2000,$A10,台帳!$F$2:$F$2000,L$4)</f>
        <v>0</v>
      </c>
      <c r="M10" s="46">
        <f>SUMIFS(台帳!$I$2:$I$2000,台帳!$A$2:$A$2000,$A10,台帳!$F$2:$F$2000,M$4)</f>
        <v>0</v>
      </c>
      <c r="N10" s="46">
        <f>SUMIFS(台帳!$I$2:$I$2000,台帳!$A$2:$A$2000,$A10,台帳!$F$2:$F$2000,N$4)</f>
        <v>0</v>
      </c>
      <c r="O10" s="46">
        <f>SUMIFS(台帳!$I$2:$I$2000,台帳!$A$2:$A$2000,$A10,台帳!$F$2:$F$2000,O$4)</f>
        <v>0</v>
      </c>
      <c r="P10" s="46">
        <f>SUMIFS(台帳!$I$2:$I$2000,台帳!$A$2:$A$2000,$A10,台帳!$F$2:$F$2000,P$4)</f>
        <v>0</v>
      </c>
      <c r="Q10" s="46">
        <f>SUMIFS(台帳!$I$2:$I$2000,台帳!$A$2:$A$2000,$A10,台帳!$F$2:$F$2000,Q$4)</f>
        <v>0</v>
      </c>
      <c r="R10" s="46">
        <f>SUMIFS(台帳!$I$2:$I$2000,台帳!$A$2:$A$2000,$A10,台帳!$F$2:$F$2000,R$4)</f>
        <v>0</v>
      </c>
      <c r="S10" s="46">
        <f>SUMIFS(台帳!$I$2:$I$2000,台帳!$A$2:$A$2000,$A10,台帳!$F$2:$F$2000,S$4)</f>
        <v>0</v>
      </c>
      <c r="T10" s="46">
        <f>SUMIFS(台帳!$I$2:$I$2000,台帳!$A$2:$A$2000,$A10,台帳!$F$2:$F$2000,T$4)</f>
        <v>0</v>
      </c>
      <c r="U10" s="46">
        <f>SUMIFS(台帳!$I$2:$I$2000,台帳!$A$2:$A$2000,$A10,台帳!$F$2:$F$2000,U$4)</f>
        <v>0</v>
      </c>
      <c r="V10" s="46">
        <f>SUMIFS(台帳!$I$2:$I$2000,台帳!$A$2:$A$2000,$A10,台帳!$F$2:$F$2000,V$4)</f>
        <v>0</v>
      </c>
      <c r="W10" s="46">
        <f>SUMIFS(台帳!$I$2:$I$2000,台帳!$A$2:$A$2000,$A10,台帳!$F$2:$F$2000,W$4)</f>
        <v>0</v>
      </c>
      <c r="X10" s="46">
        <f>SUMIFS(台帳!$I$2:$I$2000,台帳!$A$2:$A$2000,$A10,台帳!$F$2:$F$2000,X$4)</f>
        <v>0</v>
      </c>
      <c r="Y10" s="46">
        <f>SUMIFS(台帳!$I$2:$I$2000,台帳!$A$2:$A$2000,$A10,台帳!$F$2:$F$2000,Y$4)</f>
        <v>0</v>
      </c>
      <c r="Z10" s="46">
        <f>SUMIFS(台帳!$I$2:$I$2000,台帳!$A$2:$A$2000,$A10,台帳!$F$2:$F$2000,Z$4)</f>
        <v>0</v>
      </c>
      <c r="AA10" s="46">
        <f>SUMIFS(台帳!$I$2:$I$2000,台帳!$A$2:$A$2000,$A10,台帳!$F$2:$F$2000,AA$4)</f>
        <v>0</v>
      </c>
      <c r="AB10" s="46">
        <f>SUMIFS(台帳!$I$2:$I$2000,台帳!$A$2:$A$2000,$A10,台帳!$F$2:$F$2000,AB$4)</f>
        <v>0</v>
      </c>
      <c r="AC10" s="46">
        <f>SUMIFS(台帳!$I$2:$I$2000,台帳!$A$2:$A$2000,$A10,台帳!$F$2:$F$2000,AC$4)</f>
        <v>0</v>
      </c>
      <c r="AD10" s="46">
        <f>SUMIFS(台帳!$I$2:$I$2000,台帳!$A$2:$A$2000,$A10,台帳!$F$2:$F$2000,AD$4)</f>
        <v>0</v>
      </c>
      <c r="AE10" s="46">
        <f>SUMIFS(台帳!$I$2:$I$2000,台帳!$A$2:$A$2000,$A10,台帳!$F$2:$F$2000,AE$4)</f>
        <v>0</v>
      </c>
      <c r="AF10" s="46">
        <f>SUMIFS(台帳!$I$2:$I$2000,台帳!$A$2:$A$2000,$A10,台帳!$F$2:$F$2000,AF$4)</f>
        <v>0</v>
      </c>
      <c r="AG10" s="46">
        <f>SUMIFS(台帳!$I$2:$I$2000,台帳!$A$2:$A$2000,$A10,台帳!$F$2:$F$2000,AG$4)</f>
        <v>0</v>
      </c>
      <c r="AH10" s="46">
        <f>SUMIFS(台帳!$I$2:$I$2000,台帳!$A$2:$A$2000,$A10,台帳!$F$2:$F$2000,AH$4)</f>
        <v>0</v>
      </c>
      <c r="AI10" s="46">
        <f>SUMIFS(台帳!$I$2:$I$2000,台帳!$A$2:$A$2000,$A10,台帳!$F$2:$F$2000,AI$4)</f>
        <v>0</v>
      </c>
      <c r="AJ10" s="46">
        <f>SUMIFS(台帳!$I$2:$I$2000,台帳!$A$2:$A$2000,$A10,台帳!$F$2:$F$2000,AJ$4)</f>
        <v>0</v>
      </c>
      <c r="AK10" s="46">
        <f>SUMIFS(台帳!$I$2:$I$2000,台帳!$A$2:$A$2000,$A10,台帳!$F$2:$F$2000,AK$4)</f>
        <v>0</v>
      </c>
      <c r="AL10" s="46">
        <f>SUMIFS(台帳!$I$2:$I$2000,台帳!$A$2:$A$2000,$A10,台帳!$F$2:$F$2000,AL$4)</f>
        <v>0</v>
      </c>
      <c r="AM10" s="46">
        <f>SUMIFS(台帳!$I$2:$I$2000,台帳!$A$2:$A$2000,$A10,台帳!$F$2:$F$2000,AM$4)</f>
        <v>0</v>
      </c>
      <c r="AN10" s="46">
        <f>SUMIFS(台帳!$I$2:$I$2000,台帳!$A$2:$A$2000,$A10,台帳!$F$2:$F$2000,AN$4)</f>
        <v>0</v>
      </c>
      <c r="AO10" s="46">
        <f>SUMIFS(台帳!$I$2:$I$2000,台帳!$A$2:$A$2000,$A10,台帳!$F$2:$F$2000,AO$4)</f>
        <v>0</v>
      </c>
      <c r="AP10" s="46">
        <f>SUMIFS(台帳!$I$2:$I$2000,台帳!$A$2:$A$2000,$A10,台帳!$F$2:$F$2000,AP$4)</f>
        <v>0</v>
      </c>
      <c r="AQ10" s="46">
        <f>SUMIFS(台帳!$I$2:$I$2000,台帳!$A$2:$A$2000,$A10,台帳!$F$2:$F$2000,AQ$4)</f>
        <v>0</v>
      </c>
      <c r="AR10" s="46">
        <f>SUM(C10:AQ10)</f>
        <v>0</v>
      </c>
    </row>
    <row r="11" spans="1:44" ht="17.25" x14ac:dyDescent="0.35">
      <c r="A11" s="44">
        <v>46138</v>
      </c>
      <c r="B11" s="45" t="str">
        <f>CHOOSE(WEEKDAY(A11),"日","月","火","水","木","金","土")</f>
        <v>日</v>
      </c>
      <c r="C11" s="46">
        <f>SUMIFS(台帳!$I$2:$I$2000,台帳!$A$2:$A$2000,$A11,台帳!$F$2:$F$2000,C$4)</f>
        <v>0</v>
      </c>
      <c r="D11" s="46">
        <f>SUMIFS(台帳!$I$2:$I$2000,台帳!$A$2:$A$2000,$A11,台帳!$F$2:$F$2000,D$4)</f>
        <v>0</v>
      </c>
      <c r="E11" s="46">
        <f>SUMIFS(台帳!$I$2:$I$2000,台帳!$A$2:$A$2000,$A11,台帳!$F$2:$F$2000,E$4)</f>
        <v>0</v>
      </c>
      <c r="F11" s="46">
        <f>SUMIFS(台帳!$I$2:$I$2000,台帳!$A$2:$A$2000,$A11,台帳!$F$2:$F$2000,F$4)</f>
        <v>0</v>
      </c>
      <c r="G11" s="46">
        <f>SUMIFS(台帳!$I$2:$I$2000,台帳!$A$2:$A$2000,$A11,台帳!$F$2:$F$2000,G$4)</f>
        <v>0</v>
      </c>
      <c r="H11" s="46">
        <f>SUMIFS(台帳!$I$2:$I$2000,台帳!$A$2:$A$2000,$A11,台帳!$F$2:$F$2000,H$4)</f>
        <v>0</v>
      </c>
      <c r="I11" s="46">
        <f>SUMIFS(台帳!$I$2:$I$2000,台帳!$A$2:$A$2000,$A11,台帳!$F$2:$F$2000,I$4)</f>
        <v>0</v>
      </c>
      <c r="J11" s="46">
        <f>SUMIFS(台帳!$I$2:$I$2000,台帳!$A$2:$A$2000,$A11,台帳!$F$2:$F$2000,J$4)</f>
        <v>0</v>
      </c>
      <c r="K11" s="46">
        <f>SUMIFS(台帳!$I$2:$I$2000,台帳!$A$2:$A$2000,$A11,台帳!$F$2:$F$2000,K$4)</f>
        <v>0</v>
      </c>
      <c r="L11" s="46">
        <f>SUMIFS(台帳!$I$2:$I$2000,台帳!$A$2:$A$2000,$A11,台帳!$F$2:$F$2000,L$4)</f>
        <v>0</v>
      </c>
      <c r="M11" s="46">
        <f>SUMIFS(台帳!$I$2:$I$2000,台帳!$A$2:$A$2000,$A11,台帳!$F$2:$F$2000,M$4)</f>
        <v>0</v>
      </c>
      <c r="N11" s="46">
        <f>SUMIFS(台帳!$I$2:$I$2000,台帳!$A$2:$A$2000,$A11,台帳!$F$2:$F$2000,N$4)</f>
        <v>0</v>
      </c>
      <c r="O11" s="46">
        <f>SUMIFS(台帳!$I$2:$I$2000,台帳!$A$2:$A$2000,$A11,台帳!$F$2:$F$2000,O$4)</f>
        <v>0</v>
      </c>
      <c r="P11" s="46">
        <f>SUMIFS(台帳!$I$2:$I$2000,台帳!$A$2:$A$2000,$A11,台帳!$F$2:$F$2000,P$4)</f>
        <v>0</v>
      </c>
      <c r="Q11" s="46">
        <f>SUMIFS(台帳!$I$2:$I$2000,台帳!$A$2:$A$2000,$A11,台帳!$F$2:$F$2000,Q$4)</f>
        <v>0</v>
      </c>
      <c r="R11" s="46">
        <f>SUMIFS(台帳!$I$2:$I$2000,台帳!$A$2:$A$2000,$A11,台帳!$F$2:$F$2000,R$4)</f>
        <v>0</v>
      </c>
      <c r="S11" s="46">
        <f>SUMIFS(台帳!$I$2:$I$2000,台帳!$A$2:$A$2000,$A11,台帳!$F$2:$F$2000,S$4)</f>
        <v>0</v>
      </c>
      <c r="T11" s="46">
        <f>SUMIFS(台帳!$I$2:$I$2000,台帳!$A$2:$A$2000,$A11,台帳!$F$2:$F$2000,T$4)</f>
        <v>0</v>
      </c>
      <c r="U11" s="46">
        <f>SUMIFS(台帳!$I$2:$I$2000,台帳!$A$2:$A$2000,$A11,台帳!$F$2:$F$2000,U$4)</f>
        <v>0</v>
      </c>
      <c r="V11" s="46">
        <f>SUMIFS(台帳!$I$2:$I$2000,台帳!$A$2:$A$2000,$A11,台帳!$F$2:$F$2000,V$4)</f>
        <v>0</v>
      </c>
      <c r="W11" s="46">
        <f>SUMIFS(台帳!$I$2:$I$2000,台帳!$A$2:$A$2000,$A11,台帳!$F$2:$F$2000,W$4)</f>
        <v>0</v>
      </c>
      <c r="X11" s="46">
        <f>SUMIFS(台帳!$I$2:$I$2000,台帳!$A$2:$A$2000,$A11,台帳!$F$2:$F$2000,X$4)</f>
        <v>0</v>
      </c>
      <c r="Y11" s="46">
        <f>SUMIFS(台帳!$I$2:$I$2000,台帳!$A$2:$A$2000,$A11,台帳!$F$2:$F$2000,Y$4)</f>
        <v>0</v>
      </c>
      <c r="Z11" s="46">
        <f>SUMIFS(台帳!$I$2:$I$2000,台帳!$A$2:$A$2000,$A11,台帳!$F$2:$F$2000,Z$4)</f>
        <v>0</v>
      </c>
      <c r="AA11" s="46">
        <f>SUMIFS(台帳!$I$2:$I$2000,台帳!$A$2:$A$2000,$A11,台帳!$F$2:$F$2000,AA$4)</f>
        <v>0</v>
      </c>
      <c r="AB11" s="46">
        <f>SUMIFS(台帳!$I$2:$I$2000,台帳!$A$2:$A$2000,$A11,台帳!$F$2:$F$2000,AB$4)</f>
        <v>0</v>
      </c>
      <c r="AC11" s="46">
        <f>SUMIFS(台帳!$I$2:$I$2000,台帳!$A$2:$A$2000,$A11,台帳!$F$2:$F$2000,AC$4)</f>
        <v>0</v>
      </c>
      <c r="AD11" s="46">
        <f>SUMIFS(台帳!$I$2:$I$2000,台帳!$A$2:$A$2000,$A11,台帳!$F$2:$F$2000,AD$4)</f>
        <v>0</v>
      </c>
      <c r="AE11" s="46">
        <f>SUMIFS(台帳!$I$2:$I$2000,台帳!$A$2:$A$2000,$A11,台帳!$F$2:$F$2000,AE$4)</f>
        <v>0</v>
      </c>
      <c r="AF11" s="46">
        <f>SUMIFS(台帳!$I$2:$I$2000,台帳!$A$2:$A$2000,$A11,台帳!$F$2:$F$2000,AF$4)</f>
        <v>0</v>
      </c>
      <c r="AG11" s="46">
        <f>SUMIFS(台帳!$I$2:$I$2000,台帳!$A$2:$A$2000,$A11,台帳!$F$2:$F$2000,AG$4)</f>
        <v>0</v>
      </c>
      <c r="AH11" s="46">
        <f>SUMIFS(台帳!$I$2:$I$2000,台帳!$A$2:$A$2000,$A11,台帳!$F$2:$F$2000,AH$4)</f>
        <v>0</v>
      </c>
      <c r="AI11" s="46">
        <f>SUMIFS(台帳!$I$2:$I$2000,台帳!$A$2:$A$2000,$A11,台帳!$F$2:$F$2000,AI$4)</f>
        <v>0</v>
      </c>
      <c r="AJ11" s="46">
        <f>SUMIFS(台帳!$I$2:$I$2000,台帳!$A$2:$A$2000,$A11,台帳!$F$2:$F$2000,AJ$4)</f>
        <v>0</v>
      </c>
      <c r="AK11" s="46">
        <f>SUMIFS(台帳!$I$2:$I$2000,台帳!$A$2:$A$2000,$A11,台帳!$F$2:$F$2000,AK$4)</f>
        <v>0</v>
      </c>
      <c r="AL11" s="46">
        <f>SUMIFS(台帳!$I$2:$I$2000,台帳!$A$2:$A$2000,$A11,台帳!$F$2:$F$2000,AL$4)</f>
        <v>0</v>
      </c>
      <c r="AM11" s="46">
        <f>SUMIFS(台帳!$I$2:$I$2000,台帳!$A$2:$A$2000,$A11,台帳!$F$2:$F$2000,AM$4)</f>
        <v>0</v>
      </c>
      <c r="AN11" s="46">
        <f>SUMIFS(台帳!$I$2:$I$2000,台帳!$A$2:$A$2000,$A11,台帳!$F$2:$F$2000,AN$4)</f>
        <v>0</v>
      </c>
      <c r="AO11" s="46">
        <f>SUMIFS(台帳!$I$2:$I$2000,台帳!$A$2:$A$2000,$A11,台帳!$F$2:$F$2000,AO$4)</f>
        <v>0</v>
      </c>
      <c r="AP11" s="46">
        <f>SUMIFS(台帳!$I$2:$I$2000,台帳!$A$2:$A$2000,$A11,台帳!$F$2:$F$2000,AP$4)</f>
        <v>0</v>
      </c>
      <c r="AQ11" s="46">
        <f>SUMIFS(台帳!$I$2:$I$2000,台帳!$A$2:$A$2000,$A11,台帳!$F$2:$F$2000,AQ$4)</f>
        <v>0</v>
      </c>
      <c r="AR11" s="46">
        <f>SUM(C11:AQ11)</f>
        <v>0</v>
      </c>
    </row>
    <row r="12" spans="1:44" ht="17.25" x14ac:dyDescent="0.35">
      <c r="A12" s="44">
        <v>46139</v>
      </c>
      <c r="B12" s="45" t="str">
        <f>CHOOSE(WEEKDAY(A12),"日","月","火","水","木","金","土")</f>
        <v>月</v>
      </c>
      <c r="C12" s="46">
        <f>SUMIFS(台帳!$I$2:$I$2000,台帳!$A$2:$A$2000,$A12,台帳!$F$2:$F$2000,C$4)</f>
        <v>0</v>
      </c>
      <c r="D12" s="46">
        <f>SUMIFS(台帳!$I$2:$I$2000,台帳!$A$2:$A$2000,$A12,台帳!$F$2:$F$2000,D$4)</f>
        <v>0</v>
      </c>
      <c r="E12" s="46">
        <f>SUMIFS(台帳!$I$2:$I$2000,台帳!$A$2:$A$2000,$A12,台帳!$F$2:$F$2000,E$4)</f>
        <v>0</v>
      </c>
      <c r="F12" s="46">
        <f>SUMIFS(台帳!$I$2:$I$2000,台帳!$A$2:$A$2000,$A12,台帳!$F$2:$F$2000,F$4)</f>
        <v>0</v>
      </c>
      <c r="G12" s="46">
        <f>SUMIFS(台帳!$I$2:$I$2000,台帳!$A$2:$A$2000,$A12,台帳!$F$2:$F$2000,G$4)</f>
        <v>0</v>
      </c>
      <c r="H12" s="46">
        <f>SUMIFS(台帳!$I$2:$I$2000,台帳!$A$2:$A$2000,$A12,台帳!$F$2:$F$2000,H$4)</f>
        <v>0</v>
      </c>
      <c r="I12" s="46">
        <f>SUMIFS(台帳!$I$2:$I$2000,台帳!$A$2:$A$2000,$A12,台帳!$F$2:$F$2000,I$4)</f>
        <v>0</v>
      </c>
      <c r="J12" s="46">
        <f>SUMIFS(台帳!$I$2:$I$2000,台帳!$A$2:$A$2000,$A12,台帳!$F$2:$F$2000,J$4)</f>
        <v>0</v>
      </c>
      <c r="K12" s="46">
        <f>SUMIFS(台帳!$I$2:$I$2000,台帳!$A$2:$A$2000,$A12,台帳!$F$2:$F$2000,K$4)</f>
        <v>0</v>
      </c>
      <c r="L12" s="46">
        <f>SUMIFS(台帳!$I$2:$I$2000,台帳!$A$2:$A$2000,$A12,台帳!$F$2:$F$2000,L$4)</f>
        <v>0</v>
      </c>
      <c r="M12" s="46">
        <f>SUMIFS(台帳!$I$2:$I$2000,台帳!$A$2:$A$2000,$A12,台帳!$F$2:$F$2000,M$4)</f>
        <v>0</v>
      </c>
      <c r="N12" s="46">
        <f>SUMIFS(台帳!$I$2:$I$2000,台帳!$A$2:$A$2000,$A12,台帳!$F$2:$F$2000,N$4)</f>
        <v>0</v>
      </c>
      <c r="O12" s="46">
        <f>SUMIFS(台帳!$I$2:$I$2000,台帳!$A$2:$A$2000,$A12,台帳!$F$2:$F$2000,O$4)</f>
        <v>0</v>
      </c>
      <c r="P12" s="46">
        <f>SUMIFS(台帳!$I$2:$I$2000,台帳!$A$2:$A$2000,$A12,台帳!$F$2:$F$2000,P$4)</f>
        <v>0</v>
      </c>
      <c r="Q12" s="46">
        <f>SUMIFS(台帳!$I$2:$I$2000,台帳!$A$2:$A$2000,$A12,台帳!$F$2:$F$2000,Q$4)</f>
        <v>0</v>
      </c>
      <c r="R12" s="46">
        <f>SUMIFS(台帳!$I$2:$I$2000,台帳!$A$2:$A$2000,$A12,台帳!$F$2:$F$2000,R$4)</f>
        <v>0</v>
      </c>
      <c r="S12" s="46">
        <f>SUMIFS(台帳!$I$2:$I$2000,台帳!$A$2:$A$2000,$A12,台帳!$F$2:$F$2000,S$4)</f>
        <v>0</v>
      </c>
      <c r="T12" s="46">
        <f>SUMIFS(台帳!$I$2:$I$2000,台帳!$A$2:$A$2000,$A12,台帳!$F$2:$F$2000,T$4)</f>
        <v>0</v>
      </c>
      <c r="U12" s="46">
        <f>SUMIFS(台帳!$I$2:$I$2000,台帳!$A$2:$A$2000,$A12,台帳!$F$2:$F$2000,U$4)</f>
        <v>0</v>
      </c>
      <c r="V12" s="46">
        <f>SUMIFS(台帳!$I$2:$I$2000,台帳!$A$2:$A$2000,$A12,台帳!$F$2:$F$2000,V$4)</f>
        <v>0</v>
      </c>
      <c r="W12" s="46">
        <f>SUMIFS(台帳!$I$2:$I$2000,台帳!$A$2:$A$2000,$A12,台帳!$F$2:$F$2000,W$4)</f>
        <v>0</v>
      </c>
      <c r="X12" s="46">
        <f>SUMIFS(台帳!$I$2:$I$2000,台帳!$A$2:$A$2000,$A12,台帳!$F$2:$F$2000,X$4)</f>
        <v>0</v>
      </c>
      <c r="Y12" s="46">
        <f>SUMIFS(台帳!$I$2:$I$2000,台帳!$A$2:$A$2000,$A12,台帳!$F$2:$F$2000,Y$4)</f>
        <v>0</v>
      </c>
      <c r="Z12" s="46">
        <f>SUMIFS(台帳!$I$2:$I$2000,台帳!$A$2:$A$2000,$A12,台帳!$F$2:$F$2000,Z$4)</f>
        <v>0</v>
      </c>
      <c r="AA12" s="46">
        <f>SUMIFS(台帳!$I$2:$I$2000,台帳!$A$2:$A$2000,$A12,台帳!$F$2:$F$2000,AA$4)</f>
        <v>0</v>
      </c>
      <c r="AB12" s="46">
        <f>SUMIFS(台帳!$I$2:$I$2000,台帳!$A$2:$A$2000,$A12,台帳!$F$2:$F$2000,AB$4)</f>
        <v>0</v>
      </c>
      <c r="AC12" s="46">
        <f>SUMIFS(台帳!$I$2:$I$2000,台帳!$A$2:$A$2000,$A12,台帳!$F$2:$F$2000,AC$4)</f>
        <v>0</v>
      </c>
      <c r="AD12" s="46">
        <f>SUMIFS(台帳!$I$2:$I$2000,台帳!$A$2:$A$2000,$A12,台帳!$F$2:$F$2000,AD$4)</f>
        <v>0</v>
      </c>
      <c r="AE12" s="46">
        <f>SUMIFS(台帳!$I$2:$I$2000,台帳!$A$2:$A$2000,$A12,台帳!$F$2:$F$2000,AE$4)</f>
        <v>0</v>
      </c>
      <c r="AF12" s="46">
        <f>SUMIFS(台帳!$I$2:$I$2000,台帳!$A$2:$A$2000,$A12,台帳!$F$2:$F$2000,AF$4)</f>
        <v>0</v>
      </c>
      <c r="AG12" s="46">
        <f>SUMIFS(台帳!$I$2:$I$2000,台帳!$A$2:$A$2000,$A12,台帳!$F$2:$F$2000,AG$4)</f>
        <v>0</v>
      </c>
      <c r="AH12" s="46">
        <f>SUMIFS(台帳!$I$2:$I$2000,台帳!$A$2:$A$2000,$A12,台帳!$F$2:$F$2000,AH$4)</f>
        <v>0</v>
      </c>
      <c r="AI12" s="46">
        <f>SUMIFS(台帳!$I$2:$I$2000,台帳!$A$2:$A$2000,$A12,台帳!$F$2:$F$2000,AI$4)</f>
        <v>0</v>
      </c>
      <c r="AJ12" s="46">
        <f>SUMIFS(台帳!$I$2:$I$2000,台帳!$A$2:$A$2000,$A12,台帳!$F$2:$F$2000,AJ$4)</f>
        <v>0</v>
      </c>
      <c r="AK12" s="46">
        <f>SUMIFS(台帳!$I$2:$I$2000,台帳!$A$2:$A$2000,$A12,台帳!$F$2:$F$2000,AK$4)</f>
        <v>0</v>
      </c>
      <c r="AL12" s="46">
        <f>SUMIFS(台帳!$I$2:$I$2000,台帳!$A$2:$A$2000,$A12,台帳!$F$2:$F$2000,AL$4)</f>
        <v>0</v>
      </c>
      <c r="AM12" s="46">
        <f>SUMIFS(台帳!$I$2:$I$2000,台帳!$A$2:$A$2000,$A12,台帳!$F$2:$F$2000,AM$4)</f>
        <v>0</v>
      </c>
      <c r="AN12" s="46">
        <f>SUMIFS(台帳!$I$2:$I$2000,台帳!$A$2:$A$2000,$A12,台帳!$F$2:$F$2000,AN$4)</f>
        <v>0</v>
      </c>
      <c r="AO12" s="46">
        <f>SUMIFS(台帳!$I$2:$I$2000,台帳!$A$2:$A$2000,$A12,台帳!$F$2:$F$2000,AO$4)</f>
        <v>0</v>
      </c>
      <c r="AP12" s="46">
        <f>SUMIFS(台帳!$I$2:$I$2000,台帳!$A$2:$A$2000,$A12,台帳!$F$2:$F$2000,AP$4)</f>
        <v>0</v>
      </c>
      <c r="AQ12" s="46">
        <f>SUMIFS(台帳!$I$2:$I$2000,台帳!$A$2:$A$2000,$A12,台帳!$F$2:$F$2000,AQ$4)</f>
        <v>0</v>
      </c>
      <c r="AR12" s="46">
        <f>SUM(C12:AQ12)</f>
        <v>0</v>
      </c>
    </row>
    <row r="13" spans="1:44" ht="17.25" x14ac:dyDescent="0.35">
      <c r="A13" s="44">
        <v>46140</v>
      </c>
      <c r="B13" s="45" t="str">
        <f>CHOOSE(WEEKDAY(A13),"日","月","火","水","木","金","土")</f>
        <v>火</v>
      </c>
      <c r="C13" s="46">
        <f>SUMIFS(台帳!$I$2:$I$2000,台帳!$A$2:$A$2000,$A13,台帳!$F$2:$F$2000,C$4)</f>
        <v>0</v>
      </c>
      <c r="D13" s="46">
        <f>SUMIFS(台帳!$I$2:$I$2000,台帳!$A$2:$A$2000,$A13,台帳!$F$2:$F$2000,D$4)</f>
        <v>0</v>
      </c>
      <c r="E13" s="46">
        <f>SUMIFS(台帳!$I$2:$I$2000,台帳!$A$2:$A$2000,$A13,台帳!$F$2:$F$2000,E$4)</f>
        <v>0</v>
      </c>
      <c r="F13" s="46">
        <f>SUMIFS(台帳!$I$2:$I$2000,台帳!$A$2:$A$2000,$A13,台帳!$F$2:$F$2000,F$4)</f>
        <v>0</v>
      </c>
      <c r="G13" s="46">
        <f>SUMIFS(台帳!$I$2:$I$2000,台帳!$A$2:$A$2000,$A13,台帳!$F$2:$F$2000,G$4)</f>
        <v>0</v>
      </c>
      <c r="H13" s="46">
        <f>SUMIFS(台帳!$I$2:$I$2000,台帳!$A$2:$A$2000,$A13,台帳!$F$2:$F$2000,H$4)</f>
        <v>0</v>
      </c>
      <c r="I13" s="46">
        <f>SUMIFS(台帳!$I$2:$I$2000,台帳!$A$2:$A$2000,$A13,台帳!$F$2:$F$2000,I$4)</f>
        <v>0</v>
      </c>
      <c r="J13" s="46">
        <f>SUMIFS(台帳!$I$2:$I$2000,台帳!$A$2:$A$2000,$A13,台帳!$F$2:$F$2000,J$4)</f>
        <v>0</v>
      </c>
      <c r="K13" s="46">
        <f>SUMIFS(台帳!$I$2:$I$2000,台帳!$A$2:$A$2000,$A13,台帳!$F$2:$F$2000,K$4)</f>
        <v>0</v>
      </c>
      <c r="L13" s="46">
        <f>SUMIFS(台帳!$I$2:$I$2000,台帳!$A$2:$A$2000,$A13,台帳!$F$2:$F$2000,L$4)</f>
        <v>0</v>
      </c>
      <c r="M13" s="46">
        <f>SUMIFS(台帳!$I$2:$I$2000,台帳!$A$2:$A$2000,$A13,台帳!$F$2:$F$2000,M$4)</f>
        <v>0</v>
      </c>
      <c r="N13" s="46">
        <f>SUMIFS(台帳!$I$2:$I$2000,台帳!$A$2:$A$2000,$A13,台帳!$F$2:$F$2000,N$4)</f>
        <v>0</v>
      </c>
      <c r="O13" s="46">
        <f>SUMIFS(台帳!$I$2:$I$2000,台帳!$A$2:$A$2000,$A13,台帳!$F$2:$F$2000,O$4)</f>
        <v>0</v>
      </c>
      <c r="P13" s="46">
        <f>SUMIFS(台帳!$I$2:$I$2000,台帳!$A$2:$A$2000,$A13,台帳!$F$2:$F$2000,P$4)</f>
        <v>0</v>
      </c>
      <c r="Q13" s="46">
        <f>SUMIFS(台帳!$I$2:$I$2000,台帳!$A$2:$A$2000,$A13,台帳!$F$2:$F$2000,Q$4)</f>
        <v>0</v>
      </c>
      <c r="R13" s="46">
        <f>SUMIFS(台帳!$I$2:$I$2000,台帳!$A$2:$A$2000,$A13,台帳!$F$2:$F$2000,R$4)</f>
        <v>0</v>
      </c>
      <c r="S13" s="46">
        <f>SUMIFS(台帳!$I$2:$I$2000,台帳!$A$2:$A$2000,$A13,台帳!$F$2:$F$2000,S$4)</f>
        <v>0</v>
      </c>
      <c r="T13" s="46">
        <f>SUMIFS(台帳!$I$2:$I$2000,台帳!$A$2:$A$2000,$A13,台帳!$F$2:$F$2000,T$4)</f>
        <v>0</v>
      </c>
      <c r="U13" s="46">
        <f>SUMIFS(台帳!$I$2:$I$2000,台帳!$A$2:$A$2000,$A13,台帳!$F$2:$F$2000,U$4)</f>
        <v>0</v>
      </c>
      <c r="V13" s="46">
        <f>SUMIFS(台帳!$I$2:$I$2000,台帳!$A$2:$A$2000,$A13,台帳!$F$2:$F$2000,V$4)</f>
        <v>0</v>
      </c>
      <c r="W13" s="46">
        <f>SUMIFS(台帳!$I$2:$I$2000,台帳!$A$2:$A$2000,$A13,台帳!$F$2:$F$2000,W$4)</f>
        <v>0</v>
      </c>
      <c r="X13" s="46">
        <f>SUMIFS(台帳!$I$2:$I$2000,台帳!$A$2:$A$2000,$A13,台帳!$F$2:$F$2000,X$4)</f>
        <v>0</v>
      </c>
      <c r="Y13" s="46">
        <f>SUMIFS(台帳!$I$2:$I$2000,台帳!$A$2:$A$2000,$A13,台帳!$F$2:$F$2000,Y$4)</f>
        <v>0</v>
      </c>
      <c r="Z13" s="46">
        <f>SUMIFS(台帳!$I$2:$I$2000,台帳!$A$2:$A$2000,$A13,台帳!$F$2:$F$2000,Z$4)</f>
        <v>0</v>
      </c>
      <c r="AA13" s="46">
        <f>SUMIFS(台帳!$I$2:$I$2000,台帳!$A$2:$A$2000,$A13,台帳!$F$2:$F$2000,AA$4)</f>
        <v>0</v>
      </c>
      <c r="AB13" s="46">
        <f>SUMIFS(台帳!$I$2:$I$2000,台帳!$A$2:$A$2000,$A13,台帳!$F$2:$F$2000,AB$4)</f>
        <v>0</v>
      </c>
      <c r="AC13" s="46">
        <f>SUMIFS(台帳!$I$2:$I$2000,台帳!$A$2:$A$2000,$A13,台帳!$F$2:$F$2000,AC$4)</f>
        <v>0</v>
      </c>
      <c r="AD13" s="46">
        <f>SUMIFS(台帳!$I$2:$I$2000,台帳!$A$2:$A$2000,$A13,台帳!$F$2:$F$2000,AD$4)</f>
        <v>0</v>
      </c>
      <c r="AE13" s="46">
        <f>SUMIFS(台帳!$I$2:$I$2000,台帳!$A$2:$A$2000,$A13,台帳!$F$2:$F$2000,AE$4)</f>
        <v>0</v>
      </c>
      <c r="AF13" s="46">
        <f>SUMIFS(台帳!$I$2:$I$2000,台帳!$A$2:$A$2000,$A13,台帳!$F$2:$F$2000,AF$4)</f>
        <v>0</v>
      </c>
      <c r="AG13" s="46">
        <f>SUMIFS(台帳!$I$2:$I$2000,台帳!$A$2:$A$2000,$A13,台帳!$F$2:$F$2000,AG$4)</f>
        <v>0</v>
      </c>
      <c r="AH13" s="46">
        <f>SUMIFS(台帳!$I$2:$I$2000,台帳!$A$2:$A$2000,$A13,台帳!$F$2:$F$2000,AH$4)</f>
        <v>0</v>
      </c>
      <c r="AI13" s="46">
        <f>SUMIFS(台帳!$I$2:$I$2000,台帳!$A$2:$A$2000,$A13,台帳!$F$2:$F$2000,AI$4)</f>
        <v>0</v>
      </c>
      <c r="AJ13" s="46">
        <f>SUMIFS(台帳!$I$2:$I$2000,台帳!$A$2:$A$2000,$A13,台帳!$F$2:$F$2000,AJ$4)</f>
        <v>0</v>
      </c>
      <c r="AK13" s="46">
        <f>SUMIFS(台帳!$I$2:$I$2000,台帳!$A$2:$A$2000,$A13,台帳!$F$2:$F$2000,AK$4)</f>
        <v>0</v>
      </c>
      <c r="AL13" s="46">
        <f>SUMIFS(台帳!$I$2:$I$2000,台帳!$A$2:$A$2000,$A13,台帳!$F$2:$F$2000,AL$4)</f>
        <v>0</v>
      </c>
      <c r="AM13" s="46">
        <f>SUMIFS(台帳!$I$2:$I$2000,台帳!$A$2:$A$2000,$A13,台帳!$F$2:$F$2000,AM$4)</f>
        <v>0</v>
      </c>
      <c r="AN13" s="46">
        <f>SUMIFS(台帳!$I$2:$I$2000,台帳!$A$2:$A$2000,$A13,台帳!$F$2:$F$2000,AN$4)</f>
        <v>0</v>
      </c>
      <c r="AO13" s="46">
        <f>SUMIFS(台帳!$I$2:$I$2000,台帳!$A$2:$A$2000,$A13,台帳!$F$2:$F$2000,AO$4)</f>
        <v>0</v>
      </c>
      <c r="AP13" s="46">
        <f>SUMIFS(台帳!$I$2:$I$2000,台帳!$A$2:$A$2000,$A13,台帳!$F$2:$F$2000,AP$4)</f>
        <v>0</v>
      </c>
      <c r="AQ13" s="46">
        <f>SUMIFS(台帳!$I$2:$I$2000,台帳!$A$2:$A$2000,$A13,台帳!$F$2:$F$2000,AQ$4)</f>
        <v>0</v>
      </c>
      <c r="AR13" s="46">
        <f>SUM(C13:AQ13)</f>
        <v>0</v>
      </c>
    </row>
    <row r="14" spans="1:44" ht="17.25" x14ac:dyDescent="0.35">
      <c r="A14" s="44">
        <v>46141</v>
      </c>
      <c r="B14" s="45" t="str">
        <f>CHOOSE(WEEKDAY(A14),"日","月","火","水","木","金","土")</f>
        <v>水</v>
      </c>
      <c r="C14" s="46">
        <f>SUMIFS(台帳!$I$2:$I$2000,台帳!$A$2:$A$2000,$A14,台帳!$F$2:$F$2000,C$4)</f>
        <v>0</v>
      </c>
      <c r="D14" s="46">
        <f>SUMIFS(台帳!$I$2:$I$2000,台帳!$A$2:$A$2000,$A14,台帳!$F$2:$F$2000,D$4)</f>
        <v>0</v>
      </c>
      <c r="E14" s="46">
        <f>SUMIFS(台帳!$I$2:$I$2000,台帳!$A$2:$A$2000,$A14,台帳!$F$2:$F$2000,E$4)</f>
        <v>0</v>
      </c>
      <c r="F14" s="46">
        <f>SUMIFS(台帳!$I$2:$I$2000,台帳!$A$2:$A$2000,$A14,台帳!$F$2:$F$2000,F$4)</f>
        <v>0</v>
      </c>
      <c r="G14" s="46">
        <f>SUMIFS(台帳!$I$2:$I$2000,台帳!$A$2:$A$2000,$A14,台帳!$F$2:$F$2000,G$4)</f>
        <v>0</v>
      </c>
      <c r="H14" s="46">
        <f>SUMIFS(台帳!$I$2:$I$2000,台帳!$A$2:$A$2000,$A14,台帳!$F$2:$F$2000,H$4)</f>
        <v>0</v>
      </c>
      <c r="I14" s="46">
        <f>SUMIFS(台帳!$I$2:$I$2000,台帳!$A$2:$A$2000,$A14,台帳!$F$2:$F$2000,I$4)</f>
        <v>0</v>
      </c>
      <c r="J14" s="46">
        <f>SUMIFS(台帳!$I$2:$I$2000,台帳!$A$2:$A$2000,$A14,台帳!$F$2:$F$2000,J$4)</f>
        <v>0</v>
      </c>
      <c r="K14" s="46">
        <f>SUMIFS(台帳!$I$2:$I$2000,台帳!$A$2:$A$2000,$A14,台帳!$F$2:$F$2000,K$4)</f>
        <v>0</v>
      </c>
      <c r="L14" s="46">
        <f>SUMIFS(台帳!$I$2:$I$2000,台帳!$A$2:$A$2000,$A14,台帳!$F$2:$F$2000,L$4)</f>
        <v>0</v>
      </c>
      <c r="M14" s="46">
        <f>SUMIFS(台帳!$I$2:$I$2000,台帳!$A$2:$A$2000,$A14,台帳!$F$2:$F$2000,M$4)</f>
        <v>0</v>
      </c>
      <c r="N14" s="46">
        <f>SUMIFS(台帳!$I$2:$I$2000,台帳!$A$2:$A$2000,$A14,台帳!$F$2:$F$2000,N$4)</f>
        <v>0</v>
      </c>
      <c r="O14" s="46">
        <f>SUMIFS(台帳!$I$2:$I$2000,台帳!$A$2:$A$2000,$A14,台帳!$F$2:$F$2000,O$4)</f>
        <v>0</v>
      </c>
      <c r="P14" s="46">
        <f>SUMIFS(台帳!$I$2:$I$2000,台帳!$A$2:$A$2000,$A14,台帳!$F$2:$F$2000,P$4)</f>
        <v>0</v>
      </c>
      <c r="Q14" s="46">
        <f>SUMIFS(台帳!$I$2:$I$2000,台帳!$A$2:$A$2000,$A14,台帳!$F$2:$F$2000,Q$4)</f>
        <v>0</v>
      </c>
      <c r="R14" s="46">
        <f>SUMIFS(台帳!$I$2:$I$2000,台帳!$A$2:$A$2000,$A14,台帳!$F$2:$F$2000,R$4)</f>
        <v>0</v>
      </c>
      <c r="S14" s="46">
        <f>SUMIFS(台帳!$I$2:$I$2000,台帳!$A$2:$A$2000,$A14,台帳!$F$2:$F$2000,S$4)</f>
        <v>0</v>
      </c>
      <c r="T14" s="46">
        <f>SUMIFS(台帳!$I$2:$I$2000,台帳!$A$2:$A$2000,$A14,台帳!$F$2:$F$2000,T$4)</f>
        <v>0</v>
      </c>
      <c r="U14" s="46">
        <f>SUMIFS(台帳!$I$2:$I$2000,台帳!$A$2:$A$2000,$A14,台帳!$F$2:$F$2000,U$4)</f>
        <v>0</v>
      </c>
      <c r="V14" s="46">
        <f>SUMIFS(台帳!$I$2:$I$2000,台帳!$A$2:$A$2000,$A14,台帳!$F$2:$F$2000,V$4)</f>
        <v>0</v>
      </c>
      <c r="W14" s="46">
        <f>SUMIFS(台帳!$I$2:$I$2000,台帳!$A$2:$A$2000,$A14,台帳!$F$2:$F$2000,W$4)</f>
        <v>0</v>
      </c>
      <c r="X14" s="46">
        <f>SUMIFS(台帳!$I$2:$I$2000,台帳!$A$2:$A$2000,$A14,台帳!$F$2:$F$2000,X$4)</f>
        <v>0</v>
      </c>
      <c r="Y14" s="46">
        <f>SUMIFS(台帳!$I$2:$I$2000,台帳!$A$2:$A$2000,$A14,台帳!$F$2:$F$2000,Y$4)</f>
        <v>0</v>
      </c>
      <c r="Z14" s="46">
        <f>SUMIFS(台帳!$I$2:$I$2000,台帳!$A$2:$A$2000,$A14,台帳!$F$2:$F$2000,Z$4)</f>
        <v>0</v>
      </c>
      <c r="AA14" s="46">
        <f>SUMIFS(台帳!$I$2:$I$2000,台帳!$A$2:$A$2000,$A14,台帳!$F$2:$F$2000,AA$4)</f>
        <v>0</v>
      </c>
      <c r="AB14" s="46">
        <f>SUMIFS(台帳!$I$2:$I$2000,台帳!$A$2:$A$2000,$A14,台帳!$F$2:$F$2000,AB$4)</f>
        <v>0</v>
      </c>
      <c r="AC14" s="46">
        <f>SUMIFS(台帳!$I$2:$I$2000,台帳!$A$2:$A$2000,$A14,台帳!$F$2:$F$2000,AC$4)</f>
        <v>0</v>
      </c>
      <c r="AD14" s="46">
        <f>SUMIFS(台帳!$I$2:$I$2000,台帳!$A$2:$A$2000,$A14,台帳!$F$2:$F$2000,AD$4)</f>
        <v>0</v>
      </c>
      <c r="AE14" s="46">
        <f>SUMIFS(台帳!$I$2:$I$2000,台帳!$A$2:$A$2000,$A14,台帳!$F$2:$F$2000,AE$4)</f>
        <v>0</v>
      </c>
      <c r="AF14" s="46">
        <f>SUMIFS(台帳!$I$2:$I$2000,台帳!$A$2:$A$2000,$A14,台帳!$F$2:$F$2000,AF$4)</f>
        <v>0</v>
      </c>
      <c r="AG14" s="46">
        <f>SUMIFS(台帳!$I$2:$I$2000,台帳!$A$2:$A$2000,$A14,台帳!$F$2:$F$2000,AG$4)</f>
        <v>0</v>
      </c>
      <c r="AH14" s="46">
        <f>SUMIFS(台帳!$I$2:$I$2000,台帳!$A$2:$A$2000,$A14,台帳!$F$2:$F$2000,AH$4)</f>
        <v>0</v>
      </c>
      <c r="AI14" s="46">
        <f>SUMIFS(台帳!$I$2:$I$2000,台帳!$A$2:$A$2000,$A14,台帳!$F$2:$F$2000,AI$4)</f>
        <v>0</v>
      </c>
      <c r="AJ14" s="46">
        <f>SUMIFS(台帳!$I$2:$I$2000,台帳!$A$2:$A$2000,$A14,台帳!$F$2:$F$2000,AJ$4)</f>
        <v>0</v>
      </c>
      <c r="AK14" s="46">
        <f>SUMIFS(台帳!$I$2:$I$2000,台帳!$A$2:$A$2000,$A14,台帳!$F$2:$F$2000,AK$4)</f>
        <v>0</v>
      </c>
      <c r="AL14" s="46">
        <f>SUMIFS(台帳!$I$2:$I$2000,台帳!$A$2:$A$2000,$A14,台帳!$F$2:$F$2000,AL$4)</f>
        <v>0</v>
      </c>
      <c r="AM14" s="46">
        <f>SUMIFS(台帳!$I$2:$I$2000,台帳!$A$2:$A$2000,$A14,台帳!$F$2:$F$2000,AM$4)</f>
        <v>0</v>
      </c>
      <c r="AN14" s="46">
        <f>SUMIFS(台帳!$I$2:$I$2000,台帳!$A$2:$A$2000,$A14,台帳!$F$2:$F$2000,AN$4)</f>
        <v>0</v>
      </c>
      <c r="AO14" s="46">
        <f>SUMIFS(台帳!$I$2:$I$2000,台帳!$A$2:$A$2000,$A14,台帳!$F$2:$F$2000,AO$4)</f>
        <v>0</v>
      </c>
      <c r="AP14" s="46">
        <f>SUMIFS(台帳!$I$2:$I$2000,台帳!$A$2:$A$2000,$A14,台帳!$F$2:$F$2000,AP$4)</f>
        <v>0</v>
      </c>
      <c r="AQ14" s="46">
        <f>SUMIFS(台帳!$I$2:$I$2000,台帳!$A$2:$A$2000,$A14,台帳!$F$2:$F$2000,AQ$4)</f>
        <v>0</v>
      </c>
      <c r="AR14" s="46">
        <f>SUM(C14:AQ14)</f>
        <v>0</v>
      </c>
    </row>
    <row r="15" spans="1:44" ht="17.25" x14ac:dyDescent="0.35">
      <c r="A15" s="44">
        <v>46142</v>
      </c>
      <c r="B15" s="45" t="str">
        <f>CHOOSE(WEEKDAY(A15),"日","月","火","水","木","金","土")</f>
        <v>木</v>
      </c>
      <c r="C15" s="46">
        <f>SUMIFS(台帳!$I$2:$I$2000,台帳!$A$2:$A$2000,$A15,台帳!$F$2:$F$2000,C$4)</f>
        <v>0</v>
      </c>
      <c r="D15" s="46">
        <f>SUMIFS(台帳!$I$2:$I$2000,台帳!$A$2:$A$2000,$A15,台帳!$F$2:$F$2000,D$4)</f>
        <v>0</v>
      </c>
      <c r="E15" s="46">
        <f>SUMIFS(台帳!$I$2:$I$2000,台帳!$A$2:$A$2000,$A15,台帳!$F$2:$F$2000,E$4)</f>
        <v>0</v>
      </c>
      <c r="F15" s="46">
        <f>SUMIFS(台帳!$I$2:$I$2000,台帳!$A$2:$A$2000,$A15,台帳!$F$2:$F$2000,F$4)</f>
        <v>0</v>
      </c>
      <c r="G15" s="46">
        <f>SUMIFS(台帳!$I$2:$I$2000,台帳!$A$2:$A$2000,$A15,台帳!$F$2:$F$2000,G$4)</f>
        <v>0</v>
      </c>
      <c r="H15" s="46">
        <f>SUMIFS(台帳!$I$2:$I$2000,台帳!$A$2:$A$2000,$A15,台帳!$F$2:$F$2000,H$4)</f>
        <v>0</v>
      </c>
      <c r="I15" s="46">
        <f>SUMIFS(台帳!$I$2:$I$2000,台帳!$A$2:$A$2000,$A15,台帳!$F$2:$F$2000,I$4)</f>
        <v>0</v>
      </c>
      <c r="J15" s="46">
        <f>SUMIFS(台帳!$I$2:$I$2000,台帳!$A$2:$A$2000,$A15,台帳!$F$2:$F$2000,J$4)</f>
        <v>0</v>
      </c>
      <c r="K15" s="46">
        <f>SUMIFS(台帳!$I$2:$I$2000,台帳!$A$2:$A$2000,$A15,台帳!$F$2:$F$2000,K$4)</f>
        <v>0</v>
      </c>
      <c r="L15" s="46">
        <f>SUMIFS(台帳!$I$2:$I$2000,台帳!$A$2:$A$2000,$A15,台帳!$F$2:$F$2000,L$4)</f>
        <v>0</v>
      </c>
      <c r="M15" s="46">
        <f>SUMIFS(台帳!$I$2:$I$2000,台帳!$A$2:$A$2000,$A15,台帳!$F$2:$F$2000,M$4)</f>
        <v>0</v>
      </c>
      <c r="N15" s="46">
        <f>SUMIFS(台帳!$I$2:$I$2000,台帳!$A$2:$A$2000,$A15,台帳!$F$2:$F$2000,N$4)</f>
        <v>0</v>
      </c>
      <c r="O15" s="46">
        <f>SUMIFS(台帳!$I$2:$I$2000,台帳!$A$2:$A$2000,$A15,台帳!$F$2:$F$2000,O$4)</f>
        <v>0</v>
      </c>
      <c r="P15" s="46">
        <f>SUMIFS(台帳!$I$2:$I$2000,台帳!$A$2:$A$2000,$A15,台帳!$F$2:$F$2000,P$4)</f>
        <v>0</v>
      </c>
      <c r="Q15" s="46">
        <f>SUMIFS(台帳!$I$2:$I$2000,台帳!$A$2:$A$2000,$A15,台帳!$F$2:$F$2000,Q$4)</f>
        <v>0</v>
      </c>
      <c r="R15" s="46">
        <f>SUMIFS(台帳!$I$2:$I$2000,台帳!$A$2:$A$2000,$A15,台帳!$F$2:$F$2000,R$4)</f>
        <v>0</v>
      </c>
      <c r="S15" s="46">
        <f>SUMIFS(台帳!$I$2:$I$2000,台帳!$A$2:$A$2000,$A15,台帳!$F$2:$F$2000,S$4)</f>
        <v>0</v>
      </c>
      <c r="T15" s="46">
        <f>SUMIFS(台帳!$I$2:$I$2000,台帳!$A$2:$A$2000,$A15,台帳!$F$2:$F$2000,T$4)</f>
        <v>0</v>
      </c>
      <c r="U15" s="46">
        <f>SUMIFS(台帳!$I$2:$I$2000,台帳!$A$2:$A$2000,$A15,台帳!$F$2:$F$2000,U$4)</f>
        <v>0</v>
      </c>
      <c r="V15" s="46">
        <f>SUMIFS(台帳!$I$2:$I$2000,台帳!$A$2:$A$2000,$A15,台帳!$F$2:$F$2000,V$4)</f>
        <v>0</v>
      </c>
      <c r="W15" s="46">
        <f>SUMIFS(台帳!$I$2:$I$2000,台帳!$A$2:$A$2000,$A15,台帳!$F$2:$F$2000,W$4)</f>
        <v>0</v>
      </c>
      <c r="X15" s="46">
        <f>SUMIFS(台帳!$I$2:$I$2000,台帳!$A$2:$A$2000,$A15,台帳!$F$2:$F$2000,X$4)</f>
        <v>0</v>
      </c>
      <c r="Y15" s="46">
        <f>SUMIFS(台帳!$I$2:$I$2000,台帳!$A$2:$A$2000,$A15,台帳!$F$2:$F$2000,Y$4)</f>
        <v>0</v>
      </c>
      <c r="Z15" s="46">
        <f>SUMIFS(台帳!$I$2:$I$2000,台帳!$A$2:$A$2000,$A15,台帳!$F$2:$F$2000,Z$4)</f>
        <v>0</v>
      </c>
      <c r="AA15" s="46">
        <f>SUMIFS(台帳!$I$2:$I$2000,台帳!$A$2:$A$2000,$A15,台帳!$F$2:$F$2000,AA$4)</f>
        <v>0</v>
      </c>
      <c r="AB15" s="46">
        <f>SUMIFS(台帳!$I$2:$I$2000,台帳!$A$2:$A$2000,$A15,台帳!$F$2:$F$2000,AB$4)</f>
        <v>0</v>
      </c>
      <c r="AC15" s="46">
        <f>SUMIFS(台帳!$I$2:$I$2000,台帳!$A$2:$A$2000,$A15,台帳!$F$2:$F$2000,AC$4)</f>
        <v>0</v>
      </c>
      <c r="AD15" s="46">
        <f>SUMIFS(台帳!$I$2:$I$2000,台帳!$A$2:$A$2000,$A15,台帳!$F$2:$F$2000,AD$4)</f>
        <v>0</v>
      </c>
      <c r="AE15" s="46">
        <f>SUMIFS(台帳!$I$2:$I$2000,台帳!$A$2:$A$2000,$A15,台帳!$F$2:$F$2000,AE$4)</f>
        <v>0</v>
      </c>
      <c r="AF15" s="46">
        <f>SUMIFS(台帳!$I$2:$I$2000,台帳!$A$2:$A$2000,$A15,台帳!$F$2:$F$2000,AF$4)</f>
        <v>0</v>
      </c>
      <c r="AG15" s="46">
        <f>SUMIFS(台帳!$I$2:$I$2000,台帳!$A$2:$A$2000,$A15,台帳!$F$2:$F$2000,AG$4)</f>
        <v>0</v>
      </c>
      <c r="AH15" s="46">
        <f>SUMIFS(台帳!$I$2:$I$2000,台帳!$A$2:$A$2000,$A15,台帳!$F$2:$F$2000,AH$4)</f>
        <v>0</v>
      </c>
      <c r="AI15" s="46">
        <f>SUMIFS(台帳!$I$2:$I$2000,台帳!$A$2:$A$2000,$A15,台帳!$F$2:$F$2000,AI$4)</f>
        <v>0</v>
      </c>
      <c r="AJ15" s="46">
        <f>SUMIFS(台帳!$I$2:$I$2000,台帳!$A$2:$A$2000,$A15,台帳!$F$2:$F$2000,AJ$4)</f>
        <v>0</v>
      </c>
      <c r="AK15" s="46">
        <f>SUMIFS(台帳!$I$2:$I$2000,台帳!$A$2:$A$2000,$A15,台帳!$F$2:$F$2000,AK$4)</f>
        <v>0</v>
      </c>
      <c r="AL15" s="46">
        <f>SUMIFS(台帳!$I$2:$I$2000,台帳!$A$2:$A$2000,$A15,台帳!$F$2:$F$2000,AL$4)</f>
        <v>0</v>
      </c>
      <c r="AM15" s="46">
        <f>SUMIFS(台帳!$I$2:$I$2000,台帳!$A$2:$A$2000,$A15,台帳!$F$2:$F$2000,AM$4)</f>
        <v>0</v>
      </c>
      <c r="AN15" s="46">
        <f>SUMIFS(台帳!$I$2:$I$2000,台帳!$A$2:$A$2000,$A15,台帳!$F$2:$F$2000,AN$4)</f>
        <v>0</v>
      </c>
      <c r="AO15" s="46">
        <f>SUMIFS(台帳!$I$2:$I$2000,台帳!$A$2:$A$2000,$A15,台帳!$F$2:$F$2000,AO$4)</f>
        <v>0</v>
      </c>
      <c r="AP15" s="46">
        <f>SUMIFS(台帳!$I$2:$I$2000,台帳!$A$2:$A$2000,$A15,台帳!$F$2:$F$2000,AP$4)</f>
        <v>0</v>
      </c>
      <c r="AQ15" s="46">
        <f>SUMIFS(台帳!$I$2:$I$2000,台帳!$A$2:$A$2000,$A15,台帳!$F$2:$F$2000,AQ$4)</f>
        <v>0</v>
      </c>
      <c r="AR15" s="46">
        <f>SUM(C15:AQ15)</f>
        <v>0</v>
      </c>
    </row>
    <row r="16" spans="1:44" ht="17.25" x14ac:dyDescent="0.35">
      <c r="A16" s="44">
        <v>46143</v>
      </c>
      <c r="B16" s="45" t="str">
        <f>CHOOSE(WEEKDAY(A16),"日","月","火","水","木","金","土")</f>
        <v>金</v>
      </c>
      <c r="C16" s="46">
        <f>SUMIFS(台帳!$I$2:$I$2000,台帳!$A$2:$A$2000,$A16,台帳!$F$2:$F$2000,C$4)</f>
        <v>0</v>
      </c>
      <c r="D16" s="46">
        <f>SUMIFS(台帳!$I$2:$I$2000,台帳!$A$2:$A$2000,$A16,台帳!$F$2:$F$2000,D$4)</f>
        <v>0</v>
      </c>
      <c r="E16" s="46">
        <f>SUMIFS(台帳!$I$2:$I$2000,台帳!$A$2:$A$2000,$A16,台帳!$F$2:$F$2000,E$4)</f>
        <v>0</v>
      </c>
      <c r="F16" s="46">
        <f>SUMIFS(台帳!$I$2:$I$2000,台帳!$A$2:$A$2000,$A16,台帳!$F$2:$F$2000,F$4)</f>
        <v>0</v>
      </c>
      <c r="G16" s="46">
        <f>SUMIFS(台帳!$I$2:$I$2000,台帳!$A$2:$A$2000,$A16,台帳!$F$2:$F$2000,G$4)</f>
        <v>0</v>
      </c>
      <c r="H16" s="46">
        <f>SUMIFS(台帳!$I$2:$I$2000,台帳!$A$2:$A$2000,$A16,台帳!$F$2:$F$2000,H$4)</f>
        <v>0</v>
      </c>
      <c r="I16" s="46">
        <f>SUMIFS(台帳!$I$2:$I$2000,台帳!$A$2:$A$2000,$A16,台帳!$F$2:$F$2000,I$4)</f>
        <v>0</v>
      </c>
      <c r="J16" s="46">
        <f>SUMIFS(台帳!$I$2:$I$2000,台帳!$A$2:$A$2000,$A16,台帳!$F$2:$F$2000,J$4)</f>
        <v>0</v>
      </c>
      <c r="K16" s="46">
        <f>SUMIFS(台帳!$I$2:$I$2000,台帳!$A$2:$A$2000,$A16,台帳!$F$2:$F$2000,K$4)</f>
        <v>0</v>
      </c>
      <c r="L16" s="46">
        <f>SUMIFS(台帳!$I$2:$I$2000,台帳!$A$2:$A$2000,$A16,台帳!$F$2:$F$2000,L$4)</f>
        <v>0</v>
      </c>
      <c r="M16" s="46">
        <f>SUMIFS(台帳!$I$2:$I$2000,台帳!$A$2:$A$2000,$A16,台帳!$F$2:$F$2000,M$4)</f>
        <v>0</v>
      </c>
      <c r="N16" s="46">
        <f>SUMIFS(台帳!$I$2:$I$2000,台帳!$A$2:$A$2000,$A16,台帳!$F$2:$F$2000,N$4)</f>
        <v>0</v>
      </c>
      <c r="O16" s="46">
        <f>SUMIFS(台帳!$I$2:$I$2000,台帳!$A$2:$A$2000,$A16,台帳!$F$2:$F$2000,O$4)</f>
        <v>0</v>
      </c>
      <c r="P16" s="46">
        <f>SUMIFS(台帳!$I$2:$I$2000,台帳!$A$2:$A$2000,$A16,台帳!$F$2:$F$2000,P$4)</f>
        <v>0</v>
      </c>
      <c r="Q16" s="46">
        <f>SUMIFS(台帳!$I$2:$I$2000,台帳!$A$2:$A$2000,$A16,台帳!$F$2:$F$2000,Q$4)</f>
        <v>0</v>
      </c>
      <c r="R16" s="46">
        <f>SUMIFS(台帳!$I$2:$I$2000,台帳!$A$2:$A$2000,$A16,台帳!$F$2:$F$2000,R$4)</f>
        <v>0</v>
      </c>
      <c r="S16" s="46">
        <f>SUMIFS(台帳!$I$2:$I$2000,台帳!$A$2:$A$2000,$A16,台帳!$F$2:$F$2000,S$4)</f>
        <v>0</v>
      </c>
      <c r="T16" s="46">
        <f>SUMIFS(台帳!$I$2:$I$2000,台帳!$A$2:$A$2000,$A16,台帳!$F$2:$F$2000,T$4)</f>
        <v>0</v>
      </c>
      <c r="U16" s="46">
        <f>SUMIFS(台帳!$I$2:$I$2000,台帳!$A$2:$A$2000,$A16,台帳!$F$2:$F$2000,U$4)</f>
        <v>0</v>
      </c>
      <c r="V16" s="46">
        <f>SUMIFS(台帳!$I$2:$I$2000,台帳!$A$2:$A$2000,$A16,台帳!$F$2:$F$2000,V$4)</f>
        <v>0</v>
      </c>
      <c r="W16" s="46">
        <f>SUMIFS(台帳!$I$2:$I$2000,台帳!$A$2:$A$2000,$A16,台帳!$F$2:$F$2000,W$4)</f>
        <v>0</v>
      </c>
      <c r="X16" s="46">
        <f>SUMIFS(台帳!$I$2:$I$2000,台帳!$A$2:$A$2000,$A16,台帳!$F$2:$F$2000,X$4)</f>
        <v>0</v>
      </c>
      <c r="Y16" s="46">
        <f>SUMIFS(台帳!$I$2:$I$2000,台帳!$A$2:$A$2000,$A16,台帳!$F$2:$F$2000,Y$4)</f>
        <v>0</v>
      </c>
      <c r="Z16" s="46">
        <f>SUMIFS(台帳!$I$2:$I$2000,台帳!$A$2:$A$2000,$A16,台帳!$F$2:$F$2000,Z$4)</f>
        <v>0</v>
      </c>
      <c r="AA16" s="46">
        <f>SUMIFS(台帳!$I$2:$I$2000,台帳!$A$2:$A$2000,$A16,台帳!$F$2:$F$2000,AA$4)</f>
        <v>0</v>
      </c>
      <c r="AB16" s="46">
        <f>SUMIFS(台帳!$I$2:$I$2000,台帳!$A$2:$A$2000,$A16,台帳!$F$2:$F$2000,AB$4)</f>
        <v>0</v>
      </c>
      <c r="AC16" s="46">
        <f>SUMIFS(台帳!$I$2:$I$2000,台帳!$A$2:$A$2000,$A16,台帳!$F$2:$F$2000,AC$4)</f>
        <v>0</v>
      </c>
      <c r="AD16" s="46">
        <f>SUMIFS(台帳!$I$2:$I$2000,台帳!$A$2:$A$2000,$A16,台帳!$F$2:$F$2000,AD$4)</f>
        <v>0</v>
      </c>
      <c r="AE16" s="46">
        <f>SUMIFS(台帳!$I$2:$I$2000,台帳!$A$2:$A$2000,$A16,台帳!$F$2:$F$2000,AE$4)</f>
        <v>0</v>
      </c>
      <c r="AF16" s="46">
        <f>SUMIFS(台帳!$I$2:$I$2000,台帳!$A$2:$A$2000,$A16,台帳!$F$2:$F$2000,AF$4)</f>
        <v>0</v>
      </c>
      <c r="AG16" s="46">
        <f>SUMIFS(台帳!$I$2:$I$2000,台帳!$A$2:$A$2000,$A16,台帳!$F$2:$F$2000,AG$4)</f>
        <v>0</v>
      </c>
      <c r="AH16" s="46">
        <f>SUMIFS(台帳!$I$2:$I$2000,台帳!$A$2:$A$2000,$A16,台帳!$F$2:$F$2000,AH$4)</f>
        <v>0</v>
      </c>
      <c r="AI16" s="46">
        <f>SUMIFS(台帳!$I$2:$I$2000,台帳!$A$2:$A$2000,$A16,台帳!$F$2:$F$2000,AI$4)</f>
        <v>0</v>
      </c>
      <c r="AJ16" s="46">
        <f>SUMIFS(台帳!$I$2:$I$2000,台帳!$A$2:$A$2000,$A16,台帳!$F$2:$F$2000,AJ$4)</f>
        <v>0</v>
      </c>
      <c r="AK16" s="46">
        <f>SUMIFS(台帳!$I$2:$I$2000,台帳!$A$2:$A$2000,$A16,台帳!$F$2:$F$2000,AK$4)</f>
        <v>0</v>
      </c>
      <c r="AL16" s="46">
        <f>SUMIFS(台帳!$I$2:$I$2000,台帳!$A$2:$A$2000,$A16,台帳!$F$2:$F$2000,AL$4)</f>
        <v>0</v>
      </c>
      <c r="AM16" s="46">
        <f>SUMIFS(台帳!$I$2:$I$2000,台帳!$A$2:$A$2000,$A16,台帳!$F$2:$F$2000,AM$4)</f>
        <v>0</v>
      </c>
      <c r="AN16" s="46">
        <f>SUMIFS(台帳!$I$2:$I$2000,台帳!$A$2:$A$2000,$A16,台帳!$F$2:$F$2000,AN$4)</f>
        <v>0</v>
      </c>
      <c r="AO16" s="46">
        <f>SUMIFS(台帳!$I$2:$I$2000,台帳!$A$2:$A$2000,$A16,台帳!$F$2:$F$2000,AO$4)</f>
        <v>0</v>
      </c>
      <c r="AP16" s="46">
        <f>SUMIFS(台帳!$I$2:$I$2000,台帳!$A$2:$A$2000,$A16,台帳!$F$2:$F$2000,AP$4)</f>
        <v>0</v>
      </c>
      <c r="AQ16" s="46">
        <f>SUMIFS(台帳!$I$2:$I$2000,台帳!$A$2:$A$2000,$A16,台帳!$F$2:$F$2000,AQ$4)</f>
        <v>0</v>
      </c>
      <c r="AR16" s="46">
        <f>SUM(C16:AQ16)</f>
        <v>0</v>
      </c>
    </row>
    <row r="17" spans="1:44" ht="17.25" x14ac:dyDescent="0.35">
      <c r="A17" s="44">
        <v>46144</v>
      </c>
      <c r="B17" s="45" t="str">
        <f>CHOOSE(WEEKDAY(A17),"日","月","火","水","木","金","土")</f>
        <v>土</v>
      </c>
      <c r="C17" s="46">
        <f>SUMIFS(台帳!$I$2:$I$2000,台帳!$A$2:$A$2000,$A17,台帳!$F$2:$F$2000,C$4)</f>
        <v>0</v>
      </c>
      <c r="D17" s="46">
        <f>SUMIFS(台帳!$I$2:$I$2000,台帳!$A$2:$A$2000,$A17,台帳!$F$2:$F$2000,D$4)</f>
        <v>0</v>
      </c>
      <c r="E17" s="46">
        <f>SUMIFS(台帳!$I$2:$I$2000,台帳!$A$2:$A$2000,$A17,台帳!$F$2:$F$2000,E$4)</f>
        <v>0</v>
      </c>
      <c r="F17" s="46">
        <f>SUMIFS(台帳!$I$2:$I$2000,台帳!$A$2:$A$2000,$A17,台帳!$F$2:$F$2000,F$4)</f>
        <v>0</v>
      </c>
      <c r="G17" s="46">
        <f>SUMIFS(台帳!$I$2:$I$2000,台帳!$A$2:$A$2000,$A17,台帳!$F$2:$F$2000,G$4)</f>
        <v>0</v>
      </c>
      <c r="H17" s="46">
        <f>SUMIFS(台帳!$I$2:$I$2000,台帳!$A$2:$A$2000,$A17,台帳!$F$2:$F$2000,H$4)</f>
        <v>0</v>
      </c>
      <c r="I17" s="46">
        <f>SUMIFS(台帳!$I$2:$I$2000,台帳!$A$2:$A$2000,$A17,台帳!$F$2:$F$2000,I$4)</f>
        <v>0</v>
      </c>
      <c r="J17" s="46">
        <f>SUMIFS(台帳!$I$2:$I$2000,台帳!$A$2:$A$2000,$A17,台帳!$F$2:$F$2000,J$4)</f>
        <v>0</v>
      </c>
      <c r="K17" s="46">
        <f>SUMIFS(台帳!$I$2:$I$2000,台帳!$A$2:$A$2000,$A17,台帳!$F$2:$F$2000,K$4)</f>
        <v>0</v>
      </c>
      <c r="L17" s="46">
        <f>SUMIFS(台帳!$I$2:$I$2000,台帳!$A$2:$A$2000,$A17,台帳!$F$2:$F$2000,L$4)</f>
        <v>0</v>
      </c>
      <c r="M17" s="46">
        <f>SUMIFS(台帳!$I$2:$I$2000,台帳!$A$2:$A$2000,$A17,台帳!$F$2:$F$2000,M$4)</f>
        <v>0</v>
      </c>
      <c r="N17" s="46">
        <f>SUMIFS(台帳!$I$2:$I$2000,台帳!$A$2:$A$2000,$A17,台帳!$F$2:$F$2000,N$4)</f>
        <v>0</v>
      </c>
      <c r="O17" s="46">
        <f>SUMIFS(台帳!$I$2:$I$2000,台帳!$A$2:$A$2000,$A17,台帳!$F$2:$F$2000,O$4)</f>
        <v>0</v>
      </c>
      <c r="P17" s="46">
        <f>SUMIFS(台帳!$I$2:$I$2000,台帳!$A$2:$A$2000,$A17,台帳!$F$2:$F$2000,P$4)</f>
        <v>0</v>
      </c>
      <c r="Q17" s="46">
        <f>SUMIFS(台帳!$I$2:$I$2000,台帳!$A$2:$A$2000,$A17,台帳!$F$2:$F$2000,Q$4)</f>
        <v>0</v>
      </c>
      <c r="R17" s="46">
        <f>SUMIFS(台帳!$I$2:$I$2000,台帳!$A$2:$A$2000,$A17,台帳!$F$2:$F$2000,R$4)</f>
        <v>0</v>
      </c>
      <c r="S17" s="46">
        <f>SUMIFS(台帳!$I$2:$I$2000,台帳!$A$2:$A$2000,$A17,台帳!$F$2:$F$2000,S$4)</f>
        <v>0</v>
      </c>
      <c r="T17" s="46">
        <f>SUMIFS(台帳!$I$2:$I$2000,台帳!$A$2:$A$2000,$A17,台帳!$F$2:$F$2000,T$4)</f>
        <v>0</v>
      </c>
      <c r="U17" s="46">
        <f>SUMIFS(台帳!$I$2:$I$2000,台帳!$A$2:$A$2000,$A17,台帳!$F$2:$F$2000,U$4)</f>
        <v>0</v>
      </c>
      <c r="V17" s="46">
        <f>SUMIFS(台帳!$I$2:$I$2000,台帳!$A$2:$A$2000,$A17,台帳!$F$2:$F$2000,V$4)</f>
        <v>0</v>
      </c>
      <c r="W17" s="46">
        <f>SUMIFS(台帳!$I$2:$I$2000,台帳!$A$2:$A$2000,$A17,台帳!$F$2:$F$2000,W$4)</f>
        <v>0</v>
      </c>
      <c r="X17" s="46">
        <f>SUMIFS(台帳!$I$2:$I$2000,台帳!$A$2:$A$2000,$A17,台帳!$F$2:$F$2000,X$4)</f>
        <v>0</v>
      </c>
      <c r="Y17" s="46">
        <f>SUMIFS(台帳!$I$2:$I$2000,台帳!$A$2:$A$2000,$A17,台帳!$F$2:$F$2000,Y$4)</f>
        <v>0</v>
      </c>
      <c r="Z17" s="46">
        <f>SUMIFS(台帳!$I$2:$I$2000,台帳!$A$2:$A$2000,$A17,台帳!$F$2:$F$2000,Z$4)</f>
        <v>0</v>
      </c>
      <c r="AA17" s="46">
        <f>SUMIFS(台帳!$I$2:$I$2000,台帳!$A$2:$A$2000,$A17,台帳!$F$2:$F$2000,AA$4)</f>
        <v>0</v>
      </c>
      <c r="AB17" s="46">
        <f>SUMIFS(台帳!$I$2:$I$2000,台帳!$A$2:$A$2000,$A17,台帳!$F$2:$F$2000,AB$4)</f>
        <v>0</v>
      </c>
      <c r="AC17" s="46">
        <f>SUMIFS(台帳!$I$2:$I$2000,台帳!$A$2:$A$2000,$A17,台帳!$F$2:$F$2000,AC$4)</f>
        <v>0</v>
      </c>
      <c r="AD17" s="46">
        <f>SUMIFS(台帳!$I$2:$I$2000,台帳!$A$2:$A$2000,$A17,台帳!$F$2:$F$2000,AD$4)</f>
        <v>0</v>
      </c>
      <c r="AE17" s="46">
        <f>SUMIFS(台帳!$I$2:$I$2000,台帳!$A$2:$A$2000,$A17,台帳!$F$2:$F$2000,AE$4)</f>
        <v>0</v>
      </c>
      <c r="AF17" s="46">
        <f>SUMIFS(台帳!$I$2:$I$2000,台帳!$A$2:$A$2000,$A17,台帳!$F$2:$F$2000,AF$4)</f>
        <v>0</v>
      </c>
      <c r="AG17" s="46">
        <f>SUMIFS(台帳!$I$2:$I$2000,台帳!$A$2:$A$2000,$A17,台帳!$F$2:$F$2000,AG$4)</f>
        <v>0</v>
      </c>
      <c r="AH17" s="46">
        <f>SUMIFS(台帳!$I$2:$I$2000,台帳!$A$2:$A$2000,$A17,台帳!$F$2:$F$2000,AH$4)</f>
        <v>0</v>
      </c>
      <c r="AI17" s="46">
        <f>SUMIFS(台帳!$I$2:$I$2000,台帳!$A$2:$A$2000,$A17,台帳!$F$2:$F$2000,AI$4)</f>
        <v>0</v>
      </c>
      <c r="AJ17" s="46">
        <f>SUMIFS(台帳!$I$2:$I$2000,台帳!$A$2:$A$2000,$A17,台帳!$F$2:$F$2000,AJ$4)</f>
        <v>0</v>
      </c>
      <c r="AK17" s="46">
        <f>SUMIFS(台帳!$I$2:$I$2000,台帳!$A$2:$A$2000,$A17,台帳!$F$2:$F$2000,AK$4)</f>
        <v>0</v>
      </c>
      <c r="AL17" s="46">
        <f>SUMIFS(台帳!$I$2:$I$2000,台帳!$A$2:$A$2000,$A17,台帳!$F$2:$F$2000,AL$4)</f>
        <v>0</v>
      </c>
      <c r="AM17" s="46">
        <f>SUMIFS(台帳!$I$2:$I$2000,台帳!$A$2:$A$2000,$A17,台帳!$F$2:$F$2000,AM$4)</f>
        <v>0</v>
      </c>
      <c r="AN17" s="46">
        <f>SUMIFS(台帳!$I$2:$I$2000,台帳!$A$2:$A$2000,$A17,台帳!$F$2:$F$2000,AN$4)</f>
        <v>0</v>
      </c>
      <c r="AO17" s="46">
        <f>SUMIFS(台帳!$I$2:$I$2000,台帳!$A$2:$A$2000,$A17,台帳!$F$2:$F$2000,AO$4)</f>
        <v>0</v>
      </c>
      <c r="AP17" s="46">
        <f>SUMIFS(台帳!$I$2:$I$2000,台帳!$A$2:$A$2000,$A17,台帳!$F$2:$F$2000,AP$4)</f>
        <v>0</v>
      </c>
      <c r="AQ17" s="46">
        <f>SUMIFS(台帳!$I$2:$I$2000,台帳!$A$2:$A$2000,$A17,台帳!$F$2:$F$2000,AQ$4)</f>
        <v>0</v>
      </c>
      <c r="AR17" s="46">
        <f>SUM(C17:AQ17)</f>
        <v>0</v>
      </c>
    </row>
    <row r="18" spans="1:44" ht="17.25" x14ac:dyDescent="0.35">
      <c r="A18" s="44">
        <v>46145</v>
      </c>
      <c r="B18" s="45" t="str">
        <f>CHOOSE(WEEKDAY(A18),"日","月","火","水","木","金","土")</f>
        <v>日</v>
      </c>
      <c r="C18" s="46">
        <f>SUMIFS(台帳!$I$2:$I$2000,台帳!$A$2:$A$2000,$A18,台帳!$F$2:$F$2000,C$4)</f>
        <v>0</v>
      </c>
      <c r="D18" s="46">
        <f>SUMIFS(台帳!$I$2:$I$2000,台帳!$A$2:$A$2000,$A18,台帳!$F$2:$F$2000,D$4)</f>
        <v>0</v>
      </c>
      <c r="E18" s="46">
        <f>SUMIFS(台帳!$I$2:$I$2000,台帳!$A$2:$A$2000,$A18,台帳!$F$2:$F$2000,E$4)</f>
        <v>0</v>
      </c>
      <c r="F18" s="46">
        <f>SUMIFS(台帳!$I$2:$I$2000,台帳!$A$2:$A$2000,$A18,台帳!$F$2:$F$2000,F$4)</f>
        <v>0</v>
      </c>
      <c r="G18" s="46">
        <f>SUMIFS(台帳!$I$2:$I$2000,台帳!$A$2:$A$2000,$A18,台帳!$F$2:$F$2000,G$4)</f>
        <v>0</v>
      </c>
      <c r="H18" s="46">
        <f>SUMIFS(台帳!$I$2:$I$2000,台帳!$A$2:$A$2000,$A18,台帳!$F$2:$F$2000,H$4)</f>
        <v>0</v>
      </c>
      <c r="I18" s="46">
        <f>SUMIFS(台帳!$I$2:$I$2000,台帳!$A$2:$A$2000,$A18,台帳!$F$2:$F$2000,I$4)</f>
        <v>0</v>
      </c>
      <c r="J18" s="46">
        <f>SUMIFS(台帳!$I$2:$I$2000,台帳!$A$2:$A$2000,$A18,台帳!$F$2:$F$2000,J$4)</f>
        <v>0</v>
      </c>
      <c r="K18" s="46">
        <f>SUMIFS(台帳!$I$2:$I$2000,台帳!$A$2:$A$2000,$A18,台帳!$F$2:$F$2000,K$4)</f>
        <v>0</v>
      </c>
      <c r="L18" s="46">
        <f>SUMIFS(台帳!$I$2:$I$2000,台帳!$A$2:$A$2000,$A18,台帳!$F$2:$F$2000,L$4)</f>
        <v>0</v>
      </c>
      <c r="M18" s="46">
        <f>SUMIFS(台帳!$I$2:$I$2000,台帳!$A$2:$A$2000,$A18,台帳!$F$2:$F$2000,M$4)</f>
        <v>0</v>
      </c>
      <c r="N18" s="46">
        <f>SUMIFS(台帳!$I$2:$I$2000,台帳!$A$2:$A$2000,$A18,台帳!$F$2:$F$2000,N$4)</f>
        <v>0</v>
      </c>
      <c r="O18" s="46">
        <f>SUMIFS(台帳!$I$2:$I$2000,台帳!$A$2:$A$2000,$A18,台帳!$F$2:$F$2000,O$4)</f>
        <v>0</v>
      </c>
      <c r="P18" s="46">
        <f>SUMIFS(台帳!$I$2:$I$2000,台帳!$A$2:$A$2000,$A18,台帳!$F$2:$F$2000,P$4)</f>
        <v>0</v>
      </c>
      <c r="Q18" s="46">
        <f>SUMIFS(台帳!$I$2:$I$2000,台帳!$A$2:$A$2000,$A18,台帳!$F$2:$F$2000,Q$4)</f>
        <v>0</v>
      </c>
      <c r="R18" s="46">
        <f>SUMIFS(台帳!$I$2:$I$2000,台帳!$A$2:$A$2000,$A18,台帳!$F$2:$F$2000,R$4)</f>
        <v>0</v>
      </c>
      <c r="S18" s="46">
        <f>SUMIFS(台帳!$I$2:$I$2000,台帳!$A$2:$A$2000,$A18,台帳!$F$2:$F$2000,S$4)</f>
        <v>0</v>
      </c>
      <c r="T18" s="46">
        <f>SUMIFS(台帳!$I$2:$I$2000,台帳!$A$2:$A$2000,$A18,台帳!$F$2:$F$2000,T$4)</f>
        <v>0</v>
      </c>
      <c r="U18" s="46">
        <f>SUMIFS(台帳!$I$2:$I$2000,台帳!$A$2:$A$2000,$A18,台帳!$F$2:$F$2000,U$4)</f>
        <v>0</v>
      </c>
      <c r="V18" s="46">
        <f>SUMIFS(台帳!$I$2:$I$2000,台帳!$A$2:$A$2000,$A18,台帳!$F$2:$F$2000,V$4)</f>
        <v>0</v>
      </c>
      <c r="W18" s="46">
        <f>SUMIFS(台帳!$I$2:$I$2000,台帳!$A$2:$A$2000,$A18,台帳!$F$2:$F$2000,W$4)</f>
        <v>0</v>
      </c>
      <c r="X18" s="46">
        <f>SUMIFS(台帳!$I$2:$I$2000,台帳!$A$2:$A$2000,$A18,台帳!$F$2:$F$2000,X$4)</f>
        <v>0</v>
      </c>
      <c r="Y18" s="46">
        <f>SUMIFS(台帳!$I$2:$I$2000,台帳!$A$2:$A$2000,$A18,台帳!$F$2:$F$2000,Y$4)</f>
        <v>0</v>
      </c>
      <c r="Z18" s="46">
        <f>SUMIFS(台帳!$I$2:$I$2000,台帳!$A$2:$A$2000,$A18,台帳!$F$2:$F$2000,Z$4)</f>
        <v>0</v>
      </c>
      <c r="AA18" s="46">
        <f>SUMIFS(台帳!$I$2:$I$2000,台帳!$A$2:$A$2000,$A18,台帳!$F$2:$F$2000,AA$4)</f>
        <v>0</v>
      </c>
      <c r="AB18" s="46">
        <f>SUMIFS(台帳!$I$2:$I$2000,台帳!$A$2:$A$2000,$A18,台帳!$F$2:$F$2000,AB$4)</f>
        <v>0</v>
      </c>
      <c r="AC18" s="46">
        <f>SUMIFS(台帳!$I$2:$I$2000,台帳!$A$2:$A$2000,$A18,台帳!$F$2:$F$2000,AC$4)</f>
        <v>0</v>
      </c>
      <c r="AD18" s="46">
        <f>SUMIFS(台帳!$I$2:$I$2000,台帳!$A$2:$A$2000,$A18,台帳!$F$2:$F$2000,AD$4)</f>
        <v>0</v>
      </c>
      <c r="AE18" s="46">
        <f>SUMIFS(台帳!$I$2:$I$2000,台帳!$A$2:$A$2000,$A18,台帳!$F$2:$F$2000,AE$4)</f>
        <v>0</v>
      </c>
      <c r="AF18" s="46">
        <f>SUMIFS(台帳!$I$2:$I$2000,台帳!$A$2:$A$2000,$A18,台帳!$F$2:$F$2000,AF$4)</f>
        <v>0</v>
      </c>
      <c r="AG18" s="46">
        <f>SUMIFS(台帳!$I$2:$I$2000,台帳!$A$2:$A$2000,$A18,台帳!$F$2:$F$2000,AG$4)</f>
        <v>0</v>
      </c>
      <c r="AH18" s="46">
        <f>SUMIFS(台帳!$I$2:$I$2000,台帳!$A$2:$A$2000,$A18,台帳!$F$2:$F$2000,AH$4)</f>
        <v>0</v>
      </c>
      <c r="AI18" s="46">
        <f>SUMIFS(台帳!$I$2:$I$2000,台帳!$A$2:$A$2000,$A18,台帳!$F$2:$F$2000,AI$4)</f>
        <v>0</v>
      </c>
      <c r="AJ18" s="46">
        <f>SUMIFS(台帳!$I$2:$I$2000,台帳!$A$2:$A$2000,$A18,台帳!$F$2:$F$2000,AJ$4)</f>
        <v>0</v>
      </c>
      <c r="AK18" s="46">
        <f>SUMIFS(台帳!$I$2:$I$2000,台帳!$A$2:$A$2000,$A18,台帳!$F$2:$F$2000,AK$4)</f>
        <v>0</v>
      </c>
      <c r="AL18" s="46">
        <f>SUMIFS(台帳!$I$2:$I$2000,台帳!$A$2:$A$2000,$A18,台帳!$F$2:$F$2000,AL$4)</f>
        <v>0</v>
      </c>
      <c r="AM18" s="46">
        <f>SUMIFS(台帳!$I$2:$I$2000,台帳!$A$2:$A$2000,$A18,台帳!$F$2:$F$2000,AM$4)</f>
        <v>0</v>
      </c>
      <c r="AN18" s="46">
        <f>SUMIFS(台帳!$I$2:$I$2000,台帳!$A$2:$A$2000,$A18,台帳!$F$2:$F$2000,AN$4)</f>
        <v>0</v>
      </c>
      <c r="AO18" s="46">
        <f>SUMIFS(台帳!$I$2:$I$2000,台帳!$A$2:$A$2000,$A18,台帳!$F$2:$F$2000,AO$4)</f>
        <v>0</v>
      </c>
      <c r="AP18" s="46">
        <f>SUMIFS(台帳!$I$2:$I$2000,台帳!$A$2:$A$2000,$A18,台帳!$F$2:$F$2000,AP$4)</f>
        <v>0</v>
      </c>
      <c r="AQ18" s="46">
        <f>SUMIFS(台帳!$I$2:$I$2000,台帳!$A$2:$A$2000,$A18,台帳!$F$2:$F$2000,AQ$4)</f>
        <v>0</v>
      </c>
      <c r="AR18" s="46">
        <f>SUM(C18:AQ18)</f>
        <v>0</v>
      </c>
    </row>
    <row r="19" spans="1:44" ht="17.25" x14ac:dyDescent="0.35">
      <c r="A19" s="44">
        <v>46146</v>
      </c>
      <c r="B19" s="45" t="str">
        <f>CHOOSE(WEEKDAY(A19),"日","月","火","水","木","金","土")</f>
        <v>月</v>
      </c>
      <c r="C19" s="46">
        <f>SUMIFS(台帳!$I$2:$I$2000,台帳!$A$2:$A$2000,$A19,台帳!$F$2:$F$2000,C$4)</f>
        <v>0</v>
      </c>
      <c r="D19" s="46">
        <f>SUMIFS(台帳!$I$2:$I$2000,台帳!$A$2:$A$2000,$A19,台帳!$F$2:$F$2000,D$4)</f>
        <v>0</v>
      </c>
      <c r="E19" s="46">
        <f>SUMIFS(台帳!$I$2:$I$2000,台帳!$A$2:$A$2000,$A19,台帳!$F$2:$F$2000,E$4)</f>
        <v>0</v>
      </c>
      <c r="F19" s="46">
        <f>SUMIFS(台帳!$I$2:$I$2000,台帳!$A$2:$A$2000,$A19,台帳!$F$2:$F$2000,F$4)</f>
        <v>0</v>
      </c>
      <c r="G19" s="46">
        <f>SUMIFS(台帳!$I$2:$I$2000,台帳!$A$2:$A$2000,$A19,台帳!$F$2:$F$2000,G$4)</f>
        <v>0</v>
      </c>
      <c r="H19" s="46">
        <f>SUMIFS(台帳!$I$2:$I$2000,台帳!$A$2:$A$2000,$A19,台帳!$F$2:$F$2000,H$4)</f>
        <v>0</v>
      </c>
      <c r="I19" s="46">
        <f>SUMIFS(台帳!$I$2:$I$2000,台帳!$A$2:$A$2000,$A19,台帳!$F$2:$F$2000,I$4)</f>
        <v>0</v>
      </c>
      <c r="J19" s="46">
        <f>SUMIFS(台帳!$I$2:$I$2000,台帳!$A$2:$A$2000,$A19,台帳!$F$2:$F$2000,J$4)</f>
        <v>0</v>
      </c>
      <c r="K19" s="46">
        <f>SUMIFS(台帳!$I$2:$I$2000,台帳!$A$2:$A$2000,$A19,台帳!$F$2:$F$2000,K$4)</f>
        <v>0</v>
      </c>
      <c r="L19" s="46">
        <f>SUMIFS(台帳!$I$2:$I$2000,台帳!$A$2:$A$2000,$A19,台帳!$F$2:$F$2000,L$4)</f>
        <v>0</v>
      </c>
      <c r="M19" s="46">
        <f>SUMIFS(台帳!$I$2:$I$2000,台帳!$A$2:$A$2000,$A19,台帳!$F$2:$F$2000,M$4)</f>
        <v>0</v>
      </c>
      <c r="N19" s="46">
        <f>SUMIFS(台帳!$I$2:$I$2000,台帳!$A$2:$A$2000,$A19,台帳!$F$2:$F$2000,N$4)</f>
        <v>0</v>
      </c>
      <c r="O19" s="46">
        <f>SUMIFS(台帳!$I$2:$I$2000,台帳!$A$2:$A$2000,$A19,台帳!$F$2:$F$2000,O$4)</f>
        <v>0</v>
      </c>
      <c r="P19" s="46">
        <f>SUMIFS(台帳!$I$2:$I$2000,台帳!$A$2:$A$2000,$A19,台帳!$F$2:$F$2000,P$4)</f>
        <v>0</v>
      </c>
      <c r="Q19" s="46">
        <f>SUMIFS(台帳!$I$2:$I$2000,台帳!$A$2:$A$2000,$A19,台帳!$F$2:$F$2000,Q$4)</f>
        <v>0</v>
      </c>
      <c r="R19" s="46">
        <f>SUMIFS(台帳!$I$2:$I$2000,台帳!$A$2:$A$2000,$A19,台帳!$F$2:$F$2000,R$4)</f>
        <v>0</v>
      </c>
      <c r="S19" s="46">
        <f>SUMIFS(台帳!$I$2:$I$2000,台帳!$A$2:$A$2000,$A19,台帳!$F$2:$F$2000,S$4)</f>
        <v>0</v>
      </c>
      <c r="T19" s="46">
        <f>SUMIFS(台帳!$I$2:$I$2000,台帳!$A$2:$A$2000,$A19,台帳!$F$2:$F$2000,T$4)</f>
        <v>0</v>
      </c>
      <c r="U19" s="46">
        <f>SUMIFS(台帳!$I$2:$I$2000,台帳!$A$2:$A$2000,$A19,台帳!$F$2:$F$2000,U$4)</f>
        <v>0</v>
      </c>
      <c r="V19" s="46">
        <f>SUMIFS(台帳!$I$2:$I$2000,台帳!$A$2:$A$2000,$A19,台帳!$F$2:$F$2000,V$4)</f>
        <v>0</v>
      </c>
      <c r="W19" s="46">
        <f>SUMIFS(台帳!$I$2:$I$2000,台帳!$A$2:$A$2000,$A19,台帳!$F$2:$F$2000,W$4)</f>
        <v>0</v>
      </c>
      <c r="X19" s="46">
        <f>SUMIFS(台帳!$I$2:$I$2000,台帳!$A$2:$A$2000,$A19,台帳!$F$2:$F$2000,X$4)</f>
        <v>0</v>
      </c>
      <c r="Y19" s="46">
        <f>SUMIFS(台帳!$I$2:$I$2000,台帳!$A$2:$A$2000,$A19,台帳!$F$2:$F$2000,Y$4)</f>
        <v>0</v>
      </c>
      <c r="Z19" s="46">
        <f>SUMIFS(台帳!$I$2:$I$2000,台帳!$A$2:$A$2000,$A19,台帳!$F$2:$F$2000,Z$4)</f>
        <v>0</v>
      </c>
      <c r="AA19" s="46">
        <f>SUMIFS(台帳!$I$2:$I$2000,台帳!$A$2:$A$2000,$A19,台帳!$F$2:$F$2000,AA$4)</f>
        <v>0</v>
      </c>
      <c r="AB19" s="46">
        <f>SUMIFS(台帳!$I$2:$I$2000,台帳!$A$2:$A$2000,$A19,台帳!$F$2:$F$2000,AB$4)</f>
        <v>0</v>
      </c>
      <c r="AC19" s="46">
        <f>SUMIFS(台帳!$I$2:$I$2000,台帳!$A$2:$A$2000,$A19,台帳!$F$2:$F$2000,AC$4)</f>
        <v>0</v>
      </c>
      <c r="AD19" s="46">
        <f>SUMIFS(台帳!$I$2:$I$2000,台帳!$A$2:$A$2000,$A19,台帳!$F$2:$F$2000,AD$4)</f>
        <v>0</v>
      </c>
      <c r="AE19" s="46">
        <f>SUMIFS(台帳!$I$2:$I$2000,台帳!$A$2:$A$2000,$A19,台帳!$F$2:$F$2000,AE$4)</f>
        <v>0</v>
      </c>
      <c r="AF19" s="46">
        <f>SUMIFS(台帳!$I$2:$I$2000,台帳!$A$2:$A$2000,$A19,台帳!$F$2:$F$2000,AF$4)</f>
        <v>0</v>
      </c>
      <c r="AG19" s="46">
        <f>SUMIFS(台帳!$I$2:$I$2000,台帳!$A$2:$A$2000,$A19,台帳!$F$2:$F$2000,AG$4)</f>
        <v>0</v>
      </c>
      <c r="AH19" s="46">
        <f>SUMIFS(台帳!$I$2:$I$2000,台帳!$A$2:$A$2000,$A19,台帳!$F$2:$F$2000,AH$4)</f>
        <v>0</v>
      </c>
      <c r="AI19" s="46">
        <f>SUMIFS(台帳!$I$2:$I$2000,台帳!$A$2:$A$2000,$A19,台帳!$F$2:$F$2000,AI$4)</f>
        <v>0</v>
      </c>
      <c r="AJ19" s="46">
        <f>SUMIFS(台帳!$I$2:$I$2000,台帳!$A$2:$A$2000,$A19,台帳!$F$2:$F$2000,AJ$4)</f>
        <v>0</v>
      </c>
      <c r="AK19" s="46">
        <f>SUMIFS(台帳!$I$2:$I$2000,台帳!$A$2:$A$2000,$A19,台帳!$F$2:$F$2000,AK$4)</f>
        <v>0</v>
      </c>
      <c r="AL19" s="46">
        <f>SUMIFS(台帳!$I$2:$I$2000,台帳!$A$2:$A$2000,$A19,台帳!$F$2:$F$2000,AL$4)</f>
        <v>0</v>
      </c>
      <c r="AM19" s="46">
        <f>SUMIFS(台帳!$I$2:$I$2000,台帳!$A$2:$A$2000,$A19,台帳!$F$2:$F$2000,AM$4)</f>
        <v>0</v>
      </c>
      <c r="AN19" s="46">
        <f>SUMIFS(台帳!$I$2:$I$2000,台帳!$A$2:$A$2000,$A19,台帳!$F$2:$F$2000,AN$4)</f>
        <v>0</v>
      </c>
      <c r="AO19" s="46">
        <f>SUMIFS(台帳!$I$2:$I$2000,台帳!$A$2:$A$2000,$A19,台帳!$F$2:$F$2000,AO$4)</f>
        <v>0</v>
      </c>
      <c r="AP19" s="46">
        <f>SUMIFS(台帳!$I$2:$I$2000,台帳!$A$2:$A$2000,$A19,台帳!$F$2:$F$2000,AP$4)</f>
        <v>0</v>
      </c>
      <c r="AQ19" s="46">
        <f>SUMIFS(台帳!$I$2:$I$2000,台帳!$A$2:$A$2000,$A19,台帳!$F$2:$F$2000,AQ$4)</f>
        <v>0</v>
      </c>
      <c r="AR19" s="46">
        <f>SUM(C19:AQ19)</f>
        <v>0</v>
      </c>
    </row>
    <row r="20" spans="1:44" ht="17.25" x14ac:dyDescent="0.35">
      <c r="A20" s="44">
        <v>46147</v>
      </c>
      <c r="B20" s="45" t="str">
        <f>CHOOSE(WEEKDAY(A20),"日","月","火","水","木","金","土")</f>
        <v>火</v>
      </c>
      <c r="C20" s="46">
        <f>SUMIFS(台帳!$I$2:$I$2000,台帳!$A$2:$A$2000,$A20,台帳!$F$2:$F$2000,C$4)</f>
        <v>0</v>
      </c>
      <c r="D20" s="46">
        <f>SUMIFS(台帳!$I$2:$I$2000,台帳!$A$2:$A$2000,$A20,台帳!$F$2:$F$2000,D$4)</f>
        <v>0</v>
      </c>
      <c r="E20" s="46">
        <f>SUMIFS(台帳!$I$2:$I$2000,台帳!$A$2:$A$2000,$A20,台帳!$F$2:$F$2000,E$4)</f>
        <v>0</v>
      </c>
      <c r="F20" s="46">
        <f>SUMIFS(台帳!$I$2:$I$2000,台帳!$A$2:$A$2000,$A20,台帳!$F$2:$F$2000,F$4)</f>
        <v>0</v>
      </c>
      <c r="G20" s="46">
        <f>SUMIFS(台帳!$I$2:$I$2000,台帳!$A$2:$A$2000,$A20,台帳!$F$2:$F$2000,G$4)</f>
        <v>0</v>
      </c>
      <c r="H20" s="46">
        <f>SUMIFS(台帳!$I$2:$I$2000,台帳!$A$2:$A$2000,$A20,台帳!$F$2:$F$2000,H$4)</f>
        <v>0</v>
      </c>
      <c r="I20" s="46">
        <f>SUMIFS(台帳!$I$2:$I$2000,台帳!$A$2:$A$2000,$A20,台帳!$F$2:$F$2000,I$4)</f>
        <v>0</v>
      </c>
      <c r="J20" s="46">
        <f>SUMIFS(台帳!$I$2:$I$2000,台帳!$A$2:$A$2000,$A20,台帳!$F$2:$F$2000,J$4)</f>
        <v>0</v>
      </c>
      <c r="K20" s="46">
        <f>SUMIFS(台帳!$I$2:$I$2000,台帳!$A$2:$A$2000,$A20,台帳!$F$2:$F$2000,K$4)</f>
        <v>0</v>
      </c>
      <c r="L20" s="46">
        <f>SUMIFS(台帳!$I$2:$I$2000,台帳!$A$2:$A$2000,$A20,台帳!$F$2:$F$2000,L$4)</f>
        <v>0</v>
      </c>
      <c r="M20" s="46">
        <f>SUMIFS(台帳!$I$2:$I$2000,台帳!$A$2:$A$2000,$A20,台帳!$F$2:$F$2000,M$4)</f>
        <v>0</v>
      </c>
      <c r="N20" s="46">
        <f>SUMIFS(台帳!$I$2:$I$2000,台帳!$A$2:$A$2000,$A20,台帳!$F$2:$F$2000,N$4)</f>
        <v>0</v>
      </c>
      <c r="O20" s="46">
        <f>SUMIFS(台帳!$I$2:$I$2000,台帳!$A$2:$A$2000,$A20,台帳!$F$2:$F$2000,O$4)</f>
        <v>0</v>
      </c>
      <c r="P20" s="46">
        <f>SUMIFS(台帳!$I$2:$I$2000,台帳!$A$2:$A$2000,$A20,台帳!$F$2:$F$2000,P$4)</f>
        <v>0</v>
      </c>
      <c r="Q20" s="46">
        <f>SUMIFS(台帳!$I$2:$I$2000,台帳!$A$2:$A$2000,$A20,台帳!$F$2:$F$2000,Q$4)</f>
        <v>0</v>
      </c>
      <c r="R20" s="46">
        <f>SUMIFS(台帳!$I$2:$I$2000,台帳!$A$2:$A$2000,$A20,台帳!$F$2:$F$2000,R$4)</f>
        <v>0</v>
      </c>
      <c r="S20" s="46">
        <f>SUMIFS(台帳!$I$2:$I$2000,台帳!$A$2:$A$2000,$A20,台帳!$F$2:$F$2000,S$4)</f>
        <v>0</v>
      </c>
      <c r="T20" s="46">
        <f>SUMIFS(台帳!$I$2:$I$2000,台帳!$A$2:$A$2000,$A20,台帳!$F$2:$F$2000,T$4)</f>
        <v>0</v>
      </c>
      <c r="U20" s="46">
        <f>SUMIFS(台帳!$I$2:$I$2000,台帳!$A$2:$A$2000,$A20,台帳!$F$2:$F$2000,U$4)</f>
        <v>0</v>
      </c>
      <c r="V20" s="46">
        <f>SUMIFS(台帳!$I$2:$I$2000,台帳!$A$2:$A$2000,$A20,台帳!$F$2:$F$2000,V$4)</f>
        <v>0</v>
      </c>
      <c r="W20" s="46">
        <f>SUMIFS(台帳!$I$2:$I$2000,台帳!$A$2:$A$2000,$A20,台帳!$F$2:$F$2000,W$4)</f>
        <v>0</v>
      </c>
      <c r="X20" s="46">
        <f>SUMIFS(台帳!$I$2:$I$2000,台帳!$A$2:$A$2000,$A20,台帳!$F$2:$F$2000,X$4)</f>
        <v>0</v>
      </c>
      <c r="Y20" s="46">
        <f>SUMIFS(台帳!$I$2:$I$2000,台帳!$A$2:$A$2000,$A20,台帳!$F$2:$F$2000,Y$4)</f>
        <v>0</v>
      </c>
      <c r="Z20" s="46">
        <f>SUMIFS(台帳!$I$2:$I$2000,台帳!$A$2:$A$2000,$A20,台帳!$F$2:$F$2000,Z$4)</f>
        <v>0</v>
      </c>
      <c r="AA20" s="46">
        <f>SUMIFS(台帳!$I$2:$I$2000,台帳!$A$2:$A$2000,$A20,台帳!$F$2:$F$2000,AA$4)</f>
        <v>0</v>
      </c>
      <c r="AB20" s="46">
        <f>SUMIFS(台帳!$I$2:$I$2000,台帳!$A$2:$A$2000,$A20,台帳!$F$2:$F$2000,AB$4)</f>
        <v>0</v>
      </c>
      <c r="AC20" s="46">
        <f>SUMIFS(台帳!$I$2:$I$2000,台帳!$A$2:$A$2000,$A20,台帳!$F$2:$F$2000,AC$4)</f>
        <v>0</v>
      </c>
      <c r="AD20" s="46">
        <f>SUMIFS(台帳!$I$2:$I$2000,台帳!$A$2:$A$2000,$A20,台帳!$F$2:$F$2000,AD$4)</f>
        <v>0</v>
      </c>
      <c r="AE20" s="46">
        <f>SUMIFS(台帳!$I$2:$I$2000,台帳!$A$2:$A$2000,$A20,台帳!$F$2:$F$2000,AE$4)</f>
        <v>0</v>
      </c>
      <c r="AF20" s="46">
        <f>SUMIFS(台帳!$I$2:$I$2000,台帳!$A$2:$A$2000,$A20,台帳!$F$2:$F$2000,AF$4)</f>
        <v>0</v>
      </c>
      <c r="AG20" s="46">
        <f>SUMIFS(台帳!$I$2:$I$2000,台帳!$A$2:$A$2000,$A20,台帳!$F$2:$F$2000,AG$4)</f>
        <v>0</v>
      </c>
      <c r="AH20" s="46">
        <f>SUMIFS(台帳!$I$2:$I$2000,台帳!$A$2:$A$2000,$A20,台帳!$F$2:$F$2000,AH$4)</f>
        <v>0</v>
      </c>
      <c r="AI20" s="46">
        <f>SUMIFS(台帳!$I$2:$I$2000,台帳!$A$2:$A$2000,$A20,台帳!$F$2:$F$2000,AI$4)</f>
        <v>0</v>
      </c>
      <c r="AJ20" s="46">
        <f>SUMIFS(台帳!$I$2:$I$2000,台帳!$A$2:$A$2000,$A20,台帳!$F$2:$F$2000,AJ$4)</f>
        <v>0</v>
      </c>
      <c r="AK20" s="46">
        <f>SUMIFS(台帳!$I$2:$I$2000,台帳!$A$2:$A$2000,$A20,台帳!$F$2:$F$2000,AK$4)</f>
        <v>0</v>
      </c>
      <c r="AL20" s="46">
        <f>SUMIFS(台帳!$I$2:$I$2000,台帳!$A$2:$A$2000,$A20,台帳!$F$2:$F$2000,AL$4)</f>
        <v>0</v>
      </c>
      <c r="AM20" s="46">
        <f>SUMIFS(台帳!$I$2:$I$2000,台帳!$A$2:$A$2000,$A20,台帳!$F$2:$F$2000,AM$4)</f>
        <v>0</v>
      </c>
      <c r="AN20" s="46">
        <f>SUMIFS(台帳!$I$2:$I$2000,台帳!$A$2:$A$2000,$A20,台帳!$F$2:$F$2000,AN$4)</f>
        <v>0</v>
      </c>
      <c r="AO20" s="46">
        <f>SUMIFS(台帳!$I$2:$I$2000,台帳!$A$2:$A$2000,$A20,台帳!$F$2:$F$2000,AO$4)</f>
        <v>0</v>
      </c>
      <c r="AP20" s="46">
        <f>SUMIFS(台帳!$I$2:$I$2000,台帳!$A$2:$A$2000,$A20,台帳!$F$2:$F$2000,AP$4)</f>
        <v>0</v>
      </c>
      <c r="AQ20" s="46">
        <f>SUMIFS(台帳!$I$2:$I$2000,台帳!$A$2:$A$2000,$A20,台帳!$F$2:$F$2000,AQ$4)</f>
        <v>0</v>
      </c>
      <c r="AR20" s="46">
        <f>SUM(C20:AQ20)</f>
        <v>0</v>
      </c>
    </row>
    <row r="21" spans="1:44" ht="17.25" x14ac:dyDescent="0.35">
      <c r="A21" s="44">
        <v>46148</v>
      </c>
      <c r="B21" s="45" t="str">
        <f>CHOOSE(WEEKDAY(A21),"日","月","火","水","木","金","土")</f>
        <v>水</v>
      </c>
      <c r="C21" s="46">
        <f>SUMIFS(台帳!$I$2:$I$2000,台帳!$A$2:$A$2000,$A21,台帳!$F$2:$F$2000,C$4)</f>
        <v>0</v>
      </c>
      <c r="D21" s="46">
        <f>SUMIFS(台帳!$I$2:$I$2000,台帳!$A$2:$A$2000,$A21,台帳!$F$2:$F$2000,D$4)</f>
        <v>0</v>
      </c>
      <c r="E21" s="46">
        <f>SUMIFS(台帳!$I$2:$I$2000,台帳!$A$2:$A$2000,$A21,台帳!$F$2:$F$2000,E$4)</f>
        <v>0</v>
      </c>
      <c r="F21" s="46">
        <f>SUMIFS(台帳!$I$2:$I$2000,台帳!$A$2:$A$2000,$A21,台帳!$F$2:$F$2000,F$4)</f>
        <v>0</v>
      </c>
      <c r="G21" s="46">
        <f>SUMIFS(台帳!$I$2:$I$2000,台帳!$A$2:$A$2000,$A21,台帳!$F$2:$F$2000,G$4)</f>
        <v>0</v>
      </c>
      <c r="H21" s="46">
        <f>SUMIFS(台帳!$I$2:$I$2000,台帳!$A$2:$A$2000,$A21,台帳!$F$2:$F$2000,H$4)</f>
        <v>0</v>
      </c>
      <c r="I21" s="46">
        <f>SUMIFS(台帳!$I$2:$I$2000,台帳!$A$2:$A$2000,$A21,台帳!$F$2:$F$2000,I$4)</f>
        <v>0</v>
      </c>
      <c r="J21" s="46">
        <f>SUMIFS(台帳!$I$2:$I$2000,台帳!$A$2:$A$2000,$A21,台帳!$F$2:$F$2000,J$4)</f>
        <v>0</v>
      </c>
      <c r="K21" s="46">
        <f>SUMIFS(台帳!$I$2:$I$2000,台帳!$A$2:$A$2000,$A21,台帳!$F$2:$F$2000,K$4)</f>
        <v>0</v>
      </c>
      <c r="L21" s="46">
        <f>SUMIFS(台帳!$I$2:$I$2000,台帳!$A$2:$A$2000,$A21,台帳!$F$2:$F$2000,L$4)</f>
        <v>0</v>
      </c>
      <c r="M21" s="46">
        <f>SUMIFS(台帳!$I$2:$I$2000,台帳!$A$2:$A$2000,$A21,台帳!$F$2:$F$2000,M$4)</f>
        <v>0</v>
      </c>
      <c r="N21" s="46">
        <f>SUMIFS(台帳!$I$2:$I$2000,台帳!$A$2:$A$2000,$A21,台帳!$F$2:$F$2000,N$4)</f>
        <v>0</v>
      </c>
      <c r="O21" s="46">
        <f>SUMIFS(台帳!$I$2:$I$2000,台帳!$A$2:$A$2000,$A21,台帳!$F$2:$F$2000,O$4)</f>
        <v>0</v>
      </c>
      <c r="P21" s="46">
        <f>SUMIFS(台帳!$I$2:$I$2000,台帳!$A$2:$A$2000,$A21,台帳!$F$2:$F$2000,P$4)</f>
        <v>0</v>
      </c>
      <c r="Q21" s="46">
        <f>SUMIFS(台帳!$I$2:$I$2000,台帳!$A$2:$A$2000,$A21,台帳!$F$2:$F$2000,Q$4)</f>
        <v>0</v>
      </c>
      <c r="R21" s="46">
        <f>SUMIFS(台帳!$I$2:$I$2000,台帳!$A$2:$A$2000,$A21,台帳!$F$2:$F$2000,R$4)</f>
        <v>0</v>
      </c>
      <c r="S21" s="46">
        <f>SUMIFS(台帳!$I$2:$I$2000,台帳!$A$2:$A$2000,$A21,台帳!$F$2:$F$2000,S$4)</f>
        <v>0</v>
      </c>
      <c r="T21" s="46">
        <f>SUMIFS(台帳!$I$2:$I$2000,台帳!$A$2:$A$2000,$A21,台帳!$F$2:$F$2000,T$4)</f>
        <v>0</v>
      </c>
      <c r="U21" s="46">
        <f>SUMIFS(台帳!$I$2:$I$2000,台帳!$A$2:$A$2000,$A21,台帳!$F$2:$F$2000,U$4)</f>
        <v>0</v>
      </c>
      <c r="V21" s="46">
        <f>SUMIFS(台帳!$I$2:$I$2000,台帳!$A$2:$A$2000,$A21,台帳!$F$2:$F$2000,V$4)</f>
        <v>0</v>
      </c>
      <c r="W21" s="46">
        <f>SUMIFS(台帳!$I$2:$I$2000,台帳!$A$2:$A$2000,$A21,台帳!$F$2:$F$2000,W$4)</f>
        <v>0</v>
      </c>
      <c r="X21" s="46">
        <f>SUMIFS(台帳!$I$2:$I$2000,台帳!$A$2:$A$2000,$A21,台帳!$F$2:$F$2000,X$4)</f>
        <v>0</v>
      </c>
      <c r="Y21" s="46">
        <f>SUMIFS(台帳!$I$2:$I$2000,台帳!$A$2:$A$2000,$A21,台帳!$F$2:$F$2000,Y$4)</f>
        <v>0</v>
      </c>
      <c r="Z21" s="46">
        <f>SUMIFS(台帳!$I$2:$I$2000,台帳!$A$2:$A$2000,$A21,台帳!$F$2:$F$2000,Z$4)</f>
        <v>0</v>
      </c>
      <c r="AA21" s="46">
        <f>SUMIFS(台帳!$I$2:$I$2000,台帳!$A$2:$A$2000,$A21,台帳!$F$2:$F$2000,AA$4)</f>
        <v>0</v>
      </c>
      <c r="AB21" s="46">
        <f>SUMIFS(台帳!$I$2:$I$2000,台帳!$A$2:$A$2000,$A21,台帳!$F$2:$F$2000,AB$4)</f>
        <v>0</v>
      </c>
      <c r="AC21" s="46">
        <f>SUMIFS(台帳!$I$2:$I$2000,台帳!$A$2:$A$2000,$A21,台帳!$F$2:$F$2000,AC$4)</f>
        <v>0</v>
      </c>
      <c r="AD21" s="46">
        <f>SUMIFS(台帳!$I$2:$I$2000,台帳!$A$2:$A$2000,$A21,台帳!$F$2:$F$2000,AD$4)</f>
        <v>0</v>
      </c>
      <c r="AE21" s="46">
        <f>SUMIFS(台帳!$I$2:$I$2000,台帳!$A$2:$A$2000,$A21,台帳!$F$2:$F$2000,AE$4)</f>
        <v>0</v>
      </c>
      <c r="AF21" s="46">
        <f>SUMIFS(台帳!$I$2:$I$2000,台帳!$A$2:$A$2000,$A21,台帳!$F$2:$F$2000,AF$4)</f>
        <v>0</v>
      </c>
      <c r="AG21" s="46">
        <f>SUMIFS(台帳!$I$2:$I$2000,台帳!$A$2:$A$2000,$A21,台帳!$F$2:$F$2000,AG$4)</f>
        <v>0</v>
      </c>
      <c r="AH21" s="46">
        <f>SUMIFS(台帳!$I$2:$I$2000,台帳!$A$2:$A$2000,$A21,台帳!$F$2:$F$2000,AH$4)</f>
        <v>0</v>
      </c>
      <c r="AI21" s="46">
        <f>SUMIFS(台帳!$I$2:$I$2000,台帳!$A$2:$A$2000,$A21,台帳!$F$2:$F$2000,AI$4)</f>
        <v>0</v>
      </c>
      <c r="AJ21" s="46">
        <f>SUMIFS(台帳!$I$2:$I$2000,台帳!$A$2:$A$2000,$A21,台帳!$F$2:$F$2000,AJ$4)</f>
        <v>0</v>
      </c>
      <c r="AK21" s="46">
        <f>SUMIFS(台帳!$I$2:$I$2000,台帳!$A$2:$A$2000,$A21,台帳!$F$2:$F$2000,AK$4)</f>
        <v>0</v>
      </c>
      <c r="AL21" s="46">
        <f>SUMIFS(台帳!$I$2:$I$2000,台帳!$A$2:$A$2000,$A21,台帳!$F$2:$F$2000,AL$4)</f>
        <v>0</v>
      </c>
      <c r="AM21" s="46">
        <f>SUMIFS(台帳!$I$2:$I$2000,台帳!$A$2:$A$2000,$A21,台帳!$F$2:$F$2000,AM$4)</f>
        <v>0</v>
      </c>
      <c r="AN21" s="46">
        <f>SUMIFS(台帳!$I$2:$I$2000,台帳!$A$2:$A$2000,$A21,台帳!$F$2:$F$2000,AN$4)</f>
        <v>0</v>
      </c>
      <c r="AO21" s="46">
        <f>SUMIFS(台帳!$I$2:$I$2000,台帳!$A$2:$A$2000,$A21,台帳!$F$2:$F$2000,AO$4)</f>
        <v>0</v>
      </c>
      <c r="AP21" s="46">
        <f>SUMIFS(台帳!$I$2:$I$2000,台帳!$A$2:$A$2000,$A21,台帳!$F$2:$F$2000,AP$4)</f>
        <v>0</v>
      </c>
      <c r="AQ21" s="46">
        <f>SUMIFS(台帳!$I$2:$I$2000,台帳!$A$2:$A$2000,$A21,台帳!$F$2:$F$2000,AQ$4)</f>
        <v>0</v>
      </c>
      <c r="AR21" s="46">
        <f>SUM(C21:AQ21)</f>
        <v>0</v>
      </c>
    </row>
    <row r="22" spans="1:44" ht="17.25" x14ac:dyDescent="0.35">
      <c r="A22" s="44">
        <v>46149</v>
      </c>
      <c r="B22" s="45" t="str">
        <f>CHOOSE(WEEKDAY(A22),"日","月","火","水","木","金","土")</f>
        <v>木</v>
      </c>
      <c r="C22" s="46">
        <f>SUMIFS(台帳!$I$2:$I$2000,台帳!$A$2:$A$2000,$A22,台帳!$F$2:$F$2000,C$4)</f>
        <v>0</v>
      </c>
      <c r="D22" s="46">
        <f>SUMIFS(台帳!$I$2:$I$2000,台帳!$A$2:$A$2000,$A22,台帳!$F$2:$F$2000,D$4)</f>
        <v>0</v>
      </c>
      <c r="E22" s="46">
        <f>SUMIFS(台帳!$I$2:$I$2000,台帳!$A$2:$A$2000,$A22,台帳!$F$2:$F$2000,E$4)</f>
        <v>0</v>
      </c>
      <c r="F22" s="46">
        <f>SUMIFS(台帳!$I$2:$I$2000,台帳!$A$2:$A$2000,$A22,台帳!$F$2:$F$2000,F$4)</f>
        <v>0</v>
      </c>
      <c r="G22" s="46">
        <f>SUMIFS(台帳!$I$2:$I$2000,台帳!$A$2:$A$2000,$A22,台帳!$F$2:$F$2000,G$4)</f>
        <v>0</v>
      </c>
      <c r="H22" s="46">
        <f>SUMIFS(台帳!$I$2:$I$2000,台帳!$A$2:$A$2000,$A22,台帳!$F$2:$F$2000,H$4)</f>
        <v>0</v>
      </c>
      <c r="I22" s="46">
        <f>SUMIFS(台帳!$I$2:$I$2000,台帳!$A$2:$A$2000,$A22,台帳!$F$2:$F$2000,I$4)</f>
        <v>0</v>
      </c>
      <c r="J22" s="46">
        <f>SUMIFS(台帳!$I$2:$I$2000,台帳!$A$2:$A$2000,$A22,台帳!$F$2:$F$2000,J$4)</f>
        <v>0</v>
      </c>
      <c r="K22" s="46">
        <f>SUMIFS(台帳!$I$2:$I$2000,台帳!$A$2:$A$2000,$A22,台帳!$F$2:$F$2000,K$4)</f>
        <v>0</v>
      </c>
      <c r="L22" s="46">
        <f>SUMIFS(台帳!$I$2:$I$2000,台帳!$A$2:$A$2000,$A22,台帳!$F$2:$F$2000,L$4)</f>
        <v>0</v>
      </c>
      <c r="M22" s="46">
        <f>SUMIFS(台帳!$I$2:$I$2000,台帳!$A$2:$A$2000,$A22,台帳!$F$2:$F$2000,M$4)</f>
        <v>0</v>
      </c>
      <c r="N22" s="46">
        <f>SUMIFS(台帳!$I$2:$I$2000,台帳!$A$2:$A$2000,$A22,台帳!$F$2:$F$2000,N$4)</f>
        <v>0</v>
      </c>
      <c r="O22" s="46">
        <f>SUMIFS(台帳!$I$2:$I$2000,台帳!$A$2:$A$2000,$A22,台帳!$F$2:$F$2000,O$4)</f>
        <v>0</v>
      </c>
      <c r="P22" s="46">
        <f>SUMIFS(台帳!$I$2:$I$2000,台帳!$A$2:$A$2000,$A22,台帳!$F$2:$F$2000,P$4)</f>
        <v>0</v>
      </c>
      <c r="Q22" s="46">
        <f>SUMIFS(台帳!$I$2:$I$2000,台帳!$A$2:$A$2000,$A22,台帳!$F$2:$F$2000,Q$4)</f>
        <v>0</v>
      </c>
      <c r="R22" s="46">
        <f>SUMIFS(台帳!$I$2:$I$2000,台帳!$A$2:$A$2000,$A22,台帳!$F$2:$F$2000,R$4)</f>
        <v>0</v>
      </c>
      <c r="S22" s="46">
        <f>SUMIFS(台帳!$I$2:$I$2000,台帳!$A$2:$A$2000,$A22,台帳!$F$2:$F$2000,S$4)</f>
        <v>0</v>
      </c>
      <c r="T22" s="46">
        <f>SUMIFS(台帳!$I$2:$I$2000,台帳!$A$2:$A$2000,$A22,台帳!$F$2:$F$2000,T$4)</f>
        <v>0</v>
      </c>
      <c r="U22" s="46">
        <f>SUMIFS(台帳!$I$2:$I$2000,台帳!$A$2:$A$2000,$A22,台帳!$F$2:$F$2000,U$4)</f>
        <v>0</v>
      </c>
      <c r="V22" s="46">
        <f>SUMIFS(台帳!$I$2:$I$2000,台帳!$A$2:$A$2000,$A22,台帳!$F$2:$F$2000,V$4)</f>
        <v>0</v>
      </c>
      <c r="W22" s="46">
        <f>SUMIFS(台帳!$I$2:$I$2000,台帳!$A$2:$A$2000,$A22,台帳!$F$2:$F$2000,W$4)</f>
        <v>0</v>
      </c>
      <c r="X22" s="46">
        <f>SUMIFS(台帳!$I$2:$I$2000,台帳!$A$2:$A$2000,$A22,台帳!$F$2:$F$2000,X$4)</f>
        <v>0</v>
      </c>
      <c r="Y22" s="46">
        <f>SUMIFS(台帳!$I$2:$I$2000,台帳!$A$2:$A$2000,$A22,台帳!$F$2:$F$2000,Y$4)</f>
        <v>0</v>
      </c>
      <c r="Z22" s="46">
        <f>SUMIFS(台帳!$I$2:$I$2000,台帳!$A$2:$A$2000,$A22,台帳!$F$2:$F$2000,Z$4)</f>
        <v>0</v>
      </c>
      <c r="AA22" s="46">
        <f>SUMIFS(台帳!$I$2:$I$2000,台帳!$A$2:$A$2000,$A22,台帳!$F$2:$F$2000,AA$4)</f>
        <v>0</v>
      </c>
      <c r="AB22" s="46">
        <f>SUMIFS(台帳!$I$2:$I$2000,台帳!$A$2:$A$2000,$A22,台帳!$F$2:$F$2000,AB$4)</f>
        <v>0</v>
      </c>
      <c r="AC22" s="46">
        <f>SUMIFS(台帳!$I$2:$I$2000,台帳!$A$2:$A$2000,$A22,台帳!$F$2:$F$2000,AC$4)</f>
        <v>0</v>
      </c>
      <c r="AD22" s="46">
        <f>SUMIFS(台帳!$I$2:$I$2000,台帳!$A$2:$A$2000,$A22,台帳!$F$2:$F$2000,AD$4)</f>
        <v>0</v>
      </c>
      <c r="AE22" s="46">
        <f>SUMIFS(台帳!$I$2:$I$2000,台帳!$A$2:$A$2000,$A22,台帳!$F$2:$F$2000,AE$4)</f>
        <v>0</v>
      </c>
      <c r="AF22" s="46">
        <f>SUMIFS(台帳!$I$2:$I$2000,台帳!$A$2:$A$2000,$A22,台帳!$F$2:$F$2000,AF$4)</f>
        <v>0</v>
      </c>
      <c r="AG22" s="46">
        <f>SUMIFS(台帳!$I$2:$I$2000,台帳!$A$2:$A$2000,$A22,台帳!$F$2:$F$2000,AG$4)</f>
        <v>0</v>
      </c>
      <c r="AH22" s="46">
        <f>SUMIFS(台帳!$I$2:$I$2000,台帳!$A$2:$A$2000,$A22,台帳!$F$2:$F$2000,AH$4)</f>
        <v>0</v>
      </c>
      <c r="AI22" s="46">
        <f>SUMIFS(台帳!$I$2:$I$2000,台帳!$A$2:$A$2000,$A22,台帳!$F$2:$F$2000,AI$4)</f>
        <v>0</v>
      </c>
      <c r="AJ22" s="46">
        <f>SUMIFS(台帳!$I$2:$I$2000,台帳!$A$2:$A$2000,$A22,台帳!$F$2:$F$2000,AJ$4)</f>
        <v>0</v>
      </c>
      <c r="AK22" s="46">
        <f>SUMIFS(台帳!$I$2:$I$2000,台帳!$A$2:$A$2000,$A22,台帳!$F$2:$F$2000,AK$4)</f>
        <v>0</v>
      </c>
      <c r="AL22" s="46">
        <f>SUMIFS(台帳!$I$2:$I$2000,台帳!$A$2:$A$2000,$A22,台帳!$F$2:$F$2000,AL$4)</f>
        <v>0</v>
      </c>
      <c r="AM22" s="46">
        <f>SUMIFS(台帳!$I$2:$I$2000,台帳!$A$2:$A$2000,$A22,台帳!$F$2:$F$2000,AM$4)</f>
        <v>0</v>
      </c>
      <c r="AN22" s="46">
        <f>SUMIFS(台帳!$I$2:$I$2000,台帳!$A$2:$A$2000,$A22,台帳!$F$2:$F$2000,AN$4)</f>
        <v>0</v>
      </c>
      <c r="AO22" s="46">
        <f>SUMIFS(台帳!$I$2:$I$2000,台帳!$A$2:$A$2000,$A22,台帳!$F$2:$F$2000,AO$4)</f>
        <v>0</v>
      </c>
      <c r="AP22" s="46">
        <f>SUMIFS(台帳!$I$2:$I$2000,台帳!$A$2:$A$2000,$A22,台帳!$F$2:$F$2000,AP$4)</f>
        <v>0</v>
      </c>
      <c r="AQ22" s="46">
        <f>SUMIFS(台帳!$I$2:$I$2000,台帳!$A$2:$A$2000,$A22,台帳!$F$2:$F$2000,AQ$4)</f>
        <v>0</v>
      </c>
      <c r="AR22" s="46">
        <f>SUM(C22:AQ22)</f>
        <v>0</v>
      </c>
    </row>
    <row r="23" spans="1:44" ht="17.25" x14ac:dyDescent="0.35">
      <c r="A23" s="44">
        <v>46150</v>
      </c>
      <c r="B23" s="45" t="str">
        <f>CHOOSE(WEEKDAY(A23),"日","月","火","水","木","金","土")</f>
        <v>金</v>
      </c>
      <c r="C23" s="46">
        <f>SUMIFS(台帳!$I$2:$I$2000,台帳!$A$2:$A$2000,$A23,台帳!$F$2:$F$2000,C$4)</f>
        <v>0</v>
      </c>
      <c r="D23" s="46">
        <f>SUMIFS(台帳!$I$2:$I$2000,台帳!$A$2:$A$2000,$A23,台帳!$F$2:$F$2000,D$4)</f>
        <v>0</v>
      </c>
      <c r="E23" s="46">
        <f>SUMIFS(台帳!$I$2:$I$2000,台帳!$A$2:$A$2000,$A23,台帳!$F$2:$F$2000,E$4)</f>
        <v>0</v>
      </c>
      <c r="F23" s="46">
        <f>SUMIFS(台帳!$I$2:$I$2000,台帳!$A$2:$A$2000,$A23,台帳!$F$2:$F$2000,F$4)</f>
        <v>0</v>
      </c>
      <c r="G23" s="46">
        <f>SUMIFS(台帳!$I$2:$I$2000,台帳!$A$2:$A$2000,$A23,台帳!$F$2:$F$2000,G$4)</f>
        <v>0</v>
      </c>
      <c r="H23" s="46">
        <f>SUMIFS(台帳!$I$2:$I$2000,台帳!$A$2:$A$2000,$A23,台帳!$F$2:$F$2000,H$4)</f>
        <v>0</v>
      </c>
      <c r="I23" s="46">
        <f>SUMIFS(台帳!$I$2:$I$2000,台帳!$A$2:$A$2000,$A23,台帳!$F$2:$F$2000,I$4)</f>
        <v>0</v>
      </c>
      <c r="J23" s="46">
        <f>SUMIFS(台帳!$I$2:$I$2000,台帳!$A$2:$A$2000,$A23,台帳!$F$2:$F$2000,J$4)</f>
        <v>0</v>
      </c>
      <c r="K23" s="46">
        <f>SUMIFS(台帳!$I$2:$I$2000,台帳!$A$2:$A$2000,$A23,台帳!$F$2:$F$2000,K$4)</f>
        <v>0</v>
      </c>
      <c r="L23" s="46">
        <f>SUMIFS(台帳!$I$2:$I$2000,台帳!$A$2:$A$2000,$A23,台帳!$F$2:$F$2000,L$4)</f>
        <v>0</v>
      </c>
      <c r="M23" s="46">
        <f>SUMIFS(台帳!$I$2:$I$2000,台帳!$A$2:$A$2000,$A23,台帳!$F$2:$F$2000,M$4)</f>
        <v>0</v>
      </c>
      <c r="N23" s="46">
        <f>SUMIFS(台帳!$I$2:$I$2000,台帳!$A$2:$A$2000,$A23,台帳!$F$2:$F$2000,N$4)</f>
        <v>0</v>
      </c>
      <c r="O23" s="46">
        <f>SUMIFS(台帳!$I$2:$I$2000,台帳!$A$2:$A$2000,$A23,台帳!$F$2:$F$2000,O$4)</f>
        <v>0</v>
      </c>
      <c r="P23" s="46">
        <f>SUMIFS(台帳!$I$2:$I$2000,台帳!$A$2:$A$2000,$A23,台帳!$F$2:$F$2000,P$4)</f>
        <v>0</v>
      </c>
      <c r="Q23" s="46">
        <f>SUMIFS(台帳!$I$2:$I$2000,台帳!$A$2:$A$2000,$A23,台帳!$F$2:$F$2000,Q$4)</f>
        <v>0</v>
      </c>
      <c r="R23" s="46">
        <f>SUMIFS(台帳!$I$2:$I$2000,台帳!$A$2:$A$2000,$A23,台帳!$F$2:$F$2000,R$4)</f>
        <v>0</v>
      </c>
      <c r="S23" s="46">
        <f>SUMIFS(台帳!$I$2:$I$2000,台帳!$A$2:$A$2000,$A23,台帳!$F$2:$F$2000,S$4)</f>
        <v>0</v>
      </c>
      <c r="T23" s="46">
        <f>SUMIFS(台帳!$I$2:$I$2000,台帳!$A$2:$A$2000,$A23,台帳!$F$2:$F$2000,T$4)</f>
        <v>0</v>
      </c>
      <c r="U23" s="46">
        <f>SUMIFS(台帳!$I$2:$I$2000,台帳!$A$2:$A$2000,$A23,台帳!$F$2:$F$2000,U$4)</f>
        <v>0</v>
      </c>
      <c r="V23" s="46">
        <f>SUMIFS(台帳!$I$2:$I$2000,台帳!$A$2:$A$2000,$A23,台帳!$F$2:$F$2000,V$4)</f>
        <v>0</v>
      </c>
      <c r="W23" s="46">
        <f>SUMIFS(台帳!$I$2:$I$2000,台帳!$A$2:$A$2000,$A23,台帳!$F$2:$F$2000,W$4)</f>
        <v>0</v>
      </c>
      <c r="X23" s="46">
        <f>SUMIFS(台帳!$I$2:$I$2000,台帳!$A$2:$A$2000,$A23,台帳!$F$2:$F$2000,X$4)</f>
        <v>0</v>
      </c>
      <c r="Y23" s="46">
        <f>SUMIFS(台帳!$I$2:$I$2000,台帳!$A$2:$A$2000,$A23,台帳!$F$2:$F$2000,Y$4)</f>
        <v>0</v>
      </c>
      <c r="Z23" s="46">
        <f>SUMIFS(台帳!$I$2:$I$2000,台帳!$A$2:$A$2000,$A23,台帳!$F$2:$F$2000,Z$4)</f>
        <v>0</v>
      </c>
      <c r="AA23" s="46">
        <f>SUMIFS(台帳!$I$2:$I$2000,台帳!$A$2:$A$2000,$A23,台帳!$F$2:$F$2000,AA$4)</f>
        <v>0</v>
      </c>
      <c r="AB23" s="46">
        <f>SUMIFS(台帳!$I$2:$I$2000,台帳!$A$2:$A$2000,$A23,台帳!$F$2:$F$2000,AB$4)</f>
        <v>0</v>
      </c>
      <c r="AC23" s="46">
        <f>SUMIFS(台帳!$I$2:$I$2000,台帳!$A$2:$A$2000,$A23,台帳!$F$2:$F$2000,AC$4)</f>
        <v>0</v>
      </c>
      <c r="AD23" s="46">
        <f>SUMIFS(台帳!$I$2:$I$2000,台帳!$A$2:$A$2000,$A23,台帳!$F$2:$F$2000,AD$4)</f>
        <v>0</v>
      </c>
      <c r="AE23" s="46">
        <f>SUMIFS(台帳!$I$2:$I$2000,台帳!$A$2:$A$2000,$A23,台帳!$F$2:$F$2000,AE$4)</f>
        <v>0</v>
      </c>
      <c r="AF23" s="46">
        <f>SUMIFS(台帳!$I$2:$I$2000,台帳!$A$2:$A$2000,$A23,台帳!$F$2:$F$2000,AF$4)</f>
        <v>0</v>
      </c>
      <c r="AG23" s="46">
        <f>SUMIFS(台帳!$I$2:$I$2000,台帳!$A$2:$A$2000,$A23,台帳!$F$2:$F$2000,AG$4)</f>
        <v>0</v>
      </c>
      <c r="AH23" s="46">
        <f>SUMIFS(台帳!$I$2:$I$2000,台帳!$A$2:$A$2000,$A23,台帳!$F$2:$F$2000,AH$4)</f>
        <v>0</v>
      </c>
      <c r="AI23" s="46">
        <f>SUMIFS(台帳!$I$2:$I$2000,台帳!$A$2:$A$2000,$A23,台帳!$F$2:$F$2000,AI$4)</f>
        <v>0</v>
      </c>
      <c r="AJ23" s="46">
        <f>SUMIFS(台帳!$I$2:$I$2000,台帳!$A$2:$A$2000,$A23,台帳!$F$2:$F$2000,AJ$4)</f>
        <v>0</v>
      </c>
      <c r="AK23" s="46">
        <f>SUMIFS(台帳!$I$2:$I$2000,台帳!$A$2:$A$2000,$A23,台帳!$F$2:$F$2000,AK$4)</f>
        <v>0</v>
      </c>
      <c r="AL23" s="46">
        <f>SUMIFS(台帳!$I$2:$I$2000,台帳!$A$2:$A$2000,$A23,台帳!$F$2:$F$2000,AL$4)</f>
        <v>0</v>
      </c>
      <c r="AM23" s="46">
        <f>SUMIFS(台帳!$I$2:$I$2000,台帳!$A$2:$A$2000,$A23,台帳!$F$2:$F$2000,AM$4)</f>
        <v>0</v>
      </c>
      <c r="AN23" s="46">
        <f>SUMIFS(台帳!$I$2:$I$2000,台帳!$A$2:$A$2000,$A23,台帳!$F$2:$F$2000,AN$4)</f>
        <v>0</v>
      </c>
      <c r="AO23" s="46">
        <f>SUMIFS(台帳!$I$2:$I$2000,台帳!$A$2:$A$2000,$A23,台帳!$F$2:$F$2000,AO$4)</f>
        <v>0</v>
      </c>
      <c r="AP23" s="46">
        <f>SUMIFS(台帳!$I$2:$I$2000,台帳!$A$2:$A$2000,$A23,台帳!$F$2:$F$2000,AP$4)</f>
        <v>0</v>
      </c>
      <c r="AQ23" s="46">
        <f>SUMIFS(台帳!$I$2:$I$2000,台帳!$A$2:$A$2000,$A23,台帳!$F$2:$F$2000,AQ$4)</f>
        <v>0</v>
      </c>
      <c r="AR23" s="46">
        <f>SUM(C23:AQ23)</f>
        <v>0</v>
      </c>
    </row>
    <row r="24" spans="1:44" ht="17.25" x14ac:dyDescent="0.35">
      <c r="A24" s="44">
        <v>46151</v>
      </c>
      <c r="B24" s="45" t="str">
        <f>CHOOSE(WEEKDAY(A24),"日","月","火","水","木","金","土")</f>
        <v>土</v>
      </c>
      <c r="C24" s="46">
        <f>SUMIFS(台帳!$I$2:$I$2000,台帳!$A$2:$A$2000,$A24,台帳!$F$2:$F$2000,C$4)</f>
        <v>0</v>
      </c>
      <c r="D24" s="46">
        <f>SUMIFS(台帳!$I$2:$I$2000,台帳!$A$2:$A$2000,$A24,台帳!$F$2:$F$2000,D$4)</f>
        <v>0</v>
      </c>
      <c r="E24" s="46">
        <f>SUMIFS(台帳!$I$2:$I$2000,台帳!$A$2:$A$2000,$A24,台帳!$F$2:$F$2000,E$4)</f>
        <v>0</v>
      </c>
      <c r="F24" s="46">
        <f>SUMIFS(台帳!$I$2:$I$2000,台帳!$A$2:$A$2000,$A24,台帳!$F$2:$F$2000,F$4)</f>
        <v>0</v>
      </c>
      <c r="G24" s="46">
        <f>SUMIFS(台帳!$I$2:$I$2000,台帳!$A$2:$A$2000,$A24,台帳!$F$2:$F$2000,G$4)</f>
        <v>0</v>
      </c>
      <c r="H24" s="46">
        <f>SUMIFS(台帳!$I$2:$I$2000,台帳!$A$2:$A$2000,$A24,台帳!$F$2:$F$2000,H$4)</f>
        <v>0</v>
      </c>
      <c r="I24" s="46">
        <f>SUMIFS(台帳!$I$2:$I$2000,台帳!$A$2:$A$2000,$A24,台帳!$F$2:$F$2000,I$4)</f>
        <v>0</v>
      </c>
      <c r="J24" s="46">
        <f>SUMIFS(台帳!$I$2:$I$2000,台帳!$A$2:$A$2000,$A24,台帳!$F$2:$F$2000,J$4)</f>
        <v>0</v>
      </c>
      <c r="K24" s="46">
        <f>SUMIFS(台帳!$I$2:$I$2000,台帳!$A$2:$A$2000,$A24,台帳!$F$2:$F$2000,K$4)</f>
        <v>0</v>
      </c>
      <c r="L24" s="46">
        <f>SUMIFS(台帳!$I$2:$I$2000,台帳!$A$2:$A$2000,$A24,台帳!$F$2:$F$2000,L$4)</f>
        <v>0</v>
      </c>
      <c r="M24" s="46">
        <f>SUMIFS(台帳!$I$2:$I$2000,台帳!$A$2:$A$2000,$A24,台帳!$F$2:$F$2000,M$4)</f>
        <v>0</v>
      </c>
      <c r="N24" s="46">
        <f>SUMIFS(台帳!$I$2:$I$2000,台帳!$A$2:$A$2000,$A24,台帳!$F$2:$F$2000,N$4)</f>
        <v>0</v>
      </c>
      <c r="O24" s="46">
        <f>SUMIFS(台帳!$I$2:$I$2000,台帳!$A$2:$A$2000,$A24,台帳!$F$2:$F$2000,O$4)</f>
        <v>0</v>
      </c>
      <c r="P24" s="46">
        <f>SUMIFS(台帳!$I$2:$I$2000,台帳!$A$2:$A$2000,$A24,台帳!$F$2:$F$2000,P$4)</f>
        <v>0</v>
      </c>
      <c r="Q24" s="46">
        <f>SUMIFS(台帳!$I$2:$I$2000,台帳!$A$2:$A$2000,$A24,台帳!$F$2:$F$2000,Q$4)</f>
        <v>0</v>
      </c>
      <c r="R24" s="46">
        <f>SUMIFS(台帳!$I$2:$I$2000,台帳!$A$2:$A$2000,$A24,台帳!$F$2:$F$2000,R$4)</f>
        <v>0</v>
      </c>
      <c r="S24" s="46">
        <f>SUMIFS(台帳!$I$2:$I$2000,台帳!$A$2:$A$2000,$A24,台帳!$F$2:$F$2000,S$4)</f>
        <v>0</v>
      </c>
      <c r="T24" s="46">
        <f>SUMIFS(台帳!$I$2:$I$2000,台帳!$A$2:$A$2000,$A24,台帳!$F$2:$F$2000,T$4)</f>
        <v>0</v>
      </c>
      <c r="U24" s="46">
        <f>SUMIFS(台帳!$I$2:$I$2000,台帳!$A$2:$A$2000,$A24,台帳!$F$2:$F$2000,U$4)</f>
        <v>0</v>
      </c>
      <c r="V24" s="46">
        <f>SUMIFS(台帳!$I$2:$I$2000,台帳!$A$2:$A$2000,$A24,台帳!$F$2:$F$2000,V$4)</f>
        <v>0</v>
      </c>
      <c r="W24" s="46">
        <f>SUMIFS(台帳!$I$2:$I$2000,台帳!$A$2:$A$2000,$A24,台帳!$F$2:$F$2000,W$4)</f>
        <v>0</v>
      </c>
      <c r="X24" s="46">
        <f>SUMIFS(台帳!$I$2:$I$2000,台帳!$A$2:$A$2000,$A24,台帳!$F$2:$F$2000,X$4)</f>
        <v>0</v>
      </c>
      <c r="Y24" s="46">
        <f>SUMIFS(台帳!$I$2:$I$2000,台帳!$A$2:$A$2000,$A24,台帳!$F$2:$F$2000,Y$4)</f>
        <v>0</v>
      </c>
      <c r="Z24" s="46">
        <f>SUMIFS(台帳!$I$2:$I$2000,台帳!$A$2:$A$2000,$A24,台帳!$F$2:$F$2000,Z$4)</f>
        <v>0</v>
      </c>
      <c r="AA24" s="46">
        <f>SUMIFS(台帳!$I$2:$I$2000,台帳!$A$2:$A$2000,$A24,台帳!$F$2:$F$2000,AA$4)</f>
        <v>0</v>
      </c>
      <c r="AB24" s="46">
        <f>SUMIFS(台帳!$I$2:$I$2000,台帳!$A$2:$A$2000,$A24,台帳!$F$2:$F$2000,AB$4)</f>
        <v>0</v>
      </c>
      <c r="AC24" s="46">
        <f>SUMIFS(台帳!$I$2:$I$2000,台帳!$A$2:$A$2000,$A24,台帳!$F$2:$F$2000,AC$4)</f>
        <v>0</v>
      </c>
      <c r="AD24" s="46">
        <f>SUMIFS(台帳!$I$2:$I$2000,台帳!$A$2:$A$2000,$A24,台帳!$F$2:$F$2000,AD$4)</f>
        <v>0</v>
      </c>
      <c r="AE24" s="46">
        <f>SUMIFS(台帳!$I$2:$I$2000,台帳!$A$2:$A$2000,$A24,台帳!$F$2:$F$2000,AE$4)</f>
        <v>0</v>
      </c>
      <c r="AF24" s="46">
        <f>SUMIFS(台帳!$I$2:$I$2000,台帳!$A$2:$A$2000,$A24,台帳!$F$2:$F$2000,AF$4)</f>
        <v>0</v>
      </c>
      <c r="AG24" s="46">
        <f>SUMIFS(台帳!$I$2:$I$2000,台帳!$A$2:$A$2000,$A24,台帳!$F$2:$F$2000,AG$4)</f>
        <v>0</v>
      </c>
      <c r="AH24" s="46">
        <f>SUMIFS(台帳!$I$2:$I$2000,台帳!$A$2:$A$2000,$A24,台帳!$F$2:$F$2000,AH$4)</f>
        <v>0</v>
      </c>
      <c r="AI24" s="46">
        <f>SUMIFS(台帳!$I$2:$I$2000,台帳!$A$2:$A$2000,$A24,台帳!$F$2:$F$2000,AI$4)</f>
        <v>0</v>
      </c>
      <c r="AJ24" s="46">
        <f>SUMIFS(台帳!$I$2:$I$2000,台帳!$A$2:$A$2000,$A24,台帳!$F$2:$F$2000,AJ$4)</f>
        <v>0</v>
      </c>
      <c r="AK24" s="46">
        <f>SUMIFS(台帳!$I$2:$I$2000,台帳!$A$2:$A$2000,$A24,台帳!$F$2:$F$2000,AK$4)</f>
        <v>0</v>
      </c>
      <c r="AL24" s="46">
        <f>SUMIFS(台帳!$I$2:$I$2000,台帳!$A$2:$A$2000,$A24,台帳!$F$2:$F$2000,AL$4)</f>
        <v>0</v>
      </c>
      <c r="AM24" s="46">
        <f>SUMIFS(台帳!$I$2:$I$2000,台帳!$A$2:$A$2000,$A24,台帳!$F$2:$F$2000,AM$4)</f>
        <v>0</v>
      </c>
      <c r="AN24" s="46">
        <f>SUMIFS(台帳!$I$2:$I$2000,台帳!$A$2:$A$2000,$A24,台帳!$F$2:$F$2000,AN$4)</f>
        <v>0</v>
      </c>
      <c r="AO24" s="46">
        <f>SUMIFS(台帳!$I$2:$I$2000,台帳!$A$2:$A$2000,$A24,台帳!$F$2:$F$2000,AO$4)</f>
        <v>0</v>
      </c>
      <c r="AP24" s="46">
        <f>SUMIFS(台帳!$I$2:$I$2000,台帳!$A$2:$A$2000,$A24,台帳!$F$2:$F$2000,AP$4)</f>
        <v>0</v>
      </c>
      <c r="AQ24" s="46">
        <f>SUMIFS(台帳!$I$2:$I$2000,台帳!$A$2:$A$2000,$A24,台帳!$F$2:$F$2000,AQ$4)</f>
        <v>0</v>
      </c>
      <c r="AR24" s="46">
        <f>SUM(C24:AQ24)</f>
        <v>0</v>
      </c>
    </row>
    <row r="25" spans="1:44" ht="17.25" x14ac:dyDescent="0.35">
      <c r="A25" s="44">
        <v>46152</v>
      </c>
      <c r="B25" s="45" t="str">
        <f>CHOOSE(WEEKDAY(A25),"日","月","火","水","木","金","土")</f>
        <v>日</v>
      </c>
      <c r="C25" s="46">
        <f>SUMIFS(台帳!$I$2:$I$2000,台帳!$A$2:$A$2000,$A25,台帳!$F$2:$F$2000,C$4)</f>
        <v>0</v>
      </c>
      <c r="D25" s="46">
        <f>SUMIFS(台帳!$I$2:$I$2000,台帳!$A$2:$A$2000,$A25,台帳!$F$2:$F$2000,D$4)</f>
        <v>0</v>
      </c>
      <c r="E25" s="46">
        <f>SUMIFS(台帳!$I$2:$I$2000,台帳!$A$2:$A$2000,$A25,台帳!$F$2:$F$2000,E$4)</f>
        <v>0</v>
      </c>
      <c r="F25" s="46">
        <f>SUMIFS(台帳!$I$2:$I$2000,台帳!$A$2:$A$2000,$A25,台帳!$F$2:$F$2000,F$4)</f>
        <v>0</v>
      </c>
      <c r="G25" s="46">
        <f>SUMIFS(台帳!$I$2:$I$2000,台帳!$A$2:$A$2000,$A25,台帳!$F$2:$F$2000,G$4)</f>
        <v>0</v>
      </c>
      <c r="H25" s="46">
        <f>SUMIFS(台帳!$I$2:$I$2000,台帳!$A$2:$A$2000,$A25,台帳!$F$2:$F$2000,H$4)</f>
        <v>0</v>
      </c>
      <c r="I25" s="46">
        <f>SUMIFS(台帳!$I$2:$I$2000,台帳!$A$2:$A$2000,$A25,台帳!$F$2:$F$2000,I$4)</f>
        <v>0</v>
      </c>
      <c r="J25" s="46">
        <f>SUMIFS(台帳!$I$2:$I$2000,台帳!$A$2:$A$2000,$A25,台帳!$F$2:$F$2000,J$4)</f>
        <v>0</v>
      </c>
      <c r="K25" s="46">
        <f>SUMIFS(台帳!$I$2:$I$2000,台帳!$A$2:$A$2000,$A25,台帳!$F$2:$F$2000,K$4)</f>
        <v>0</v>
      </c>
      <c r="L25" s="46">
        <f>SUMIFS(台帳!$I$2:$I$2000,台帳!$A$2:$A$2000,$A25,台帳!$F$2:$F$2000,L$4)</f>
        <v>0</v>
      </c>
      <c r="M25" s="46">
        <f>SUMIFS(台帳!$I$2:$I$2000,台帳!$A$2:$A$2000,$A25,台帳!$F$2:$F$2000,M$4)</f>
        <v>0</v>
      </c>
      <c r="N25" s="46">
        <f>SUMIFS(台帳!$I$2:$I$2000,台帳!$A$2:$A$2000,$A25,台帳!$F$2:$F$2000,N$4)</f>
        <v>0</v>
      </c>
      <c r="O25" s="46">
        <f>SUMIFS(台帳!$I$2:$I$2000,台帳!$A$2:$A$2000,$A25,台帳!$F$2:$F$2000,O$4)</f>
        <v>0</v>
      </c>
      <c r="P25" s="46">
        <f>SUMIFS(台帳!$I$2:$I$2000,台帳!$A$2:$A$2000,$A25,台帳!$F$2:$F$2000,P$4)</f>
        <v>0</v>
      </c>
      <c r="Q25" s="46">
        <f>SUMIFS(台帳!$I$2:$I$2000,台帳!$A$2:$A$2000,$A25,台帳!$F$2:$F$2000,Q$4)</f>
        <v>0</v>
      </c>
      <c r="R25" s="46">
        <f>SUMIFS(台帳!$I$2:$I$2000,台帳!$A$2:$A$2000,$A25,台帳!$F$2:$F$2000,R$4)</f>
        <v>0</v>
      </c>
      <c r="S25" s="46">
        <f>SUMIFS(台帳!$I$2:$I$2000,台帳!$A$2:$A$2000,$A25,台帳!$F$2:$F$2000,S$4)</f>
        <v>0</v>
      </c>
      <c r="T25" s="46">
        <f>SUMIFS(台帳!$I$2:$I$2000,台帳!$A$2:$A$2000,$A25,台帳!$F$2:$F$2000,T$4)</f>
        <v>0</v>
      </c>
      <c r="U25" s="46">
        <f>SUMIFS(台帳!$I$2:$I$2000,台帳!$A$2:$A$2000,$A25,台帳!$F$2:$F$2000,U$4)</f>
        <v>0</v>
      </c>
      <c r="V25" s="46">
        <f>SUMIFS(台帳!$I$2:$I$2000,台帳!$A$2:$A$2000,$A25,台帳!$F$2:$F$2000,V$4)</f>
        <v>0</v>
      </c>
      <c r="W25" s="46">
        <f>SUMIFS(台帳!$I$2:$I$2000,台帳!$A$2:$A$2000,$A25,台帳!$F$2:$F$2000,W$4)</f>
        <v>0</v>
      </c>
      <c r="X25" s="46">
        <f>SUMIFS(台帳!$I$2:$I$2000,台帳!$A$2:$A$2000,$A25,台帳!$F$2:$F$2000,X$4)</f>
        <v>0</v>
      </c>
      <c r="Y25" s="46">
        <f>SUMIFS(台帳!$I$2:$I$2000,台帳!$A$2:$A$2000,$A25,台帳!$F$2:$F$2000,Y$4)</f>
        <v>0</v>
      </c>
      <c r="Z25" s="46">
        <f>SUMIFS(台帳!$I$2:$I$2000,台帳!$A$2:$A$2000,$A25,台帳!$F$2:$F$2000,Z$4)</f>
        <v>0</v>
      </c>
      <c r="AA25" s="46">
        <f>SUMIFS(台帳!$I$2:$I$2000,台帳!$A$2:$A$2000,$A25,台帳!$F$2:$F$2000,AA$4)</f>
        <v>0</v>
      </c>
      <c r="AB25" s="46">
        <f>SUMIFS(台帳!$I$2:$I$2000,台帳!$A$2:$A$2000,$A25,台帳!$F$2:$F$2000,AB$4)</f>
        <v>0</v>
      </c>
      <c r="AC25" s="46">
        <f>SUMIFS(台帳!$I$2:$I$2000,台帳!$A$2:$A$2000,$A25,台帳!$F$2:$F$2000,AC$4)</f>
        <v>0</v>
      </c>
      <c r="AD25" s="46">
        <f>SUMIFS(台帳!$I$2:$I$2000,台帳!$A$2:$A$2000,$A25,台帳!$F$2:$F$2000,AD$4)</f>
        <v>0</v>
      </c>
      <c r="AE25" s="46">
        <f>SUMIFS(台帳!$I$2:$I$2000,台帳!$A$2:$A$2000,$A25,台帳!$F$2:$F$2000,AE$4)</f>
        <v>0</v>
      </c>
      <c r="AF25" s="46">
        <f>SUMIFS(台帳!$I$2:$I$2000,台帳!$A$2:$A$2000,$A25,台帳!$F$2:$F$2000,AF$4)</f>
        <v>0</v>
      </c>
      <c r="AG25" s="46">
        <f>SUMIFS(台帳!$I$2:$I$2000,台帳!$A$2:$A$2000,$A25,台帳!$F$2:$F$2000,AG$4)</f>
        <v>0</v>
      </c>
      <c r="AH25" s="46">
        <f>SUMIFS(台帳!$I$2:$I$2000,台帳!$A$2:$A$2000,$A25,台帳!$F$2:$F$2000,AH$4)</f>
        <v>0</v>
      </c>
      <c r="AI25" s="46">
        <f>SUMIFS(台帳!$I$2:$I$2000,台帳!$A$2:$A$2000,$A25,台帳!$F$2:$F$2000,AI$4)</f>
        <v>0</v>
      </c>
      <c r="AJ25" s="46">
        <f>SUMIFS(台帳!$I$2:$I$2000,台帳!$A$2:$A$2000,$A25,台帳!$F$2:$F$2000,AJ$4)</f>
        <v>0</v>
      </c>
      <c r="AK25" s="46">
        <f>SUMIFS(台帳!$I$2:$I$2000,台帳!$A$2:$A$2000,$A25,台帳!$F$2:$F$2000,AK$4)</f>
        <v>0</v>
      </c>
      <c r="AL25" s="46">
        <f>SUMIFS(台帳!$I$2:$I$2000,台帳!$A$2:$A$2000,$A25,台帳!$F$2:$F$2000,AL$4)</f>
        <v>0</v>
      </c>
      <c r="AM25" s="46">
        <f>SUMIFS(台帳!$I$2:$I$2000,台帳!$A$2:$A$2000,$A25,台帳!$F$2:$F$2000,AM$4)</f>
        <v>0</v>
      </c>
      <c r="AN25" s="46">
        <f>SUMIFS(台帳!$I$2:$I$2000,台帳!$A$2:$A$2000,$A25,台帳!$F$2:$F$2000,AN$4)</f>
        <v>0</v>
      </c>
      <c r="AO25" s="46">
        <f>SUMIFS(台帳!$I$2:$I$2000,台帳!$A$2:$A$2000,$A25,台帳!$F$2:$F$2000,AO$4)</f>
        <v>0</v>
      </c>
      <c r="AP25" s="46">
        <f>SUMIFS(台帳!$I$2:$I$2000,台帳!$A$2:$A$2000,$A25,台帳!$F$2:$F$2000,AP$4)</f>
        <v>0</v>
      </c>
      <c r="AQ25" s="46">
        <f>SUMIFS(台帳!$I$2:$I$2000,台帳!$A$2:$A$2000,$A25,台帳!$F$2:$F$2000,AQ$4)</f>
        <v>0</v>
      </c>
      <c r="AR25" s="46">
        <f>SUM(C25:AQ25)</f>
        <v>0</v>
      </c>
    </row>
    <row r="26" spans="1:44" ht="17.25" x14ac:dyDescent="0.35">
      <c r="A26" s="44">
        <v>46153</v>
      </c>
      <c r="B26" s="45" t="str">
        <f>CHOOSE(WEEKDAY(A26),"日","月","火","水","木","金","土")</f>
        <v>月</v>
      </c>
      <c r="C26" s="46">
        <f>SUMIFS(台帳!$I$2:$I$2000,台帳!$A$2:$A$2000,$A26,台帳!$F$2:$F$2000,C$4)</f>
        <v>0</v>
      </c>
      <c r="D26" s="46">
        <f>SUMIFS(台帳!$I$2:$I$2000,台帳!$A$2:$A$2000,$A26,台帳!$F$2:$F$2000,D$4)</f>
        <v>0</v>
      </c>
      <c r="E26" s="46">
        <f>SUMIFS(台帳!$I$2:$I$2000,台帳!$A$2:$A$2000,$A26,台帳!$F$2:$F$2000,E$4)</f>
        <v>0</v>
      </c>
      <c r="F26" s="46">
        <f>SUMIFS(台帳!$I$2:$I$2000,台帳!$A$2:$A$2000,$A26,台帳!$F$2:$F$2000,F$4)</f>
        <v>0</v>
      </c>
      <c r="G26" s="46">
        <f>SUMIFS(台帳!$I$2:$I$2000,台帳!$A$2:$A$2000,$A26,台帳!$F$2:$F$2000,G$4)</f>
        <v>0</v>
      </c>
      <c r="H26" s="46">
        <f>SUMIFS(台帳!$I$2:$I$2000,台帳!$A$2:$A$2000,$A26,台帳!$F$2:$F$2000,H$4)</f>
        <v>0</v>
      </c>
      <c r="I26" s="46">
        <f>SUMIFS(台帳!$I$2:$I$2000,台帳!$A$2:$A$2000,$A26,台帳!$F$2:$F$2000,I$4)</f>
        <v>0</v>
      </c>
      <c r="J26" s="46">
        <f>SUMIFS(台帳!$I$2:$I$2000,台帳!$A$2:$A$2000,$A26,台帳!$F$2:$F$2000,J$4)</f>
        <v>0</v>
      </c>
      <c r="K26" s="46">
        <f>SUMIFS(台帳!$I$2:$I$2000,台帳!$A$2:$A$2000,$A26,台帳!$F$2:$F$2000,K$4)</f>
        <v>0</v>
      </c>
      <c r="L26" s="46">
        <f>SUMIFS(台帳!$I$2:$I$2000,台帳!$A$2:$A$2000,$A26,台帳!$F$2:$F$2000,L$4)</f>
        <v>0</v>
      </c>
      <c r="M26" s="46">
        <f>SUMIFS(台帳!$I$2:$I$2000,台帳!$A$2:$A$2000,$A26,台帳!$F$2:$F$2000,M$4)</f>
        <v>0</v>
      </c>
      <c r="N26" s="46">
        <f>SUMIFS(台帳!$I$2:$I$2000,台帳!$A$2:$A$2000,$A26,台帳!$F$2:$F$2000,N$4)</f>
        <v>0</v>
      </c>
      <c r="O26" s="46">
        <f>SUMIFS(台帳!$I$2:$I$2000,台帳!$A$2:$A$2000,$A26,台帳!$F$2:$F$2000,O$4)</f>
        <v>0</v>
      </c>
      <c r="P26" s="46">
        <f>SUMIFS(台帳!$I$2:$I$2000,台帳!$A$2:$A$2000,$A26,台帳!$F$2:$F$2000,P$4)</f>
        <v>0</v>
      </c>
      <c r="Q26" s="46">
        <f>SUMIFS(台帳!$I$2:$I$2000,台帳!$A$2:$A$2000,$A26,台帳!$F$2:$F$2000,Q$4)</f>
        <v>0</v>
      </c>
      <c r="R26" s="46">
        <f>SUMIFS(台帳!$I$2:$I$2000,台帳!$A$2:$A$2000,$A26,台帳!$F$2:$F$2000,R$4)</f>
        <v>0</v>
      </c>
      <c r="S26" s="46">
        <f>SUMIFS(台帳!$I$2:$I$2000,台帳!$A$2:$A$2000,$A26,台帳!$F$2:$F$2000,S$4)</f>
        <v>0</v>
      </c>
      <c r="T26" s="46">
        <f>SUMIFS(台帳!$I$2:$I$2000,台帳!$A$2:$A$2000,$A26,台帳!$F$2:$F$2000,T$4)</f>
        <v>0</v>
      </c>
      <c r="U26" s="46">
        <f>SUMIFS(台帳!$I$2:$I$2000,台帳!$A$2:$A$2000,$A26,台帳!$F$2:$F$2000,U$4)</f>
        <v>0</v>
      </c>
      <c r="V26" s="46">
        <f>SUMIFS(台帳!$I$2:$I$2000,台帳!$A$2:$A$2000,$A26,台帳!$F$2:$F$2000,V$4)</f>
        <v>0</v>
      </c>
      <c r="W26" s="46">
        <f>SUMIFS(台帳!$I$2:$I$2000,台帳!$A$2:$A$2000,$A26,台帳!$F$2:$F$2000,W$4)</f>
        <v>0</v>
      </c>
      <c r="X26" s="46">
        <f>SUMIFS(台帳!$I$2:$I$2000,台帳!$A$2:$A$2000,$A26,台帳!$F$2:$F$2000,X$4)</f>
        <v>0</v>
      </c>
      <c r="Y26" s="46">
        <f>SUMIFS(台帳!$I$2:$I$2000,台帳!$A$2:$A$2000,$A26,台帳!$F$2:$F$2000,Y$4)</f>
        <v>0</v>
      </c>
      <c r="Z26" s="46">
        <f>SUMIFS(台帳!$I$2:$I$2000,台帳!$A$2:$A$2000,$A26,台帳!$F$2:$F$2000,Z$4)</f>
        <v>0</v>
      </c>
      <c r="AA26" s="46">
        <f>SUMIFS(台帳!$I$2:$I$2000,台帳!$A$2:$A$2000,$A26,台帳!$F$2:$F$2000,AA$4)</f>
        <v>0</v>
      </c>
      <c r="AB26" s="46">
        <f>SUMIFS(台帳!$I$2:$I$2000,台帳!$A$2:$A$2000,$A26,台帳!$F$2:$F$2000,AB$4)</f>
        <v>0</v>
      </c>
      <c r="AC26" s="46">
        <f>SUMIFS(台帳!$I$2:$I$2000,台帳!$A$2:$A$2000,$A26,台帳!$F$2:$F$2000,AC$4)</f>
        <v>0</v>
      </c>
      <c r="AD26" s="46">
        <f>SUMIFS(台帳!$I$2:$I$2000,台帳!$A$2:$A$2000,$A26,台帳!$F$2:$F$2000,AD$4)</f>
        <v>0</v>
      </c>
      <c r="AE26" s="46">
        <f>SUMIFS(台帳!$I$2:$I$2000,台帳!$A$2:$A$2000,$A26,台帳!$F$2:$F$2000,AE$4)</f>
        <v>0</v>
      </c>
      <c r="AF26" s="46">
        <f>SUMIFS(台帳!$I$2:$I$2000,台帳!$A$2:$A$2000,$A26,台帳!$F$2:$F$2000,AF$4)</f>
        <v>0</v>
      </c>
      <c r="AG26" s="46">
        <f>SUMIFS(台帳!$I$2:$I$2000,台帳!$A$2:$A$2000,$A26,台帳!$F$2:$F$2000,AG$4)</f>
        <v>0</v>
      </c>
      <c r="AH26" s="46">
        <f>SUMIFS(台帳!$I$2:$I$2000,台帳!$A$2:$A$2000,$A26,台帳!$F$2:$F$2000,AH$4)</f>
        <v>0</v>
      </c>
      <c r="AI26" s="46">
        <f>SUMIFS(台帳!$I$2:$I$2000,台帳!$A$2:$A$2000,$A26,台帳!$F$2:$F$2000,AI$4)</f>
        <v>0</v>
      </c>
      <c r="AJ26" s="46">
        <f>SUMIFS(台帳!$I$2:$I$2000,台帳!$A$2:$A$2000,$A26,台帳!$F$2:$F$2000,AJ$4)</f>
        <v>0</v>
      </c>
      <c r="AK26" s="46">
        <f>SUMIFS(台帳!$I$2:$I$2000,台帳!$A$2:$A$2000,$A26,台帳!$F$2:$F$2000,AK$4)</f>
        <v>0</v>
      </c>
      <c r="AL26" s="46">
        <f>SUMIFS(台帳!$I$2:$I$2000,台帳!$A$2:$A$2000,$A26,台帳!$F$2:$F$2000,AL$4)</f>
        <v>0</v>
      </c>
      <c r="AM26" s="46">
        <f>SUMIFS(台帳!$I$2:$I$2000,台帳!$A$2:$A$2000,$A26,台帳!$F$2:$F$2000,AM$4)</f>
        <v>0</v>
      </c>
      <c r="AN26" s="46">
        <f>SUMIFS(台帳!$I$2:$I$2000,台帳!$A$2:$A$2000,$A26,台帳!$F$2:$F$2000,AN$4)</f>
        <v>0</v>
      </c>
      <c r="AO26" s="46">
        <f>SUMIFS(台帳!$I$2:$I$2000,台帳!$A$2:$A$2000,$A26,台帳!$F$2:$F$2000,AO$4)</f>
        <v>0</v>
      </c>
      <c r="AP26" s="46">
        <f>SUMIFS(台帳!$I$2:$I$2000,台帳!$A$2:$A$2000,$A26,台帳!$F$2:$F$2000,AP$4)</f>
        <v>0</v>
      </c>
      <c r="AQ26" s="46">
        <f>SUMIFS(台帳!$I$2:$I$2000,台帳!$A$2:$A$2000,$A26,台帳!$F$2:$F$2000,AQ$4)</f>
        <v>0</v>
      </c>
      <c r="AR26" s="46">
        <f>SUM(C26:AQ26)</f>
        <v>0</v>
      </c>
    </row>
    <row r="27" spans="1:44" ht="17.25" x14ac:dyDescent="0.35">
      <c r="A27" s="44">
        <v>46154</v>
      </c>
      <c r="B27" s="45" t="str">
        <f>CHOOSE(WEEKDAY(A27),"日","月","火","水","木","金","土")</f>
        <v>火</v>
      </c>
      <c r="C27" s="46">
        <f>SUMIFS(台帳!$I$2:$I$2000,台帳!$A$2:$A$2000,$A27,台帳!$F$2:$F$2000,C$4)</f>
        <v>0</v>
      </c>
      <c r="D27" s="46">
        <f>SUMIFS(台帳!$I$2:$I$2000,台帳!$A$2:$A$2000,$A27,台帳!$F$2:$F$2000,D$4)</f>
        <v>0</v>
      </c>
      <c r="E27" s="46">
        <f>SUMIFS(台帳!$I$2:$I$2000,台帳!$A$2:$A$2000,$A27,台帳!$F$2:$F$2000,E$4)</f>
        <v>0</v>
      </c>
      <c r="F27" s="46">
        <f>SUMIFS(台帳!$I$2:$I$2000,台帳!$A$2:$A$2000,$A27,台帳!$F$2:$F$2000,F$4)</f>
        <v>0</v>
      </c>
      <c r="G27" s="46">
        <f>SUMIFS(台帳!$I$2:$I$2000,台帳!$A$2:$A$2000,$A27,台帳!$F$2:$F$2000,G$4)</f>
        <v>0</v>
      </c>
      <c r="H27" s="46">
        <f>SUMIFS(台帳!$I$2:$I$2000,台帳!$A$2:$A$2000,$A27,台帳!$F$2:$F$2000,H$4)</f>
        <v>0</v>
      </c>
      <c r="I27" s="46">
        <f>SUMIFS(台帳!$I$2:$I$2000,台帳!$A$2:$A$2000,$A27,台帳!$F$2:$F$2000,I$4)</f>
        <v>0</v>
      </c>
      <c r="J27" s="46">
        <f>SUMIFS(台帳!$I$2:$I$2000,台帳!$A$2:$A$2000,$A27,台帳!$F$2:$F$2000,J$4)</f>
        <v>0</v>
      </c>
      <c r="K27" s="46">
        <f>SUMIFS(台帳!$I$2:$I$2000,台帳!$A$2:$A$2000,$A27,台帳!$F$2:$F$2000,K$4)</f>
        <v>0</v>
      </c>
      <c r="L27" s="46">
        <f>SUMIFS(台帳!$I$2:$I$2000,台帳!$A$2:$A$2000,$A27,台帳!$F$2:$F$2000,L$4)</f>
        <v>0</v>
      </c>
      <c r="M27" s="46">
        <f>SUMIFS(台帳!$I$2:$I$2000,台帳!$A$2:$A$2000,$A27,台帳!$F$2:$F$2000,M$4)</f>
        <v>0</v>
      </c>
      <c r="N27" s="46">
        <f>SUMIFS(台帳!$I$2:$I$2000,台帳!$A$2:$A$2000,$A27,台帳!$F$2:$F$2000,N$4)</f>
        <v>0</v>
      </c>
      <c r="O27" s="46">
        <f>SUMIFS(台帳!$I$2:$I$2000,台帳!$A$2:$A$2000,$A27,台帳!$F$2:$F$2000,O$4)</f>
        <v>0</v>
      </c>
      <c r="P27" s="46">
        <f>SUMIFS(台帳!$I$2:$I$2000,台帳!$A$2:$A$2000,$A27,台帳!$F$2:$F$2000,P$4)</f>
        <v>0</v>
      </c>
      <c r="Q27" s="46">
        <f>SUMIFS(台帳!$I$2:$I$2000,台帳!$A$2:$A$2000,$A27,台帳!$F$2:$F$2000,Q$4)</f>
        <v>0</v>
      </c>
      <c r="R27" s="46">
        <f>SUMIFS(台帳!$I$2:$I$2000,台帳!$A$2:$A$2000,$A27,台帳!$F$2:$F$2000,R$4)</f>
        <v>0</v>
      </c>
      <c r="S27" s="46">
        <f>SUMIFS(台帳!$I$2:$I$2000,台帳!$A$2:$A$2000,$A27,台帳!$F$2:$F$2000,S$4)</f>
        <v>0</v>
      </c>
      <c r="T27" s="46">
        <f>SUMIFS(台帳!$I$2:$I$2000,台帳!$A$2:$A$2000,$A27,台帳!$F$2:$F$2000,T$4)</f>
        <v>0</v>
      </c>
      <c r="U27" s="46">
        <f>SUMIFS(台帳!$I$2:$I$2000,台帳!$A$2:$A$2000,$A27,台帳!$F$2:$F$2000,U$4)</f>
        <v>0</v>
      </c>
      <c r="V27" s="46">
        <f>SUMIFS(台帳!$I$2:$I$2000,台帳!$A$2:$A$2000,$A27,台帳!$F$2:$F$2000,V$4)</f>
        <v>0</v>
      </c>
      <c r="W27" s="46">
        <f>SUMIFS(台帳!$I$2:$I$2000,台帳!$A$2:$A$2000,$A27,台帳!$F$2:$F$2000,W$4)</f>
        <v>0</v>
      </c>
      <c r="X27" s="46">
        <f>SUMIFS(台帳!$I$2:$I$2000,台帳!$A$2:$A$2000,$A27,台帳!$F$2:$F$2000,X$4)</f>
        <v>0</v>
      </c>
      <c r="Y27" s="46">
        <f>SUMIFS(台帳!$I$2:$I$2000,台帳!$A$2:$A$2000,$A27,台帳!$F$2:$F$2000,Y$4)</f>
        <v>0</v>
      </c>
      <c r="Z27" s="46">
        <f>SUMIFS(台帳!$I$2:$I$2000,台帳!$A$2:$A$2000,$A27,台帳!$F$2:$F$2000,Z$4)</f>
        <v>0</v>
      </c>
      <c r="AA27" s="46">
        <f>SUMIFS(台帳!$I$2:$I$2000,台帳!$A$2:$A$2000,$A27,台帳!$F$2:$F$2000,AA$4)</f>
        <v>0</v>
      </c>
      <c r="AB27" s="46">
        <f>SUMIFS(台帳!$I$2:$I$2000,台帳!$A$2:$A$2000,$A27,台帳!$F$2:$F$2000,AB$4)</f>
        <v>0</v>
      </c>
      <c r="AC27" s="46">
        <f>SUMIFS(台帳!$I$2:$I$2000,台帳!$A$2:$A$2000,$A27,台帳!$F$2:$F$2000,AC$4)</f>
        <v>0</v>
      </c>
      <c r="AD27" s="46">
        <f>SUMIFS(台帳!$I$2:$I$2000,台帳!$A$2:$A$2000,$A27,台帳!$F$2:$F$2000,AD$4)</f>
        <v>0</v>
      </c>
      <c r="AE27" s="46">
        <f>SUMIFS(台帳!$I$2:$I$2000,台帳!$A$2:$A$2000,$A27,台帳!$F$2:$F$2000,AE$4)</f>
        <v>0</v>
      </c>
      <c r="AF27" s="46">
        <f>SUMIFS(台帳!$I$2:$I$2000,台帳!$A$2:$A$2000,$A27,台帳!$F$2:$F$2000,AF$4)</f>
        <v>0</v>
      </c>
      <c r="AG27" s="46">
        <f>SUMIFS(台帳!$I$2:$I$2000,台帳!$A$2:$A$2000,$A27,台帳!$F$2:$F$2000,AG$4)</f>
        <v>0</v>
      </c>
      <c r="AH27" s="46">
        <f>SUMIFS(台帳!$I$2:$I$2000,台帳!$A$2:$A$2000,$A27,台帳!$F$2:$F$2000,AH$4)</f>
        <v>0</v>
      </c>
      <c r="AI27" s="46">
        <f>SUMIFS(台帳!$I$2:$I$2000,台帳!$A$2:$A$2000,$A27,台帳!$F$2:$F$2000,AI$4)</f>
        <v>0</v>
      </c>
      <c r="AJ27" s="46">
        <f>SUMIFS(台帳!$I$2:$I$2000,台帳!$A$2:$A$2000,$A27,台帳!$F$2:$F$2000,AJ$4)</f>
        <v>0</v>
      </c>
      <c r="AK27" s="46">
        <f>SUMIFS(台帳!$I$2:$I$2000,台帳!$A$2:$A$2000,$A27,台帳!$F$2:$F$2000,AK$4)</f>
        <v>0</v>
      </c>
      <c r="AL27" s="46">
        <f>SUMIFS(台帳!$I$2:$I$2000,台帳!$A$2:$A$2000,$A27,台帳!$F$2:$F$2000,AL$4)</f>
        <v>0</v>
      </c>
      <c r="AM27" s="46">
        <f>SUMIFS(台帳!$I$2:$I$2000,台帳!$A$2:$A$2000,$A27,台帳!$F$2:$F$2000,AM$4)</f>
        <v>0</v>
      </c>
      <c r="AN27" s="46">
        <f>SUMIFS(台帳!$I$2:$I$2000,台帳!$A$2:$A$2000,$A27,台帳!$F$2:$F$2000,AN$4)</f>
        <v>0</v>
      </c>
      <c r="AO27" s="46">
        <f>SUMIFS(台帳!$I$2:$I$2000,台帳!$A$2:$A$2000,$A27,台帳!$F$2:$F$2000,AO$4)</f>
        <v>0</v>
      </c>
      <c r="AP27" s="46">
        <f>SUMIFS(台帳!$I$2:$I$2000,台帳!$A$2:$A$2000,$A27,台帳!$F$2:$F$2000,AP$4)</f>
        <v>0</v>
      </c>
      <c r="AQ27" s="46">
        <f>SUMIFS(台帳!$I$2:$I$2000,台帳!$A$2:$A$2000,$A27,台帳!$F$2:$F$2000,AQ$4)</f>
        <v>0</v>
      </c>
      <c r="AR27" s="46">
        <f>SUM(C27:AQ27)</f>
        <v>0</v>
      </c>
    </row>
    <row r="28" spans="1:44" ht="17.25" x14ac:dyDescent="0.35">
      <c r="A28" s="44">
        <v>46155</v>
      </c>
      <c r="B28" s="45" t="str">
        <f>CHOOSE(WEEKDAY(A28),"日","月","火","水","木","金","土")</f>
        <v>水</v>
      </c>
      <c r="C28" s="46">
        <f>SUMIFS(台帳!$I$2:$I$2000,台帳!$A$2:$A$2000,$A28,台帳!$F$2:$F$2000,C$4)</f>
        <v>0</v>
      </c>
      <c r="D28" s="46">
        <f>SUMIFS(台帳!$I$2:$I$2000,台帳!$A$2:$A$2000,$A28,台帳!$F$2:$F$2000,D$4)</f>
        <v>0</v>
      </c>
      <c r="E28" s="46">
        <f>SUMIFS(台帳!$I$2:$I$2000,台帳!$A$2:$A$2000,$A28,台帳!$F$2:$F$2000,E$4)</f>
        <v>0</v>
      </c>
      <c r="F28" s="46">
        <f>SUMIFS(台帳!$I$2:$I$2000,台帳!$A$2:$A$2000,$A28,台帳!$F$2:$F$2000,F$4)</f>
        <v>0</v>
      </c>
      <c r="G28" s="46">
        <f>SUMIFS(台帳!$I$2:$I$2000,台帳!$A$2:$A$2000,$A28,台帳!$F$2:$F$2000,G$4)</f>
        <v>0</v>
      </c>
      <c r="H28" s="46">
        <f>SUMIFS(台帳!$I$2:$I$2000,台帳!$A$2:$A$2000,$A28,台帳!$F$2:$F$2000,H$4)</f>
        <v>0</v>
      </c>
      <c r="I28" s="46">
        <f>SUMIFS(台帳!$I$2:$I$2000,台帳!$A$2:$A$2000,$A28,台帳!$F$2:$F$2000,I$4)</f>
        <v>0</v>
      </c>
      <c r="J28" s="46">
        <f>SUMIFS(台帳!$I$2:$I$2000,台帳!$A$2:$A$2000,$A28,台帳!$F$2:$F$2000,J$4)</f>
        <v>0</v>
      </c>
      <c r="K28" s="46">
        <f>SUMIFS(台帳!$I$2:$I$2000,台帳!$A$2:$A$2000,$A28,台帳!$F$2:$F$2000,K$4)</f>
        <v>0</v>
      </c>
      <c r="L28" s="46">
        <f>SUMIFS(台帳!$I$2:$I$2000,台帳!$A$2:$A$2000,$A28,台帳!$F$2:$F$2000,L$4)</f>
        <v>0</v>
      </c>
      <c r="M28" s="46">
        <f>SUMIFS(台帳!$I$2:$I$2000,台帳!$A$2:$A$2000,$A28,台帳!$F$2:$F$2000,M$4)</f>
        <v>0</v>
      </c>
      <c r="N28" s="46">
        <f>SUMIFS(台帳!$I$2:$I$2000,台帳!$A$2:$A$2000,$A28,台帳!$F$2:$F$2000,N$4)</f>
        <v>0</v>
      </c>
      <c r="O28" s="46">
        <f>SUMIFS(台帳!$I$2:$I$2000,台帳!$A$2:$A$2000,$A28,台帳!$F$2:$F$2000,O$4)</f>
        <v>0</v>
      </c>
      <c r="P28" s="46">
        <f>SUMIFS(台帳!$I$2:$I$2000,台帳!$A$2:$A$2000,$A28,台帳!$F$2:$F$2000,P$4)</f>
        <v>0</v>
      </c>
      <c r="Q28" s="46">
        <f>SUMIFS(台帳!$I$2:$I$2000,台帳!$A$2:$A$2000,$A28,台帳!$F$2:$F$2000,Q$4)</f>
        <v>0</v>
      </c>
      <c r="R28" s="46">
        <f>SUMIFS(台帳!$I$2:$I$2000,台帳!$A$2:$A$2000,$A28,台帳!$F$2:$F$2000,R$4)</f>
        <v>0</v>
      </c>
      <c r="S28" s="46">
        <f>SUMIFS(台帳!$I$2:$I$2000,台帳!$A$2:$A$2000,$A28,台帳!$F$2:$F$2000,S$4)</f>
        <v>0</v>
      </c>
      <c r="T28" s="46">
        <f>SUMIFS(台帳!$I$2:$I$2000,台帳!$A$2:$A$2000,$A28,台帳!$F$2:$F$2000,T$4)</f>
        <v>0</v>
      </c>
      <c r="U28" s="46">
        <f>SUMIFS(台帳!$I$2:$I$2000,台帳!$A$2:$A$2000,$A28,台帳!$F$2:$F$2000,U$4)</f>
        <v>0</v>
      </c>
      <c r="V28" s="46">
        <f>SUMIFS(台帳!$I$2:$I$2000,台帳!$A$2:$A$2000,$A28,台帳!$F$2:$F$2000,V$4)</f>
        <v>0</v>
      </c>
      <c r="W28" s="46">
        <f>SUMIFS(台帳!$I$2:$I$2000,台帳!$A$2:$A$2000,$A28,台帳!$F$2:$F$2000,W$4)</f>
        <v>0</v>
      </c>
      <c r="X28" s="46">
        <f>SUMIFS(台帳!$I$2:$I$2000,台帳!$A$2:$A$2000,$A28,台帳!$F$2:$F$2000,X$4)</f>
        <v>0</v>
      </c>
      <c r="Y28" s="46">
        <f>SUMIFS(台帳!$I$2:$I$2000,台帳!$A$2:$A$2000,$A28,台帳!$F$2:$F$2000,Y$4)</f>
        <v>0</v>
      </c>
      <c r="Z28" s="46">
        <f>SUMIFS(台帳!$I$2:$I$2000,台帳!$A$2:$A$2000,$A28,台帳!$F$2:$F$2000,Z$4)</f>
        <v>0</v>
      </c>
      <c r="AA28" s="46">
        <f>SUMIFS(台帳!$I$2:$I$2000,台帳!$A$2:$A$2000,$A28,台帳!$F$2:$F$2000,AA$4)</f>
        <v>0</v>
      </c>
      <c r="AB28" s="46">
        <f>SUMIFS(台帳!$I$2:$I$2000,台帳!$A$2:$A$2000,$A28,台帳!$F$2:$F$2000,AB$4)</f>
        <v>0</v>
      </c>
      <c r="AC28" s="46">
        <f>SUMIFS(台帳!$I$2:$I$2000,台帳!$A$2:$A$2000,$A28,台帳!$F$2:$F$2000,AC$4)</f>
        <v>0</v>
      </c>
      <c r="AD28" s="46">
        <f>SUMIFS(台帳!$I$2:$I$2000,台帳!$A$2:$A$2000,$A28,台帳!$F$2:$F$2000,AD$4)</f>
        <v>0</v>
      </c>
      <c r="AE28" s="46">
        <f>SUMIFS(台帳!$I$2:$I$2000,台帳!$A$2:$A$2000,$A28,台帳!$F$2:$F$2000,AE$4)</f>
        <v>0</v>
      </c>
      <c r="AF28" s="46">
        <f>SUMIFS(台帳!$I$2:$I$2000,台帳!$A$2:$A$2000,$A28,台帳!$F$2:$F$2000,AF$4)</f>
        <v>0</v>
      </c>
      <c r="AG28" s="46">
        <f>SUMIFS(台帳!$I$2:$I$2000,台帳!$A$2:$A$2000,$A28,台帳!$F$2:$F$2000,AG$4)</f>
        <v>0</v>
      </c>
      <c r="AH28" s="46">
        <f>SUMIFS(台帳!$I$2:$I$2000,台帳!$A$2:$A$2000,$A28,台帳!$F$2:$F$2000,AH$4)</f>
        <v>0</v>
      </c>
      <c r="AI28" s="46">
        <f>SUMIFS(台帳!$I$2:$I$2000,台帳!$A$2:$A$2000,$A28,台帳!$F$2:$F$2000,AI$4)</f>
        <v>0</v>
      </c>
      <c r="AJ28" s="46">
        <f>SUMIFS(台帳!$I$2:$I$2000,台帳!$A$2:$A$2000,$A28,台帳!$F$2:$F$2000,AJ$4)</f>
        <v>0</v>
      </c>
      <c r="AK28" s="46">
        <f>SUMIFS(台帳!$I$2:$I$2000,台帳!$A$2:$A$2000,$A28,台帳!$F$2:$F$2000,AK$4)</f>
        <v>0</v>
      </c>
      <c r="AL28" s="46">
        <f>SUMIFS(台帳!$I$2:$I$2000,台帳!$A$2:$A$2000,$A28,台帳!$F$2:$F$2000,AL$4)</f>
        <v>0</v>
      </c>
      <c r="AM28" s="46">
        <f>SUMIFS(台帳!$I$2:$I$2000,台帳!$A$2:$A$2000,$A28,台帳!$F$2:$F$2000,AM$4)</f>
        <v>0</v>
      </c>
      <c r="AN28" s="46">
        <f>SUMIFS(台帳!$I$2:$I$2000,台帳!$A$2:$A$2000,$A28,台帳!$F$2:$F$2000,AN$4)</f>
        <v>0</v>
      </c>
      <c r="AO28" s="46">
        <f>SUMIFS(台帳!$I$2:$I$2000,台帳!$A$2:$A$2000,$A28,台帳!$F$2:$F$2000,AO$4)</f>
        <v>0</v>
      </c>
      <c r="AP28" s="46">
        <f>SUMIFS(台帳!$I$2:$I$2000,台帳!$A$2:$A$2000,$A28,台帳!$F$2:$F$2000,AP$4)</f>
        <v>0</v>
      </c>
      <c r="AQ28" s="46">
        <f>SUMIFS(台帳!$I$2:$I$2000,台帳!$A$2:$A$2000,$A28,台帳!$F$2:$F$2000,AQ$4)</f>
        <v>0</v>
      </c>
      <c r="AR28" s="46">
        <f>SUM(C28:AQ28)</f>
        <v>0</v>
      </c>
    </row>
    <row r="29" spans="1:44" ht="17.25" x14ac:dyDescent="0.35">
      <c r="A29" s="44">
        <v>46156</v>
      </c>
      <c r="B29" s="45" t="str">
        <f>CHOOSE(WEEKDAY(A29),"日","月","火","水","木","金","土")</f>
        <v>木</v>
      </c>
      <c r="C29" s="46">
        <f>SUMIFS(台帳!$I$2:$I$2000,台帳!$A$2:$A$2000,$A29,台帳!$F$2:$F$2000,C$4)</f>
        <v>0</v>
      </c>
      <c r="D29" s="46">
        <f>SUMIFS(台帳!$I$2:$I$2000,台帳!$A$2:$A$2000,$A29,台帳!$F$2:$F$2000,D$4)</f>
        <v>0</v>
      </c>
      <c r="E29" s="46">
        <f>SUMIFS(台帳!$I$2:$I$2000,台帳!$A$2:$A$2000,$A29,台帳!$F$2:$F$2000,E$4)</f>
        <v>0</v>
      </c>
      <c r="F29" s="46">
        <f>SUMIFS(台帳!$I$2:$I$2000,台帳!$A$2:$A$2000,$A29,台帳!$F$2:$F$2000,F$4)</f>
        <v>0</v>
      </c>
      <c r="G29" s="46">
        <f>SUMIFS(台帳!$I$2:$I$2000,台帳!$A$2:$A$2000,$A29,台帳!$F$2:$F$2000,G$4)</f>
        <v>0</v>
      </c>
      <c r="H29" s="46">
        <f>SUMIFS(台帳!$I$2:$I$2000,台帳!$A$2:$A$2000,$A29,台帳!$F$2:$F$2000,H$4)</f>
        <v>0</v>
      </c>
      <c r="I29" s="46">
        <f>SUMIFS(台帳!$I$2:$I$2000,台帳!$A$2:$A$2000,$A29,台帳!$F$2:$F$2000,I$4)</f>
        <v>0</v>
      </c>
      <c r="J29" s="46">
        <f>SUMIFS(台帳!$I$2:$I$2000,台帳!$A$2:$A$2000,$A29,台帳!$F$2:$F$2000,J$4)</f>
        <v>0</v>
      </c>
      <c r="K29" s="46">
        <f>SUMIFS(台帳!$I$2:$I$2000,台帳!$A$2:$A$2000,$A29,台帳!$F$2:$F$2000,K$4)</f>
        <v>0</v>
      </c>
      <c r="L29" s="46">
        <f>SUMIFS(台帳!$I$2:$I$2000,台帳!$A$2:$A$2000,$A29,台帳!$F$2:$F$2000,L$4)</f>
        <v>0</v>
      </c>
      <c r="M29" s="46">
        <f>SUMIFS(台帳!$I$2:$I$2000,台帳!$A$2:$A$2000,$A29,台帳!$F$2:$F$2000,M$4)</f>
        <v>0</v>
      </c>
      <c r="N29" s="46">
        <f>SUMIFS(台帳!$I$2:$I$2000,台帳!$A$2:$A$2000,$A29,台帳!$F$2:$F$2000,N$4)</f>
        <v>0</v>
      </c>
      <c r="O29" s="46">
        <f>SUMIFS(台帳!$I$2:$I$2000,台帳!$A$2:$A$2000,$A29,台帳!$F$2:$F$2000,O$4)</f>
        <v>0</v>
      </c>
      <c r="P29" s="46">
        <f>SUMIFS(台帳!$I$2:$I$2000,台帳!$A$2:$A$2000,$A29,台帳!$F$2:$F$2000,P$4)</f>
        <v>0</v>
      </c>
      <c r="Q29" s="46">
        <f>SUMIFS(台帳!$I$2:$I$2000,台帳!$A$2:$A$2000,$A29,台帳!$F$2:$F$2000,Q$4)</f>
        <v>0</v>
      </c>
      <c r="R29" s="46">
        <f>SUMIFS(台帳!$I$2:$I$2000,台帳!$A$2:$A$2000,$A29,台帳!$F$2:$F$2000,R$4)</f>
        <v>0</v>
      </c>
      <c r="S29" s="46">
        <f>SUMIFS(台帳!$I$2:$I$2000,台帳!$A$2:$A$2000,$A29,台帳!$F$2:$F$2000,S$4)</f>
        <v>0</v>
      </c>
      <c r="T29" s="46">
        <f>SUMIFS(台帳!$I$2:$I$2000,台帳!$A$2:$A$2000,$A29,台帳!$F$2:$F$2000,T$4)</f>
        <v>0</v>
      </c>
      <c r="U29" s="46">
        <f>SUMIFS(台帳!$I$2:$I$2000,台帳!$A$2:$A$2000,$A29,台帳!$F$2:$F$2000,U$4)</f>
        <v>0</v>
      </c>
      <c r="V29" s="46">
        <f>SUMIFS(台帳!$I$2:$I$2000,台帳!$A$2:$A$2000,$A29,台帳!$F$2:$F$2000,V$4)</f>
        <v>0</v>
      </c>
      <c r="W29" s="46">
        <f>SUMIFS(台帳!$I$2:$I$2000,台帳!$A$2:$A$2000,$A29,台帳!$F$2:$F$2000,W$4)</f>
        <v>0</v>
      </c>
      <c r="X29" s="46">
        <f>SUMIFS(台帳!$I$2:$I$2000,台帳!$A$2:$A$2000,$A29,台帳!$F$2:$F$2000,X$4)</f>
        <v>0</v>
      </c>
      <c r="Y29" s="46">
        <f>SUMIFS(台帳!$I$2:$I$2000,台帳!$A$2:$A$2000,$A29,台帳!$F$2:$F$2000,Y$4)</f>
        <v>0</v>
      </c>
      <c r="Z29" s="46">
        <f>SUMIFS(台帳!$I$2:$I$2000,台帳!$A$2:$A$2000,$A29,台帳!$F$2:$F$2000,Z$4)</f>
        <v>0</v>
      </c>
      <c r="AA29" s="46">
        <f>SUMIFS(台帳!$I$2:$I$2000,台帳!$A$2:$A$2000,$A29,台帳!$F$2:$F$2000,AA$4)</f>
        <v>0</v>
      </c>
      <c r="AB29" s="46">
        <f>SUMIFS(台帳!$I$2:$I$2000,台帳!$A$2:$A$2000,$A29,台帳!$F$2:$F$2000,AB$4)</f>
        <v>0</v>
      </c>
      <c r="AC29" s="46">
        <f>SUMIFS(台帳!$I$2:$I$2000,台帳!$A$2:$A$2000,$A29,台帳!$F$2:$F$2000,AC$4)</f>
        <v>0</v>
      </c>
      <c r="AD29" s="46">
        <f>SUMIFS(台帳!$I$2:$I$2000,台帳!$A$2:$A$2000,$A29,台帳!$F$2:$F$2000,AD$4)</f>
        <v>0</v>
      </c>
      <c r="AE29" s="46">
        <f>SUMIFS(台帳!$I$2:$I$2000,台帳!$A$2:$A$2000,$A29,台帳!$F$2:$F$2000,AE$4)</f>
        <v>0</v>
      </c>
      <c r="AF29" s="46">
        <f>SUMIFS(台帳!$I$2:$I$2000,台帳!$A$2:$A$2000,$A29,台帳!$F$2:$F$2000,AF$4)</f>
        <v>0</v>
      </c>
      <c r="AG29" s="46">
        <f>SUMIFS(台帳!$I$2:$I$2000,台帳!$A$2:$A$2000,$A29,台帳!$F$2:$F$2000,AG$4)</f>
        <v>0</v>
      </c>
      <c r="AH29" s="46">
        <f>SUMIFS(台帳!$I$2:$I$2000,台帳!$A$2:$A$2000,$A29,台帳!$F$2:$F$2000,AH$4)</f>
        <v>0</v>
      </c>
      <c r="AI29" s="46">
        <f>SUMIFS(台帳!$I$2:$I$2000,台帳!$A$2:$A$2000,$A29,台帳!$F$2:$F$2000,AI$4)</f>
        <v>0</v>
      </c>
      <c r="AJ29" s="46">
        <f>SUMIFS(台帳!$I$2:$I$2000,台帳!$A$2:$A$2000,$A29,台帳!$F$2:$F$2000,AJ$4)</f>
        <v>0</v>
      </c>
      <c r="AK29" s="46">
        <f>SUMIFS(台帳!$I$2:$I$2000,台帳!$A$2:$A$2000,$A29,台帳!$F$2:$F$2000,AK$4)</f>
        <v>0</v>
      </c>
      <c r="AL29" s="46">
        <f>SUMIFS(台帳!$I$2:$I$2000,台帳!$A$2:$A$2000,$A29,台帳!$F$2:$F$2000,AL$4)</f>
        <v>0</v>
      </c>
      <c r="AM29" s="46">
        <f>SUMIFS(台帳!$I$2:$I$2000,台帳!$A$2:$A$2000,$A29,台帳!$F$2:$F$2000,AM$4)</f>
        <v>0</v>
      </c>
      <c r="AN29" s="46">
        <f>SUMIFS(台帳!$I$2:$I$2000,台帳!$A$2:$A$2000,$A29,台帳!$F$2:$F$2000,AN$4)</f>
        <v>0</v>
      </c>
      <c r="AO29" s="46">
        <f>SUMIFS(台帳!$I$2:$I$2000,台帳!$A$2:$A$2000,$A29,台帳!$F$2:$F$2000,AO$4)</f>
        <v>0</v>
      </c>
      <c r="AP29" s="46">
        <f>SUMIFS(台帳!$I$2:$I$2000,台帳!$A$2:$A$2000,$A29,台帳!$F$2:$F$2000,AP$4)</f>
        <v>0</v>
      </c>
      <c r="AQ29" s="46">
        <f>SUMIFS(台帳!$I$2:$I$2000,台帳!$A$2:$A$2000,$A29,台帳!$F$2:$F$2000,AQ$4)</f>
        <v>0</v>
      </c>
      <c r="AR29" s="46">
        <f>SUM(C29:AQ29)</f>
        <v>0</v>
      </c>
    </row>
    <row r="30" spans="1:44" ht="17.25" x14ac:dyDescent="0.35">
      <c r="A30" s="44">
        <v>46157</v>
      </c>
      <c r="B30" s="45" t="str">
        <f>CHOOSE(WEEKDAY(A30),"日","月","火","水","木","金","土")</f>
        <v>金</v>
      </c>
      <c r="C30" s="46">
        <f>SUMIFS(台帳!$I$2:$I$2000,台帳!$A$2:$A$2000,$A30,台帳!$F$2:$F$2000,C$4)</f>
        <v>0</v>
      </c>
      <c r="D30" s="46">
        <f>SUMIFS(台帳!$I$2:$I$2000,台帳!$A$2:$A$2000,$A30,台帳!$F$2:$F$2000,D$4)</f>
        <v>0</v>
      </c>
      <c r="E30" s="46">
        <f>SUMIFS(台帳!$I$2:$I$2000,台帳!$A$2:$A$2000,$A30,台帳!$F$2:$F$2000,E$4)</f>
        <v>0</v>
      </c>
      <c r="F30" s="46">
        <f>SUMIFS(台帳!$I$2:$I$2000,台帳!$A$2:$A$2000,$A30,台帳!$F$2:$F$2000,F$4)</f>
        <v>0</v>
      </c>
      <c r="G30" s="46">
        <f>SUMIFS(台帳!$I$2:$I$2000,台帳!$A$2:$A$2000,$A30,台帳!$F$2:$F$2000,G$4)</f>
        <v>0</v>
      </c>
      <c r="H30" s="46">
        <f>SUMIFS(台帳!$I$2:$I$2000,台帳!$A$2:$A$2000,$A30,台帳!$F$2:$F$2000,H$4)</f>
        <v>0</v>
      </c>
      <c r="I30" s="46">
        <f>SUMIFS(台帳!$I$2:$I$2000,台帳!$A$2:$A$2000,$A30,台帳!$F$2:$F$2000,I$4)</f>
        <v>0</v>
      </c>
      <c r="J30" s="46">
        <f>SUMIFS(台帳!$I$2:$I$2000,台帳!$A$2:$A$2000,$A30,台帳!$F$2:$F$2000,J$4)</f>
        <v>0</v>
      </c>
      <c r="K30" s="46">
        <f>SUMIFS(台帳!$I$2:$I$2000,台帳!$A$2:$A$2000,$A30,台帳!$F$2:$F$2000,K$4)</f>
        <v>0</v>
      </c>
      <c r="L30" s="46">
        <f>SUMIFS(台帳!$I$2:$I$2000,台帳!$A$2:$A$2000,$A30,台帳!$F$2:$F$2000,L$4)</f>
        <v>0</v>
      </c>
      <c r="M30" s="46">
        <f>SUMIFS(台帳!$I$2:$I$2000,台帳!$A$2:$A$2000,$A30,台帳!$F$2:$F$2000,M$4)</f>
        <v>0</v>
      </c>
      <c r="N30" s="46">
        <f>SUMIFS(台帳!$I$2:$I$2000,台帳!$A$2:$A$2000,$A30,台帳!$F$2:$F$2000,N$4)</f>
        <v>0</v>
      </c>
      <c r="O30" s="46">
        <f>SUMIFS(台帳!$I$2:$I$2000,台帳!$A$2:$A$2000,$A30,台帳!$F$2:$F$2000,O$4)</f>
        <v>0</v>
      </c>
      <c r="P30" s="46">
        <f>SUMIFS(台帳!$I$2:$I$2000,台帳!$A$2:$A$2000,$A30,台帳!$F$2:$F$2000,P$4)</f>
        <v>0</v>
      </c>
      <c r="Q30" s="46">
        <f>SUMIFS(台帳!$I$2:$I$2000,台帳!$A$2:$A$2000,$A30,台帳!$F$2:$F$2000,Q$4)</f>
        <v>0</v>
      </c>
      <c r="R30" s="46">
        <f>SUMIFS(台帳!$I$2:$I$2000,台帳!$A$2:$A$2000,$A30,台帳!$F$2:$F$2000,R$4)</f>
        <v>0</v>
      </c>
      <c r="S30" s="46">
        <f>SUMIFS(台帳!$I$2:$I$2000,台帳!$A$2:$A$2000,$A30,台帳!$F$2:$F$2000,S$4)</f>
        <v>0</v>
      </c>
      <c r="T30" s="46">
        <f>SUMIFS(台帳!$I$2:$I$2000,台帳!$A$2:$A$2000,$A30,台帳!$F$2:$F$2000,T$4)</f>
        <v>0</v>
      </c>
      <c r="U30" s="46">
        <f>SUMIFS(台帳!$I$2:$I$2000,台帳!$A$2:$A$2000,$A30,台帳!$F$2:$F$2000,U$4)</f>
        <v>0</v>
      </c>
      <c r="V30" s="46">
        <f>SUMIFS(台帳!$I$2:$I$2000,台帳!$A$2:$A$2000,$A30,台帳!$F$2:$F$2000,V$4)</f>
        <v>0</v>
      </c>
      <c r="W30" s="46">
        <f>SUMIFS(台帳!$I$2:$I$2000,台帳!$A$2:$A$2000,$A30,台帳!$F$2:$F$2000,W$4)</f>
        <v>0</v>
      </c>
      <c r="X30" s="46">
        <f>SUMIFS(台帳!$I$2:$I$2000,台帳!$A$2:$A$2000,$A30,台帳!$F$2:$F$2000,X$4)</f>
        <v>0</v>
      </c>
      <c r="Y30" s="46">
        <f>SUMIFS(台帳!$I$2:$I$2000,台帳!$A$2:$A$2000,$A30,台帳!$F$2:$F$2000,Y$4)</f>
        <v>0</v>
      </c>
      <c r="Z30" s="46">
        <f>SUMIFS(台帳!$I$2:$I$2000,台帳!$A$2:$A$2000,$A30,台帳!$F$2:$F$2000,Z$4)</f>
        <v>0</v>
      </c>
      <c r="AA30" s="46">
        <f>SUMIFS(台帳!$I$2:$I$2000,台帳!$A$2:$A$2000,$A30,台帳!$F$2:$F$2000,AA$4)</f>
        <v>0</v>
      </c>
      <c r="AB30" s="46">
        <f>SUMIFS(台帳!$I$2:$I$2000,台帳!$A$2:$A$2000,$A30,台帳!$F$2:$F$2000,AB$4)</f>
        <v>0</v>
      </c>
      <c r="AC30" s="46">
        <f>SUMIFS(台帳!$I$2:$I$2000,台帳!$A$2:$A$2000,$A30,台帳!$F$2:$F$2000,AC$4)</f>
        <v>0</v>
      </c>
      <c r="AD30" s="46">
        <f>SUMIFS(台帳!$I$2:$I$2000,台帳!$A$2:$A$2000,$A30,台帳!$F$2:$F$2000,AD$4)</f>
        <v>0</v>
      </c>
      <c r="AE30" s="46">
        <f>SUMIFS(台帳!$I$2:$I$2000,台帳!$A$2:$A$2000,$A30,台帳!$F$2:$F$2000,AE$4)</f>
        <v>0</v>
      </c>
      <c r="AF30" s="46">
        <f>SUMIFS(台帳!$I$2:$I$2000,台帳!$A$2:$A$2000,$A30,台帳!$F$2:$F$2000,AF$4)</f>
        <v>0</v>
      </c>
      <c r="AG30" s="46">
        <f>SUMIFS(台帳!$I$2:$I$2000,台帳!$A$2:$A$2000,$A30,台帳!$F$2:$F$2000,AG$4)</f>
        <v>0</v>
      </c>
      <c r="AH30" s="46">
        <f>SUMIFS(台帳!$I$2:$I$2000,台帳!$A$2:$A$2000,$A30,台帳!$F$2:$F$2000,AH$4)</f>
        <v>0</v>
      </c>
      <c r="AI30" s="46">
        <f>SUMIFS(台帳!$I$2:$I$2000,台帳!$A$2:$A$2000,$A30,台帳!$F$2:$F$2000,AI$4)</f>
        <v>0</v>
      </c>
      <c r="AJ30" s="46">
        <f>SUMIFS(台帳!$I$2:$I$2000,台帳!$A$2:$A$2000,$A30,台帳!$F$2:$F$2000,AJ$4)</f>
        <v>0</v>
      </c>
      <c r="AK30" s="46">
        <f>SUMIFS(台帳!$I$2:$I$2000,台帳!$A$2:$A$2000,$A30,台帳!$F$2:$F$2000,AK$4)</f>
        <v>0</v>
      </c>
      <c r="AL30" s="46">
        <f>SUMIFS(台帳!$I$2:$I$2000,台帳!$A$2:$A$2000,$A30,台帳!$F$2:$F$2000,AL$4)</f>
        <v>0</v>
      </c>
      <c r="AM30" s="46">
        <f>SUMIFS(台帳!$I$2:$I$2000,台帳!$A$2:$A$2000,$A30,台帳!$F$2:$F$2000,AM$4)</f>
        <v>0</v>
      </c>
      <c r="AN30" s="46">
        <f>SUMIFS(台帳!$I$2:$I$2000,台帳!$A$2:$A$2000,$A30,台帳!$F$2:$F$2000,AN$4)</f>
        <v>0</v>
      </c>
      <c r="AO30" s="46">
        <f>SUMIFS(台帳!$I$2:$I$2000,台帳!$A$2:$A$2000,$A30,台帳!$F$2:$F$2000,AO$4)</f>
        <v>0</v>
      </c>
      <c r="AP30" s="46">
        <f>SUMIFS(台帳!$I$2:$I$2000,台帳!$A$2:$A$2000,$A30,台帳!$F$2:$F$2000,AP$4)</f>
        <v>0</v>
      </c>
      <c r="AQ30" s="46">
        <f>SUMIFS(台帳!$I$2:$I$2000,台帳!$A$2:$A$2000,$A30,台帳!$F$2:$F$2000,AQ$4)</f>
        <v>0</v>
      </c>
      <c r="AR30" s="46">
        <f>SUM(C30:AQ30)</f>
        <v>0</v>
      </c>
    </row>
    <row r="31" spans="1:44" ht="17.25" x14ac:dyDescent="0.35">
      <c r="A31" s="44">
        <v>46158</v>
      </c>
      <c r="B31" s="45" t="str">
        <f>CHOOSE(WEEKDAY(A31),"日","月","火","水","木","金","土")</f>
        <v>土</v>
      </c>
      <c r="C31" s="46">
        <f>SUMIFS(台帳!$I$2:$I$2000,台帳!$A$2:$A$2000,$A31,台帳!$F$2:$F$2000,C$4)</f>
        <v>0</v>
      </c>
      <c r="D31" s="46">
        <f>SUMIFS(台帳!$I$2:$I$2000,台帳!$A$2:$A$2000,$A31,台帳!$F$2:$F$2000,D$4)</f>
        <v>0</v>
      </c>
      <c r="E31" s="46">
        <f>SUMIFS(台帳!$I$2:$I$2000,台帳!$A$2:$A$2000,$A31,台帳!$F$2:$F$2000,E$4)</f>
        <v>0</v>
      </c>
      <c r="F31" s="46">
        <f>SUMIFS(台帳!$I$2:$I$2000,台帳!$A$2:$A$2000,$A31,台帳!$F$2:$F$2000,F$4)</f>
        <v>0</v>
      </c>
      <c r="G31" s="46">
        <f>SUMIFS(台帳!$I$2:$I$2000,台帳!$A$2:$A$2000,$A31,台帳!$F$2:$F$2000,G$4)</f>
        <v>0</v>
      </c>
      <c r="H31" s="46">
        <f>SUMIFS(台帳!$I$2:$I$2000,台帳!$A$2:$A$2000,$A31,台帳!$F$2:$F$2000,H$4)</f>
        <v>0</v>
      </c>
      <c r="I31" s="46">
        <f>SUMIFS(台帳!$I$2:$I$2000,台帳!$A$2:$A$2000,$A31,台帳!$F$2:$F$2000,I$4)</f>
        <v>0</v>
      </c>
      <c r="J31" s="46">
        <f>SUMIFS(台帳!$I$2:$I$2000,台帳!$A$2:$A$2000,$A31,台帳!$F$2:$F$2000,J$4)</f>
        <v>0</v>
      </c>
      <c r="K31" s="46">
        <f>SUMIFS(台帳!$I$2:$I$2000,台帳!$A$2:$A$2000,$A31,台帳!$F$2:$F$2000,K$4)</f>
        <v>0</v>
      </c>
      <c r="L31" s="46">
        <f>SUMIFS(台帳!$I$2:$I$2000,台帳!$A$2:$A$2000,$A31,台帳!$F$2:$F$2000,L$4)</f>
        <v>0</v>
      </c>
      <c r="M31" s="46">
        <f>SUMIFS(台帳!$I$2:$I$2000,台帳!$A$2:$A$2000,$A31,台帳!$F$2:$F$2000,M$4)</f>
        <v>0</v>
      </c>
      <c r="N31" s="46">
        <f>SUMIFS(台帳!$I$2:$I$2000,台帳!$A$2:$A$2000,$A31,台帳!$F$2:$F$2000,N$4)</f>
        <v>0</v>
      </c>
      <c r="O31" s="46">
        <f>SUMIFS(台帳!$I$2:$I$2000,台帳!$A$2:$A$2000,$A31,台帳!$F$2:$F$2000,O$4)</f>
        <v>0</v>
      </c>
      <c r="P31" s="46">
        <f>SUMIFS(台帳!$I$2:$I$2000,台帳!$A$2:$A$2000,$A31,台帳!$F$2:$F$2000,P$4)</f>
        <v>0</v>
      </c>
      <c r="Q31" s="46">
        <f>SUMIFS(台帳!$I$2:$I$2000,台帳!$A$2:$A$2000,$A31,台帳!$F$2:$F$2000,Q$4)</f>
        <v>0</v>
      </c>
      <c r="R31" s="46">
        <f>SUMIFS(台帳!$I$2:$I$2000,台帳!$A$2:$A$2000,$A31,台帳!$F$2:$F$2000,R$4)</f>
        <v>0</v>
      </c>
      <c r="S31" s="46">
        <f>SUMIFS(台帳!$I$2:$I$2000,台帳!$A$2:$A$2000,$A31,台帳!$F$2:$F$2000,S$4)</f>
        <v>0</v>
      </c>
      <c r="T31" s="46">
        <f>SUMIFS(台帳!$I$2:$I$2000,台帳!$A$2:$A$2000,$A31,台帳!$F$2:$F$2000,T$4)</f>
        <v>0</v>
      </c>
      <c r="U31" s="46">
        <f>SUMIFS(台帳!$I$2:$I$2000,台帳!$A$2:$A$2000,$A31,台帳!$F$2:$F$2000,U$4)</f>
        <v>0</v>
      </c>
      <c r="V31" s="46">
        <f>SUMIFS(台帳!$I$2:$I$2000,台帳!$A$2:$A$2000,$A31,台帳!$F$2:$F$2000,V$4)</f>
        <v>0</v>
      </c>
      <c r="W31" s="46">
        <f>SUMIFS(台帳!$I$2:$I$2000,台帳!$A$2:$A$2000,$A31,台帳!$F$2:$F$2000,W$4)</f>
        <v>0</v>
      </c>
      <c r="X31" s="46">
        <f>SUMIFS(台帳!$I$2:$I$2000,台帳!$A$2:$A$2000,$A31,台帳!$F$2:$F$2000,X$4)</f>
        <v>0</v>
      </c>
      <c r="Y31" s="46">
        <f>SUMIFS(台帳!$I$2:$I$2000,台帳!$A$2:$A$2000,$A31,台帳!$F$2:$F$2000,Y$4)</f>
        <v>0</v>
      </c>
      <c r="Z31" s="46">
        <f>SUMIFS(台帳!$I$2:$I$2000,台帳!$A$2:$A$2000,$A31,台帳!$F$2:$F$2000,Z$4)</f>
        <v>0</v>
      </c>
      <c r="AA31" s="46">
        <f>SUMIFS(台帳!$I$2:$I$2000,台帳!$A$2:$A$2000,$A31,台帳!$F$2:$F$2000,AA$4)</f>
        <v>0</v>
      </c>
      <c r="AB31" s="46">
        <f>SUMIFS(台帳!$I$2:$I$2000,台帳!$A$2:$A$2000,$A31,台帳!$F$2:$F$2000,AB$4)</f>
        <v>0</v>
      </c>
      <c r="AC31" s="46">
        <f>SUMIFS(台帳!$I$2:$I$2000,台帳!$A$2:$A$2000,$A31,台帳!$F$2:$F$2000,AC$4)</f>
        <v>0</v>
      </c>
      <c r="AD31" s="46">
        <f>SUMIFS(台帳!$I$2:$I$2000,台帳!$A$2:$A$2000,$A31,台帳!$F$2:$F$2000,AD$4)</f>
        <v>0</v>
      </c>
      <c r="AE31" s="46">
        <f>SUMIFS(台帳!$I$2:$I$2000,台帳!$A$2:$A$2000,$A31,台帳!$F$2:$F$2000,AE$4)</f>
        <v>0</v>
      </c>
      <c r="AF31" s="46">
        <f>SUMIFS(台帳!$I$2:$I$2000,台帳!$A$2:$A$2000,$A31,台帳!$F$2:$F$2000,AF$4)</f>
        <v>0</v>
      </c>
      <c r="AG31" s="46">
        <f>SUMIFS(台帳!$I$2:$I$2000,台帳!$A$2:$A$2000,$A31,台帳!$F$2:$F$2000,AG$4)</f>
        <v>0</v>
      </c>
      <c r="AH31" s="46">
        <f>SUMIFS(台帳!$I$2:$I$2000,台帳!$A$2:$A$2000,$A31,台帳!$F$2:$F$2000,AH$4)</f>
        <v>0</v>
      </c>
      <c r="AI31" s="46">
        <f>SUMIFS(台帳!$I$2:$I$2000,台帳!$A$2:$A$2000,$A31,台帳!$F$2:$F$2000,AI$4)</f>
        <v>0</v>
      </c>
      <c r="AJ31" s="46">
        <f>SUMIFS(台帳!$I$2:$I$2000,台帳!$A$2:$A$2000,$A31,台帳!$F$2:$F$2000,AJ$4)</f>
        <v>0</v>
      </c>
      <c r="AK31" s="46">
        <f>SUMIFS(台帳!$I$2:$I$2000,台帳!$A$2:$A$2000,$A31,台帳!$F$2:$F$2000,AK$4)</f>
        <v>0</v>
      </c>
      <c r="AL31" s="46">
        <f>SUMIFS(台帳!$I$2:$I$2000,台帳!$A$2:$A$2000,$A31,台帳!$F$2:$F$2000,AL$4)</f>
        <v>0</v>
      </c>
      <c r="AM31" s="46">
        <f>SUMIFS(台帳!$I$2:$I$2000,台帳!$A$2:$A$2000,$A31,台帳!$F$2:$F$2000,AM$4)</f>
        <v>0</v>
      </c>
      <c r="AN31" s="46">
        <f>SUMIFS(台帳!$I$2:$I$2000,台帳!$A$2:$A$2000,$A31,台帳!$F$2:$F$2000,AN$4)</f>
        <v>0</v>
      </c>
      <c r="AO31" s="46">
        <f>SUMIFS(台帳!$I$2:$I$2000,台帳!$A$2:$A$2000,$A31,台帳!$F$2:$F$2000,AO$4)</f>
        <v>0</v>
      </c>
      <c r="AP31" s="46">
        <f>SUMIFS(台帳!$I$2:$I$2000,台帳!$A$2:$A$2000,$A31,台帳!$F$2:$F$2000,AP$4)</f>
        <v>0</v>
      </c>
      <c r="AQ31" s="46">
        <f>SUMIFS(台帳!$I$2:$I$2000,台帳!$A$2:$A$2000,$A31,台帳!$F$2:$F$2000,AQ$4)</f>
        <v>0</v>
      </c>
      <c r="AR31" s="46">
        <f>SUM(C31:AQ31)</f>
        <v>0</v>
      </c>
    </row>
    <row r="32" spans="1:44" ht="17.25" x14ac:dyDescent="0.35">
      <c r="A32" s="44">
        <v>46159</v>
      </c>
      <c r="B32" s="45" t="str">
        <f>CHOOSE(WEEKDAY(A32),"日","月","火","水","木","金","土")</f>
        <v>日</v>
      </c>
      <c r="C32" s="46">
        <f>SUMIFS(台帳!$I$2:$I$2000,台帳!$A$2:$A$2000,$A32,台帳!$F$2:$F$2000,C$4)</f>
        <v>0</v>
      </c>
      <c r="D32" s="46">
        <f>SUMIFS(台帳!$I$2:$I$2000,台帳!$A$2:$A$2000,$A32,台帳!$F$2:$F$2000,D$4)</f>
        <v>0</v>
      </c>
      <c r="E32" s="46">
        <f>SUMIFS(台帳!$I$2:$I$2000,台帳!$A$2:$A$2000,$A32,台帳!$F$2:$F$2000,E$4)</f>
        <v>0</v>
      </c>
      <c r="F32" s="46">
        <f>SUMIFS(台帳!$I$2:$I$2000,台帳!$A$2:$A$2000,$A32,台帳!$F$2:$F$2000,F$4)</f>
        <v>0</v>
      </c>
      <c r="G32" s="46">
        <f>SUMIFS(台帳!$I$2:$I$2000,台帳!$A$2:$A$2000,$A32,台帳!$F$2:$F$2000,G$4)</f>
        <v>0</v>
      </c>
      <c r="H32" s="46">
        <f>SUMIFS(台帳!$I$2:$I$2000,台帳!$A$2:$A$2000,$A32,台帳!$F$2:$F$2000,H$4)</f>
        <v>0</v>
      </c>
      <c r="I32" s="46">
        <f>SUMIFS(台帳!$I$2:$I$2000,台帳!$A$2:$A$2000,$A32,台帳!$F$2:$F$2000,I$4)</f>
        <v>0</v>
      </c>
      <c r="J32" s="46">
        <f>SUMIFS(台帳!$I$2:$I$2000,台帳!$A$2:$A$2000,$A32,台帳!$F$2:$F$2000,J$4)</f>
        <v>0</v>
      </c>
      <c r="K32" s="46">
        <f>SUMIFS(台帳!$I$2:$I$2000,台帳!$A$2:$A$2000,$A32,台帳!$F$2:$F$2000,K$4)</f>
        <v>0</v>
      </c>
      <c r="L32" s="46">
        <f>SUMIFS(台帳!$I$2:$I$2000,台帳!$A$2:$A$2000,$A32,台帳!$F$2:$F$2000,L$4)</f>
        <v>0</v>
      </c>
      <c r="M32" s="46">
        <f>SUMIFS(台帳!$I$2:$I$2000,台帳!$A$2:$A$2000,$A32,台帳!$F$2:$F$2000,M$4)</f>
        <v>0</v>
      </c>
      <c r="N32" s="46">
        <f>SUMIFS(台帳!$I$2:$I$2000,台帳!$A$2:$A$2000,$A32,台帳!$F$2:$F$2000,N$4)</f>
        <v>0</v>
      </c>
      <c r="O32" s="46">
        <f>SUMIFS(台帳!$I$2:$I$2000,台帳!$A$2:$A$2000,$A32,台帳!$F$2:$F$2000,O$4)</f>
        <v>0</v>
      </c>
      <c r="P32" s="46">
        <f>SUMIFS(台帳!$I$2:$I$2000,台帳!$A$2:$A$2000,$A32,台帳!$F$2:$F$2000,P$4)</f>
        <v>0</v>
      </c>
      <c r="Q32" s="46">
        <f>SUMIFS(台帳!$I$2:$I$2000,台帳!$A$2:$A$2000,$A32,台帳!$F$2:$F$2000,Q$4)</f>
        <v>0</v>
      </c>
      <c r="R32" s="46">
        <f>SUMIFS(台帳!$I$2:$I$2000,台帳!$A$2:$A$2000,$A32,台帳!$F$2:$F$2000,R$4)</f>
        <v>0</v>
      </c>
      <c r="S32" s="46">
        <f>SUMIFS(台帳!$I$2:$I$2000,台帳!$A$2:$A$2000,$A32,台帳!$F$2:$F$2000,S$4)</f>
        <v>0</v>
      </c>
      <c r="T32" s="46">
        <f>SUMIFS(台帳!$I$2:$I$2000,台帳!$A$2:$A$2000,$A32,台帳!$F$2:$F$2000,T$4)</f>
        <v>0</v>
      </c>
      <c r="U32" s="46">
        <f>SUMIFS(台帳!$I$2:$I$2000,台帳!$A$2:$A$2000,$A32,台帳!$F$2:$F$2000,U$4)</f>
        <v>0</v>
      </c>
      <c r="V32" s="46">
        <f>SUMIFS(台帳!$I$2:$I$2000,台帳!$A$2:$A$2000,$A32,台帳!$F$2:$F$2000,V$4)</f>
        <v>0</v>
      </c>
      <c r="W32" s="46">
        <f>SUMIFS(台帳!$I$2:$I$2000,台帳!$A$2:$A$2000,$A32,台帳!$F$2:$F$2000,W$4)</f>
        <v>0</v>
      </c>
      <c r="X32" s="46">
        <f>SUMIFS(台帳!$I$2:$I$2000,台帳!$A$2:$A$2000,$A32,台帳!$F$2:$F$2000,X$4)</f>
        <v>0</v>
      </c>
      <c r="Y32" s="46">
        <f>SUMIFS(台帳!$I$2:$I$2000,台帳!$A$2:$A$2000,$A32,台帳!$F$2:$F$2000,Y$4)</f>
        <v>0</v>
      </c>
      <c r="Z32" s="46">
        <f>SUMIFS(台帳!$I$2:$I$2000,台帳!$A$2:$A$2000,$A32,台帳!$F$2:$F$2000,Z$4)</f>
        <v>0</v>
      </c>
      <c r="AA32" s="46">
        <f>SUMIFS(台帳!$I$2:$I$2000,台帳!$A$2:$A$2000,$A32,台帳!$F$2:$F$2000,AA$4)</f>
        <v>0</v>
      </c>
      <c r="AB32" s="46">
        <f>SUMIFS(台帳!$I$2:$I$2000,台帳!$A$2:$A$2000,$A32,台帳!$F$2:$F$2000,AB$4)</f>
        <v>0</v>
      </c>
      <c r="AC32" s="46">
        <f>SUMIFS(台帳!$I$2:$I$2000,台帳!$A$2:$A$2000,$A32,台帳!$F$2:$F$2000,AC$4)</f>
        <v>0</v>
      </c>
      <c r="AD32" s="46">
        <f>SUMIFS(台帳!$I$2:$I$2000,台帳!$A$2:$A$2000,$A32,台帳!$F$2:$F$2000,AD$4)</f>
        <v>0</v>
      </c>
      <c r="AE32" s="46">
        <f>SUMIFS(台帳!$I$2:$I$2000,台帳!$A$2:$A$2000,$A32,台帳!$F$2:$F$2000,AE$4)</f>
        <v>0</v>
      </c>
      <c r="AF32" s="46">
        <f>SUMIFS(台帳!$I$2:$I$2000,台帳!$A$2:$A$2000,$A32,台帳!$F$2:$F$2000,AF$4)</f>
        <v>0</v>
      </c>
      <c r="AG32" s="46">
        <f>SUMIFS(台帳!$I$2:$I$2000,台帳!$A$2:$A$2000,$A32,台帳!$F$2:$F$2000,AG$4)</f>
        <v>0</v>
      </c>
      <c r="AH32" s="46">
        <f>SUMIFS(台帳!$I$2:$I$2000,台帳!$A$2:$A$2000,$A32,台帳!$F$2:$F$2000,AH$4)</f>
        <v>0</v>
      </c>
      <c r="AI32" s="46">
        <f>SUMIFS(台帳!$I$2:$I$2000,台帳!$A$2:$A$2000,$A32,台帳!$F$2:$F$2000,AI$4)</f>
        <v>0</v>
      </c>
      <c r="AJ32" s="46">
        <f>SUMIFS(台帳!$I$2:$I$2000,台帳!$A$2:$A$2000,$A32,台帳!$F$2:$F$2000,AJ$4)</f>
        <v>0</v>
      </c>
      <c r="AK32" s="46">
        <f>SUMIFS(台帳!$I$2:$I$2000,台帳!$A$2:$A$2000,$A32,台帳!$F$2:$F$2000,AK$4)</f>
        <v>0</v>
      </c>
      <c r="AL32" s="46">
        <f>SUMIFS(台帳!$I$2:$I$2000,台帳!$A$2:$A$2000,$A32,台帳!$F$2:$F$2000,AL$4)</f>
        <v>0</v>
      </c>
      <c r="AM32" s="46">
        <f>SUMIFS(台帳!$I$2:$I$2000,台帳!$A$2:$A$2000,$A32,台帳!$F$2:$F$2000,AM$4)</f>
        <v>0</v>
      </c>
      <c r="AN32" s="46">
        <f>SUMIFS(台帳!$I$2:$I$2000,台帳!$A$2:$A$2000,$A32,台帳!$F$2:$F$2000,AN$4)</f>
        <v>0</v>
      </c>
      <c r="AO32" s="46">
        <f>SUMIFS(台帳!$I$2:$I$2000,台帳!$A$2:$A$2000,$A32,台帳!$F$2:$F$2000,AO$4)</f>
        <v>0</v>
      </c>
      <c r="AP32" s="46">
        <f>SUMIFS(台帳!$I$2:$I$2000,台帳!$A$2:$A$2000,$A32,台帳!$F$2:$F$2000,AP$4)</f>
        <v>0</v>
      </c>
      <c r="AQ32" s="46">
        <f>SUMIFS(台帳!$I$2:$I$2000,台帳!$A$2:$A$2000,$A32,台帳!$F$2:$F$2000,AQ$4)</f>
        <v>0</v>
      </c>
      <c r="AR32" s="46">
        <f>SUM(C32:AQ32)</f>
        <v>0</v>
      </c>
    </row>
    <row r="33" spans="1:44" ht="17.25" x14ac:dyDescent="0.35">
      <c r="A33" s="44">
        <v>46160</v>
      </c>
      <c r="B33" s="45" t="str">
        <f>CHOOSE(WEEKDAY(A33),"日","月","火","水","木","金","土")</f>
        <v>月</v>
      </c>
      <c r="C33" s="46">
        <f>SUMIFS(台帳!$I$2:$I$2000,台帳!$A$2:$A$2000,$A33,台帳!$F$2:$F$2000,C$4)</f>
        <v>0</v>
      </c>
      <c r="D33" s="46">
        <f>SUMIFS(台帳!$I$2:$I$2000,台帳!$A$2:$A$2000,$A33,台帳!$F$2:$F$2000,D$4)</f>
        <v>0</v>
      </c>
      <c r="E33" s="46">
        <f>SUMIFS(台帳!$I$2:$I$2000,台帳!$A$2:$A$2000,$A33,台帳!$F$2:$F$2000,E$4)</f>
        <v>0</v>
      </c>
      <c r="F33" s="46">
        <f>SUMIFS(台帳!$I$2:$I$2000,台帳!$A$2:$A$2000,$A33,台帳!$F$2:$F$2000,F$4)</f>
        <v>0</v>
      </c>
      <c r="G33" s="46">
        <f>SUMIFS(台帳!$I$2:$I$2000,台帳!$A$2:$A$2000,$A33,台帳!$F$2:$F$2000,G$4)</f>
        <v>0</v>
      </c>
      <c r="H33" s="46">
        <f>SUMIFS(台帳!$I$2:$I$2000,台帳!$A$2:$A$2000,$A33,台帳!$F$2:$F$2000,H$4)</f>
        <v>0</v>
      </c>
      <c r="I33" s="46">
        <f>SUMIFS(台帳!$I$2:$I$2000,台帳!$A$2:$A$2000,$A33,台帳!$F$2:$F$2000,I$4)</f>
        <v>0</v>
      </c>
      <c r="J33" s="46">
        <f>SUMIFS(台帳!$I$2:$I$2000,台帳!$A$2:$A$2000,$A33,台帳!$F$2:$F$2000,J$4)</f>
        <v>0</v>
      </c>
      <c r="K33" s="46">
        <f>SUMIFS(台帳!$I$2:$I$2000,台帳!$A$2:$A$2000,$A33,台帳!$F$2:$F$2000,K$4)</f>
        <v>0</v>
      </c>
      <c r="L33" s="46">
        <f>SUMIFS(台帳!$I$2:$I$2000,台帳!$A$2:$A$2000,$A33,台帳!$F$2:$F$2000,L$4)</f>
        <v>0</v>
      </c>
      <c r="M33" s="46">
        <f>SUMIFS(台帳!$I$2:$I$2000,台帳!$A$2:$A$2000,$A33,台帳!$F$2:$F$2000,M$4)</f>
        <v>0</v>
      </c>
      <c r="N33" s="46">
        <f>SUMIFS(台帳!$I$2:$I$2000,台帳!$A$2:$A$2000,$A33,台帳!$F$2:$F$2000,N$4)</f>
        <v>0</v>
      </c>
      <c r="O33" s="46">
        <f>SUMIFS(台帳!$I$2:$I$2000,台帳!$A$2:$A$2000,$A33,台帳!$F$2:$F$2000,O$4)</f>
        <v>0</v>
      </c>
      <c r="P33" s="46">
        <f>SUMIFS(台帳!$I$2:$I$2000,台帳!$A$2:$A$2000,$A33,台帳!$F$2:$F$2000,P$4)</f>
        <v>0</v>
      </c>
      <c r="Q33" s="46">
        <f>SUMIFS(台帳!$I$2:$I$2000,台帳!$A$2:$A$2000,$A33,台帳!$F$2:$F$2000,Q$4)</f>
        <v>0</v>
      </c>
      <c r="R33" s="46">
        <f>SUMIFS(台帳!$I$2:$I$2000,台帳!$A$2:$A$2000,$A33,台帳!$F$2:$F$2000,R$4)</f>
        <v>0</v>
      </c>
      <c r="S33" s="46">
        <f>SUMIFS(台帳!$I$2:$I$2000,台帳!$A$2:$A$2000,$A33,台帳!$F$2:$F$2000,S$4)</f>
        <v>0</v>
      </c>
      <c r="T33" s="46">
        <f>SUMIFS(台帳!$I$2:$I$2000,台帳!$A$2:$A$2000,$A33,台帳!$F$2:$F$2000,T$4)</f>
        <v>0</v>
      </c>
      <c r="U33" s="46">
        <f>SUMIFS(台帳!$I$2:$I$2000,台帳!$A$2:$A$2000,$A33,台帳!$F$2:$F$2000,U$4)</f>
        <v>0</v>
      </c>
      <c r="V33" s="46">
        <f>SUMIFS(台帳!$I$2:$I$2000,台帳!$A$2:$A$2000,$A33,台帳!$F$2:$F$2000,V$4)</f>
        <v>0</v>
      </c>
      <c r="W33" s="46">
        <f>SUMIFS(台帳!$I$2:$I$2000,台帳!$A$2:$A$2000,$A33,台帳!$F$2:$F$2000,W$4)</f>
        <v>0</v>
      </c>
      <c r="X33" s="46">
        <f>SUMIFS(台帳!$I$2:$I$2000,台帳!$A$2:$A$2000,$A33,台帳!$F$2:$F$2000,X$4)</f>
        <v>0</v>
      </c>
      <c r="Y33" s="46">
        <f>SUMIFS(台帳!$I$2:$I$2000,台帳!$A$2:$A$2000,$A33,台帳!$F$2:$F$2000,Y$4)</f>
        <v>0</v>
      </c>
      <c r="Z33" s="46">
        <f>SUMIFS(台帳!$I$2:$I$2000,台帳!$A$2:$A$2000,$A33,台帳!$F$2:$F$2000,Z$4)</f>
        <v>0</v>
      </c>
      <c r="AA33" s="46">
        <f>SUMIFS(台帳!$I$2:$I$2000,台帳!$A$2:$A$2000,$A33,台帳!$F$2:$F$2000,AA$4)</f>
        <v>0</v>
      </c>
      <c r="AB33" s="46">
        <f>SUMIFS(台帳!$I$2:$I$2000,台帳!$A$2:$A$2000,$A33,台帳!$F$2:$F$2000,AB$4)</f>
        <v>0</v>
      </c>
      <c r="AC33" s="46">
        <f>SUMIFS(台帳!$I$2:$I$2000,台帳!$A$2:$A$2000,$A33,台帳!$F$2:$F$2000,AC$4)</f>
        <v>0</v>
      </c>
      <c r="AD33" s="46">
        <f>SUMIFS(台帳!$I$2:$I$2000,台帳!$A$2:$A$2000,$A33,台帳!$F$2:$F$2000,AD$4)</f>
        <v>0</v>
      </c>
      <c r="AE33" s="46">
        <f>SUMIFS(台帳!$I$2:$I$2000,台帳!$A$2:$A$2000,$A33,台帳!$F$2:$F$2000,AE$4)</f>
        <v>0</v>
      </c>
      <c r="AF33" s="46">
        <f>SUMIFS(台帳!$I$2:$I$2000,台帳!$A$2:$A$2000,$A33,台帳!$F$2:$F$2000,AF$4)</f>
        <v>0</v>
      </c>
      <c r="AG33" s="46">
        <f>SUMIFS(台帳!$I$2:$I$2000,台帳!$A$2:$A$2000,$A33,台帳!$F$2:$F$2000,AG$4)</f>
        <v>0</v>
      </c>
      <c r="AH33" s="46">
        <f>SUMIFS(台帳!$I$2:$I$2000,台帳!$A$2:$A$2000,$A33,台帳!$F$2:$F$2000,AH$4)</f>
        <v>0</v>
      </c>
      <c r="AI33" s="46">
        <f>SUMIFS(台帳!$I$2:$I$2000,台帳!$A$2:$A$2000,$A33,台帳!$F$2:$F$2000,AI$4)</f>
        <v>0</v>
      </c>
      <c r="AJ33" s="46">
        <f>SUMIFS(台帳!$I$2:$I$2000,台帳!$A$2:$A$2000,$A33,台帳!$F$2:$F$2000,AJ$4)</f>
        <v>0</v>
      </c>
      <c r="AK33" s="46">
        <f>SUMIFS(台帳!$I$2:$I$2000,台帳!$A$2:$A$2000,$A33,台帳!$F$2:$F$2000,AK$4)</f>
        <v>0</v>
      </c>
      <c r="AL33" s="46">
        <f>SUMIFS(台帳!$I$2:$I$2000,台帳!$A$2:$A$2000,$A33,台帳!$F$2:$F$2000,AL$4)</f>
        <v>0</v>
      </c>
      <c r="AM33" s="46">
        <f>SUMIFS(台帳!$I$2:$I$2000,台帳!$A$2:$A$2000,$A33,台帳!$F$2:$F$2000,AM$4)</f>
        <v>0</v>
      </c>
      <c r="AN33" s="46">
        <f>SUMIFS(台帳!$I$2:$I$2000,台帳!$A$2:$A$2000,$A33,台帳!$F$2:$F$2000,AN$4)</f>
        <v>0</v>
      </c>
      <c r="AO33" s="46">
        <f>SUMIFS(台帳!$I$2:$I$2000,台帳!$A$2:$A$2000,$A33,台帳!$F$2:$F$2000,AO$4)</f>
        <v>0</v>
      </c>
      <c r="AP33" s="46">
        <f>SUMIFS(台帳!$I$2:$I$2000,台帳!$A$2:$A$2000,$A33,台帳!$F$2:$F$2000,AP$4)</f>
        <v>0</v>
      </c>
      <c r="AQ33" s="46">
        <f>SUMIFS(台帳!$I$2:$I$2000,台帳!$A$2:$A$2000,$A33,台帳!$F$2:$F$2000,AQ$4)</f>
        <v>0</v>
      </c>
      <c r="AR33" s="46">
        <f>SUM(C33:AQ33)</f>
        <v>0</v>
      </c>
    </row>
    <row r="34" spans="1:44" ht="17.25" x14ac:dyDescent="0.35">
      <c r="A34" s="44">
        <v>46161</v>
      </c>
      <c r="B34" s="45" t="str">
        <f>CHOOSE(WEEKDAY(A34),"日","月","火","水","木","金","土")</f>
        <v>火</v>
      </c>
      <c r="C34" s="46">
        <f>SUMIFS(台帳!$I$2:$I$2000,台帳!$A$2:$A$2000,$A34,台帳!$F$2:$F$2000,C$4)</f>
        <v>0</v>
      </c>
      <c r="D34" s="46">
        <f>SUMIFS(台帳!$I$2:$I$2000,台帳!$A$2:$A$2000,$A34,台帳!$F$2:$F$2000,D$4)</f>
        <v>0</v>
      </c>
      <c r="E34" s="46">
        <f>SUMIFS(台帳!$I$2:$I$2000,台帳!$A$2:$A$2000,$A34,台帳!$F$2:$F$2000,E$4)</f>
        <v>0</v>
      </c>
      <c r="F34" s="46">
        <f>SUMIFS(台帳!$I$2:$I$2000,台帳!$A$2:$A$2000,$A34,台帳!$F$2:$F$2000,F$4)</f>
        <v>0</v>
      </c>
      <c r="G34" s="46">
        <f>SUMIFS(台帳!$I$2:$I$2000,台帳!$A$2:$A$2000,$A34,台帳!$F$2:$F$2000,G$4)</f>
        <v>2</v>
      </c>
      <c r="H34" s="46">
        <f>SUMIFS(台帳!$I$2:$I$2000,台帳!$A$2:$A$2000,$A34,台帳!$F$2:$F$2000,H$4)</f>
        <v>0</v>
      </c>
      <c r="I34" s="46">
        <f>SUMIFS(台帳!$I$2:$I$2000,台帳!$A$2:$A$2000,$A34,台帳!$F$2:$F$2000,I$4)</f>
        <v>0</v>
      </c>
      <c r="J34" s="46">
        <f>SUMIFS(台帳!$I$2:$I$2000,台帳!$A$2:$A$2000,$A34,台帳!$F$2:$F$2000,J$4)</f>
        <v>0</v>
      </c>
      <c r="K34" s="46">
        <f>SUMIFS(台帳!$I$2:$I$2000,台帳!$A$2:$A$2000,$A34,台帳!$F$2:$F$2000,K$4)</f>
        <v>0</v>
      </c>
      <c r="L34" s="46">
        <f>SUMIFS(台帳!$I$2:$I$2000,台帳!$A$2:$A$2000,$A34,台帳!$F$2:$F$2000,L$4)</f>
        <v>0</v>
      </c>
      <c r="M34" s="46">
        <f>SUMIFS(台帳!$I$2:$I$2000,台帳!$A$2:$A$2000,$A34,台帳!$F$2:$F$2000,M$4)</f>
        <v>0</v>
      </c>
      <c r="N34" s="46">
        <f>SUMIFS(台帳!$I$2:$I$2000,台帳!$A$2:$A$2000,$A34,台帳!$F$2:$F$2000,N$4)</f>
        <v>0</v>
      </c>
      <c r="O34" s="46">
        <f>SUMIFS(台帳!$I$2:$I$2000,台帳!$A$2:$A$2000,$A34,台帳!$F$2:$F$2000,O$4)</f>
        <v>0</v>
      </c>
      <c r="P34" s="46">
        <f>SUMIFS(台帳!$I$2:$I$2000,台帳!$A$2:$A$2000,$A34,台帳!$F$2:$F$2000,P$4)</f>
        <v>0</v>
      </c>
      <c r="Q34" s="46">
        <f>SUMIFS(台帳!$I$2:$I$2000,台帳!$A$2:$A$2000,$A34,台帳!$F$2:$F$2000,Q$4)</f>
        <v>0</v>
      </c>
      <c r="R34" s="46">
        <f>SUMIFS(台帳!$I$2:$I$2000,台帳!$A$2:$A$2000,$A34,台帳!$F$2:$F$2000,R$4)</f>
        <v>0</v>
      </c>
      <c r="S34" s="46">
        <f>SUMIFS(台帳!$I$2:$I$2000,台帳!$A$2:$A$2000,$A34,台帳!$F$2:$F$2000,S$4)</f>
        <v>0</v>
      </c>
      <c r="T34" s="46">
        <f>SUMIFS(台帳!$I$2:$I$2000,台帳!$A$2:$A$2000,$A34,台帳!$F$2:$F$2000,T$4)</f>
        <v>0</v>
      </c>
      <c r="U34" s="46">
        <f>SUMIFS(台帳!$I$2:$I$2000,台帳!$A$2:$A$2000,$A34,台帳!$F$2:$F$2000,U$4)</f>
        <v>0</v>
      </c>
      <c r="V34" s="46">
        <f>SUMIFS(台帳!$I$2:$I$2000,台帳!$A$2:$A$2000,$A34,台帳!$F$2:$F$2000,V$4)</f>
        <v>0</v>
      </c>
      <c r="W34" s="46">
        <f>SUMIFS(台帳!$I$2:$I$2000,台帳!$A$2:$A$2000,$A34,台帳!$F$2:$F$2000,W$4)</f>
        <v>0</v>
      </c>
      <c r="X34" s="46">
        <f>SUMIFS(台帳!$I$2:$I$2000,台帳!$A$2:$A$2000,$A34,台帳!$F$2:$F$2000,X$4)</f>
        <v>0</v>
      </c>
      <c r="Y34" s="46">
        <f>SUMIFS(台帳!$I$2:$I$2000,台帳!$A$2:$A$2000,$A34,台帳!$F$2:$F$2000,Y$4)</f>
        <v>0</v>
      </c>
      <c r="Z34" s="46">
        <f>SUMIFS(台帳!$I$2:$I$2000,台帳!$A$2:$A$2000,$A34,台帳!$F$2:$F$2000,Z$4)</f>
        <v>0</v>
      </c>
      <c r="AA34" s="46">
        <f>SUMIFS(台帳!$I$2:$I$2000,台帳!$A$2:$A$2000,$A34,台帳!$F$2:$F$2000,AA$4)</f>
        <v>0</v>
      </c>
      <c r="AB34" s="46">
        <f>SUMIFS(台帳!$I$2:$I$2000,台帳!$A$2:$A$2000,$A34,台帳!$F$2:$F$2000,AB$4)</f>
        <v>0</v>
      </c>
      <c r="AC34" s="46">
        <f>SUMIFS(台帳!$I$2:$I$2000,台帳!$A$2:$A$2000,$A34,台帳!$F$2:$F$2000,AC$4)</f>
        <v>0</v>
      </c>
      <c r="AD34" s="46">
        <f>SUMIFS(台帳!$I$2:$I$2000,台帳!$A$2:$A$2000,$A34,台帳!$F$2:$F$2000,AD$4)</f>
        <v>0</v>
      </c>
      <c r="AE34" s="46">
        <f>SUMIFS(台帳!$I$2:$I$2000,台帳!$A$2:$A$2000,$A34,台帳!$F$2:$F$2000,AE$4)</f>
        <v>0</v>
      </c>
      <c r="AF34" s="46">
        <f>SUMIFS(台帳!$I$2:$I$2000,台帳!$A$2:$A$2000,$A34,台帳!$F$2:$F$2000,AF$4)</f>
        <v>0</v>
      </c>
      <c r="AG34" s="46">
        <f>SUMIFS(台帳!$I$2:$I$2000,台帳!$A$2:$A$2000,$A34,台帳!$F$2:$F$2000,AG$4)</f>
        <v>0</v>
      </c>
      <c r="AH34" s="46">
        <f>SUMIFS(台帳!$I$2:$I$2000,台帳!$A$2:$A$2000,$A34,台帳!$F$2:$F$2000,AH$4)</f>
        <v>0</v>
      </c>
      <c r="AI34" s="46">
        <f>SUMIFS(台帳!$I$2:$I$2000,台帳!$A$2:$A$2000,$A34,台帳!$F$2:$F$2000,AI$4)</f>
        <v>0</v>
      </c>
      <c r="AJ34" s="46">
        <f>SUMIFS(台帳!$I$2:$I$2000,台帳!$A$2:$A$2000,$A34,台帳!$F$2:$F$2000,AJ$4)</f>
        <v>0</v>
      </c>
      <c r="AK34" s="46">
        <f>SUMIFS(台帳!$I$2:$I$2000,台帳!$A$2:$A$2000,$A34,台帳!$F$2:$F$2000,AK$4)</f>
        <v>0</v>
      </c>
      <c r="AL34" s="46">
        <f>SUMIFS(台帳!$I$2:$I$2000,台帳!$A$2:$A$2000,$A34,台帳!$F$2:$F$2000,AL$4)</f>
        <v>0</v>
      </c>
      <c r="AM34" s="46">
        <f>SUMIFS(台帳!$I$2:$I$2000,台帳!$A$2:$A$2000,$A34,台帳!$F$2:$F$2000,AM$4)</f>
        <v>0</v>
      </c>
      <c r="AN34" s="46">
        <f>SUMIFS(台帳!$I$2:$I$2000,台帳!$A$2:$A$2000,$A34,台帳!$F$2:$F$2000,AN$4)</f>
        <v>0</v>
      </c>
      <c r="AO34" s="46">
        <f>SUMIFS(台帳!$I$2:$I$2000,台帳!$A$2:$A$2000,$A34,台帳!$F$2:$F$2000,AO$4)</f>
        <v>0</v>
      </c>
      <c r="AP34" s="46">
        <f>SUMIFS(台帳!$I$2:$I$2000,台帳!$A$2:$A$2000,$A34,台帳!$F$2:$F$2000,AP$4)</f>
        <v>0</v>
      </c>
      <c r="AQ34" s="46">
        <f>SUMIFS(台帳!$I$2:$I$2000,台帳!$A$2:$A$2000,$A34,台帳!$F$2:$F$2000,AQ$4)</f>
        <v>0</v>
      </c>
      <c r="AR34" s="46">
        <f>SUM(C34:AQ34)</f>
        <v>2</v>
      </c>
    </row>
    <row r="35" spans="1:44" ht="17.25" x14ac:dyDescent="0.35">
      <c r="A35" s="44">
        <v>46162</v>
      </c>
      <c r="B35" s="45" t="str">
        <f>CHOOSE(WEEKDAY(A35),"日","月","火","水","木","金","土")</f>
        <v>水</v>
      </c>
      <c r="C35" s="46">
        <f>SUMIFS(台帳!$I$2:$I$2000,台帳!$A$2:$A$2000,$A35,台帳!$F$2:$F$2000,C$4)</f>
        <v>0</v>
      </c>
      <c r="D35" s="46">
        <f>SUMIFS(台帳!$I$2:$I$2000,台帳!$A$2:$A$2000,$A35,台帳!$F$2:$F$2000,D$4)</f>
        <v>0</v>
      </c>
      <c r="E35" s="46">
        <f>SUMIFS(台帳!$I$2:$I$2000,台帳!$A$2:$A$2000,$A35,台帳!$F$2:$F$2000,E$4)</f>
        <v>0</v>
      </c>
      <c r="F35" s="46">
        <f>SUMIFS(台帳!$I$2:$I$2000,台帳!$A$2:$A$2000,$A35,台帳!$F$2:$F$2000,F$4)</f>
        <v>0</v>
      </c>
      <c r="G35" s="46">
        <f>SUMIFS(台帳!$I$2:$I$2000,台帳!$A$2:$A$2000,$A35,台帳!$F$2:$F$2000,G$4)</f>
        <v>2</v>
      </c>
      <c r="H35" s="46">
        <f>SUMIFS(台帳!$I$2:$I$2000,台帳!$A$2:$A$2000,$A35,台帳!$F$2:$F$2000,H$4)</f>
        <v>0</v>
      </c>
      <c r="I35" s="46">
        <f>SUMIFS(台帳!$I$2:$I$2000,台帳!$A$2:$A$2000,$A35,台帳!$F$2:$F$2000,I$4)</f>
        <v>0</v>
      </c>
      <c r="J35" s="46">
        <f>SUMIFS(台帳!$I$2:$I$2000,台帳!$A$2:$A$2000,$A35,台帳!$F$2:$F$2000,J$4)</f>
        <v>0</v>
      </c>
      <c r="K35" s="46">
        <f>SUMIFS(台帳!$I$2:$I$2000,台帳!$A$2:$A$2000,$A35,台帳!$F$2:$F$2000,K$4)</f>
        <v>0</v>
      </c>
      <c r="L35" s="46">
        <f>SUMIFS(台帳!$I$2:$I$2000,台帳!$A$2:$A$2000,$A35,台帳!$F$2:$F$2000,L$4)</f>
        <v>0</v>
      </c>
      <c r="M35" s="46">
        <f>SUMIFS(台帳!$I$2:$I$2000,台帳!$A$2:$A$2000,$A35,台帳!$F$2:$F$2000,M$4)</f>
        <v>0</v>
      </c>
      <c r="N35" s="46">
        <f>SUMIFS(台帳!$I$2:$I$2000,台帳!$A$2:$A$2000,$A35,台帳!$F$2:$F$2000,N$4)</f>
        <v>0</v>
      </c>
      <c r="O35" s="46">
        <f>SUMIFS(台帳!$I$2:$I$2000,台帳!$A$2:$A$2000,$A35,台帳!$F$2:$F$2000,O$4)</f>
        <v>0</v>
      </c>
      <c r="P35" s="46">
        <f>SUMIFS(台帳!$I$2:$I$2000,台帳!$A$2:$A$2000,$A35,台帳!$F$2:$F$2000,P$4)</f>
        <v>0</v>
      </c>
      <c r="Q35" s="46">
        <f>SUMIFS(台帳!$I$2:$I$2000,台帳!$A$2:$A$2000,$A35,台帳!$F$2:$F$2000,Q$4)</f>
        <v>0</v>
      </c>
      <c r="R35" s="46">
        <f>SUMIFS(台帳!$I$2:$I$2000,台帳!$A$2:$A$2000,$A35,台帳!$F$2:$F$2000,R$4)</f>
        <v>0</v>
      </c>
      <c r="S35" s="46">
        <f>SUMIFS(台帳!$I$2:$I$2000,台帳!$A$2:$A$2000,$A35,台帳!$F$2:$F$2000,S$4)</f>
        <v>0</v>
      </c>
      <c r="T35" s="46">
        <f>SUMIFS(台帳!$I$2:$I$2000,台帳!$A$2:$A$2000,$A35,台帳!$F$2:$F$2000,T$4)</f>
        <v>0</v>
      </c>
      <c r="U35" s="46">
        <f>SUMIFS(台帳!$I$2:$I$2000,台帳!$A$2:$A$2000,$A35,台帳!$F$2:$F$2000,U$4)</f>
        <v>0</v>
      </c>
      <c r="V35" s="46">
        <f>SUMIFS(台帳!$I$2:$I$2000,台帳!$A$2:$A$2000,$A35,台帳!$F$2:$F$2000,V$4)</f>
        <v>0</v>
      </c>
      <c r="W35" s="46">
        <f>SUMIFS(台帳!$I$2:$I$2000,台帳!$A$2:$A$2000,$A35,台帳!$F$2:$F$2000,W$4)</f>
        <v>0</v>
      </c>
      <c r="X35" s="46">
        <f>SUMIFS(台帳!$I$2:$I$2000,台帳!$A$2:$A$2000,$A35,台帳!$F$2:$F$2000,X$4)</f>
        <v>0</v>
      </c>
      <c r="Y35" s="46">
        <f>SUMIFS(台帳!$I$2:$I$2000,台帳!$A$2:$A$2000,$A35,台帳!$F$2:$F$2000,Y$4)</f>
        <v>0</v>
      </c>
      <c r="Z35" s="46">
        <f>SUMIFS(台帳!$I$2:$I$2000,台帳!$A$2:$A$2000,$A35,台帳!$F$2:$F$2000,Z$4)</f>
        <v>0</v>
      </c>
      <c r="AA35" s="46">
        <f>SUMIFS(台帳!$I$2:$I$2000,台帳!$A$2:$A$2000,$A35,台帳!$F$2:$F$2000,AA$4)</f>
        <v>0</v>
      </c>
      <c r="AB35" s="46">
        <f>SUMIFS(台帳!$I$2:$I$2000,台帳!$A$2:$A$2000,$A35,台帳!$F$2:$F$2000,AB$4)</f>
        <v>0</v>
      </c>
      <c r="AC35" s="46">
        <f>SUMIFS(台帳!$I$2:$I$2000,台帳!$A$2:$A$2000,$A35,台帳!$F$2:$F$2000,AC$4)</f>
        <v>0</v>
      </c>
      <c r="AD35" s="46">
        <f>SUMIFS(台帳!$I$2:$I$2000,台帳!$A$2:$A$2000,$A35,台帳!$F$2:$F$2000,AD$4)</f>
        <v>0</v>
      </c>
      <c r="AE35" s="46">
        <f>SUMIFS(台帳!$I$2:$I$2000,台帳!$A$2:$A$2000,$A35,台帳!$F$2:$F$2000,AE$4)</f>
        <v>0</v>
      </c>
      <c r="AF35" s="46">
        <f>SUMIFS(台帳!$I$2:$I$2000,台帳!$A$2:$A$2000,$A35,台帳!$F$2:$F$2000,AF$4)</f>
        <v>0</v>
      </c>
      <c r="AG35" s="46">
        <f>SUMIFS(台帳!$I$2:$I$2000,台帳!$A$2:$A$2000,$A35,台帳!$F$2:$F$2000,AG$4)</f>
        <v>0</v>
      </c>
      <c r="AH35" s="46">
        <f>SUMIFS(台帳!$I$2:$I$2000,台帳!$A$2:$A$2000,$A35,台帳!$F$2:$F$2000,AH$4)</f>
        <v>0</v>
      </c>
      <c r="AI35" s="46">
        <f>SUMIFS(台帳!$I$2:$I$2000,台帳!$A$2:$A$2000,$A35,台帳!$F$2:$F$2000,AI$4)</f>
        <v>0</v>
      </c>
      <c r="AJ35" s="46">
        <f>SUMIFS(台帳!$I$2:$I$2000,台帳!$A$2:$A$2000,$A35,台帳!$F$2:$F$2000,AJ$4)</f>
        <v>0</v>
      </c>
      <c r="AK35" s="46">
        <f>SUMIFS(台帳!$I$2:$I$2000,台帳!$A$2:$A$2000,$A35,台帳!$F$2:$F$2000,AK$4)</f>
        <v>0</v>
      </c>
      <c r="AL35" s="46">
        <f>SUMIFS(台帳!$I$2:$I$2000,台帳!$A$2:$A$2000,$A35,台帳!$F$2:$F$2000,AL$4)</f>
        <v>0</v>
      </c>
      <c r="AM35" s="46">
        <f>SUMIFS(台帳!$I$2:$I$2000,台帳!$A$2:$A$2000,$A35,台帳!$F$2:$F$2000,AM$4)</f>
        <v>0</v>
      </c>
      <c r="AN35" s="46">
        <f>SUMIFS(台帳!$I$2:$I$2000,台帳!$A$2:$A$2000,$A35,台帳!$F$2:$F$2000,AN$4)</f>
        <v>0</v>
      </c>
      <c r="AO35" s="46">
        <f>SUMIFS(台帳!$I$2:$I$2000,台帳!$A$2:$A$2000,$A35,台帳!$F$2:$F$2000,AO$4)</f>
        <v>0</v>
      </c>
      <c r="AP35" s="46">
        <f>SUMIFS(台帳!$I$2:$I$2000,台帳!$A$2:$A$2000,$A35,台帳!$F$2:$F$2000,AP$4)</f>
        <v>0</v>
      </c>
      <c r="AQ35" s="46">
        <f>SUMIFS(台帳!$I$2:$I$2000,台帳!$A$2:$A$2000,$A35,台帳!$F$2:$F$2000,AQ$4)</f>
        <v>0</v>
      </c>
      <c r="AR35" s="46">
        <f>SUM(C35:AQ35)</f>
        <v>2</v>
      </c>
    </row>
    <row r="36" spans="1:44" ht="17.25" x14ac:dyDescent="0.35">
      <c r="A36" s="44">
        <v>46163</v>
      </c>
      <c r="B36" s="45" t="str">
        <f>CHOOSE(WEEKDAY(A36),"日","月","火","水","木","金","土")</f>
        <v>木</v>
      </c>
      <c r="C36" s="46">
        <f>SUMIFS(台帳!$I$2:$I$2000,台帳!$A$2:$A$2000,$A36,台帳!$F$2:$F$2000,C$4)</f>
        <v>0</v>
      </c>
      <c r="D36" s="46">
        <f>SUMIFS(台帳!$I$2:$I$2000,台帳!$A$2:$A$2000,$A36,台帳!$F$2:$F$2000,D$4)</f>
        <v>0</v>
      </c>
      <c r="E36" s="46">
        <f>SUMIFS(台帳!$I$2:$I$2000,台帳!$A$2:$A$2000,$A36,台帳!$F$2:$F$2000,E$4)</f>
        <v>0</v>
      </c>
      <c r="F36" s="46">
        <f>SUMIFS(台帳!$I$2:$I$2000,台帳!$A$2:$A$2000,$A36,台帳!$F$2:$F$2000,F$4)</f>
        <v>0</v>
      </c>
      <c r="G36" s="46">
        <f>SUMIFS(台帳!$I$2:$I$2000,台帳!$A$2:$A$2000,$A36,台帳!$F$2:$F$2000,G$4)</f>
        <v>2</v>
      </c>
      <c r="H36" s="46">
        <f>SUMIFS(台帳!$I$2:$I$2000,台帳!$A$2:$A$2000,$A36,台帳!$F$2:$F$2000,H$4)</f>
        <v>0</v>
      </c>
      <c r="I36" s="46">
        <f>SUMIFS(台帳!$I$2:$I$2000,台帳!$A$2:$A$2000,$A36,台帳!$F$2:$F$2000,I$4)</f>
        <v>0</v>
      </c>
      <c r="J36" s="46">
        <f>SUMIFS(台帳!$I$2:$I$2000,台帳!$A$2:$A$2000,$A36,台帳!$F$2:$F$2000,J$4)</f>
        <v>0</v>
      </c>
      <c r="K36" s="46">
        <f>SUMIFS(台帳!$I$2:$I$2000,台帳!$A$2:$A$2000,$A36,台帳!$F$2:$F$2000,K$4)</f>
        <v>0</v>
      </c>
      <c r="L36" s="46">
        <f>SUMIFS(台帳!$I$2:$I$2000,台帳!$A$2:$A$2000,$A36,台帳!$F$2:$F$2000,L$4)</f>
        <v>0</v>
      </c>
      <c r="M36" s="46">
        <f>SUMIFS(台帳!$I$2:$I$2000,台帳!$A$2:$A$2000,$A36,台帳!$F$2:$F$2000,M$4)</f>
        <v>0</v>
      </c>
      <c r="N36" s="46">
        <f>SUMIFS(台帳!$I$2:$I$2000,台帳!$A$2:$A$2000,$A36,台帳!$F$2:$F$2000,N$4)</f>
        <v>0</v>
      </c>
      <c r="O36" s="46">
        <f>SUMIFS(台帳!$I$2:$I$2000,台帳!$A$2:$A$2000,$A36,台帳!$F$2:$F$2000,O$4)</f>
        <v>0</v>
      </c>
      <c r="P36" s="46">
        <f>SUMIFS(台帳!$I$2:$I$2000,台帳!$A$2:$A$2000,$A36,台帳!$F$2:$F$2000,P$4)</f>
        <v>0</v>
      </c>
      <c r="Q36" s="46">
        <f>SUMIFS(台帳!$I$2:$I$2000,台帳!$A$2:$A$2000,$A36,台帳!$F$2:$F$2000,Q$4)</f>
        <v>0</v>
      </c>
      <c r="R36" s="46">
        <f>SUMIFS(台帳!$I$2:$I$2000,台帳!$A$2:$A$2000,$A36,台帳!$F$2:$F$2000,R$4)</f>
        <v>0</v>
      </c>
      <c r="S36" s="46">
        <f>SUMIFS(台帳!$I$2:$I$2000,台帳!$A$2:$A$2000,$A36,台帳!$F$2:$F$2000,S$4)</f>
        <v>0</v>
      </c>
      <c r="T36" s="46">
        <f>SUMIFS(台帳!$I$2:$I$2000,台帳!$A$2:$A$2000,$A36,台帳!$F$2:$F$2000,T$4)</f>
        <v>0</v>
      </c>
      <c r="U36" s="46">
        <f>SUMIFS(台帳!$I$2:$I$2000,台帳!$A$2:$A$2000,$A36,台帳!$F$2:$F$2000,U$4)</f>
        <v>0</v>
      </c>
      <c r="V36" s="46">
        <f>SUMIFS(台帳!$I$2:$I$2000,台帳!$A$2:$A$2000,$A36,台帳!$F$2:$F$2000,V$4)</f>
        <v>0</v>
      </c>
      <c r="W36" s="46">
        <f>SUMIFS(台帳!$I$2:$I$2000,台帳!$A$2:$A$2000,$A36,台帳!$F$2:$F$2000,W$4)</f>
        <v>0</v>
      </c>
      <c r="X36" s="46">
        <f>SUMIFS(台帳!$I$2:$I$2000,台帳!$A$2:$A$2000,$A36,台帳!$F$2:$F$2000,X$4)</f>
        <v>0</v>
      </c>
      <c r="Y36" s="46">
        <f>SUMIFS(台帳!$I$2:$I$2000,台帳!$A$2:$A$2000,$A36,台帳!$F$2:$F$2000,Y$4)</f>
        <v>0</v>
      </c>
      <c r="Z36" s="46">
        <f>SUMIFS(台帳!$I$2:$I$2000,台帳!$A$2:$A$2000,$A36,台帳!$F$2:$F$2000,Z$4)</f>
        <v>0</v>
      </c>
      <c r="AA36" s="46">
        <f>SUMIFS(台帳!$I$2:$I$2000,台帳!$A$2:$A$2000,$A36,台帳!$F$2:$F$2000,AA$4)</f>
        <v>0</v>
      </c>
      <c r="AB36" s="46">
        <f>SUMIFS(台帳!$I$2:$I$2000,台帳!$A$2:$A$2000,$A36,台帳!$F$2:$F$2000,AB$4)</f>
        <v>0</v>
      </c>
      <c r="AC36" s="46">
        <f>SUMIFS(台帳!$I$2:$I$2000,台帳!$A$2:$A$2000,$A36,台帳!$F$2:$F$2000,AC$4)</f>
        <v>0</v>
      </c>
      <c r="AD36" s="46">
        <f>SUMIFS(台帳!$I$2:$I$2000,台帳!$A$2:$A$2000,$A36,台帳!$F$2:$F$2000,AD$4)</f>
        <v>0</v>
      </c>
      <c r="AE36" s="46">
        <f>SUMIFS(台帳!$I$2:$I$2000,台帳!$A$2:$A$2000,$A36,台帳!$F$2:$F$2000,AE$4)</f>
        <v>0</v>
      </c>
      <c r="AF36" s="46">
        <f>SUMIFS(台帳!$I$2:$I$2000,台帳!$A$2:$A$2000,$A36,台帳!$F$2:$F$2000,AF$4)</f>
        <v>0</v>
      </c>
      <c r="AG36" s="46">
        <f>SUMIFS(台帳!$I$2:$I$2000,台帳!$A$2:$A$2000,$A36,台帳!$F$2:$F$2000,AG$4)</f>
        <v>0</v>
      </c>
      <c r="AH36" s="46">
        <f>SUMIFS(台帳!$I$2:$I$2000,台帳!$A$2:$A$2000,$A36,台帳!$F$2:$F$2000,AH$4)</f>
        <v>0</v>
      </c>
      <c r="AI36" s="46">
        <f>SUMIFS(台帳!$I$2:$I$2000,台帳!$A$2:$A$2000,$A36,台帳!$F$2:$F$2000,AI$4)</f>
        <v>0</v>
      </c>
      <c r="AJ36" s="46">
        <f>SUMIFS(台帳!$I$2:$I$2000,台帳!$A$2:$A$2000,$A36,台帳!$F$2:$F$2000,AJ$4)</f>
        <v>0</v>
      </c>
      <c r="AK36" s="46">
        <f>SUMIFS(台帳!$I$2:$I$2000,台帳!$A$2:$A$2000,$A36,台帳!$F$2:$F$2000,AK$4)</f>
        <v>0</v>
      </c>
      <c r="AL36" s="46">
        <f>SUMIFS(台帳!$I$2:$I$2000,台帳!$A$2:$A$2000,$A36,台帳!$F$2:$F$2000,AL$4)</f>
        <v>0</v>
      </c>
      <c r="AM36" s="46">
        <f>SUMIFS(台帳!$I$2:$I$2000,台帳!$A$2:$A$2000,$A36,台帳!$F$2:$F$2000,AM$4)</f>
        <v>0</v>
      </c>
      <c r="AN36" s="46">
        <f>SUMIFS(台帳!$I$2:$I$2000,台帳!$A$2:$A$2000,$A36,台帳!$F$2:$F$2000,AN$4)</f>
        <v>0</v>
      </c>
      <c r="AO36" s="46">
        <f>SUMIFS(台帳!$I$2:$I$2000,台帳!$A$2:$A$2000,$A36,台帳!$F$2:$F$2000,AO$4)</f>
        <v>0</v>
      </c>
      <c r="AP36" s="46">
        <f>SUMIFS(台帳!$I$2:$I$2000,台帳!$A$2:$A$2000,$A36,台帳!$F$2:$F$2000,AP$4)</f>
        <v>0</v>
      </c>
      <c r="AQ36" s="46">
        <f>SUMIFS(台帳!$I$2:$I$2000,台帳!$A$2:$A$2000,$A36,台帳!$F$2:$F$2000,AQ$4)</f>
        <v>0</v>
      </c>
      <c r="AR36" s="46">
        <f>SUM(C36:AQ36)</f>
        <v>2</v>
      </c>
    </row>
    <row r="37" spans="1:44" ht="17.25" x14ac:dyDescent="0.35">
      <c r="A37" s="44">
        <v>46164</v>
      </c>
      <c r="B37" s="45" t="str">
        <f>CHOOSE(WEEKDAY(A37),"日","月","火","水","木","金","土")</f>
        <v>金</v>
      </c>
      <c r="C37" s="46">
        <f>SUMIFS(台帳!$I$2:$I$2000,台帳!$A$2:$A$2000,$A37,台帳!$F$2:$F$2000,C$4)</f>
        <v>0</v>
      </c>
      <c r="D37" s="46">
        <f>SUMIFS(台帳!$I$2:$I$2000,台帳!$A$2:$A$2000,$A37,台帳!$F$2:$F$2000,D$4)</f>
        <v>0</v>
      </c>
      <c r="E37" s="46">
        <f>SUMIFS(台帳!$I$2:$I$2000,台帳!$A$2:$A$2000,$A37,台帳!$F$2:$F$2000,E$4)</f>
        <v>0</v>
      </c>
      <c r="F37" s="46">
        <f>SUMIFS(台帳!$I$2:$I$2000,台帳!$A$2:$A$2000,$A37,台帳!$F$2:$F$2000,F$4)</f>
        <v>0</v>
      </c>
      <c r="G37" s="46">
        <f>SUMIFS(台帳!$I$2:$I$2000,台帳!$A$2:$A$2000,$A37,台帳!$F$2:$F$2000,G$4)</f>
        <v>0</v>
      </c>
      <c r="H37" s="46">
        <f>SUMIFS(台帳!$I$2:$I$2000,台帳!$A$2:$A$2000,$A37,台帳!$F$2:$F$2000,H$4)</f>
        <v>0</v>
      </c>
      <c r="I37" s="46">
        <f>SUMIFS(台帳!$I$2:$I$2000,台帳!$A$2:$A$2000,$A37,台帳!$F$2:$F$2000,I$4)</f>
        <v>0</v>
      </c>
      <c r="J37" s="46">
        <f>SUMIFS(台帳!$I$2:$I$2000,台帳!$A$2:$A$2000,$A37,台帳!$F$2:$F$2000,J$4)</f>
        <v>0</v>
      </c>
      <c r="K37" s="46">
        <f>SUMIFS(台帳!$I$2:$I$2000,台帳!$A$2:$A$2000,$A37,台帳!$F$2:$F$2000,K$4)</f>
        <v>0</v>
      </c>
      <c r="L37" s="46">
        <f>SUMIFS(台帳!$I$2:$I$2000,台帳!$A$2:$A$2000,$A37,台帳!$F$2:$F$2000,L$4)</f>
        <v>0</v>
      </c>
      <c r="M37" s="46">
        <f>SUMIFS(台帳!$I$2:$I$2000,台帳!$A$2:$A$2000,$A37,台帳!$F$2:$F$2000,M$4)</f>
        <v>0</v>
      </c>
      <c r="N37" s="46">
        <f>SUMIFS(台帳!$I$2:$I$2000,台帳!$A$2:$A$2000,$A37,台帳!$F$2:$F$2000,N$4)</f>
        <v>0</v>
      </c>
      <c r="O37" s="46">
        <f>SUMIFS(台帳!$I$2:$I$2000,台帳!$A$2:$A$2000,$A37,台帳!$F$2:$F$2000,O$4)</f>
        <v>0</v>
      </c>
      <c r="P37" s="46">
        <f>SUMIFS(台帳!$I$2:$I$2000,台帳!$A$2:$A$2000,$A37,台帳!$F$2:$F$2000,P$4)</f>
        <v>0</v>
      </c>
      <c r="Q37" s="46">
        <f>SUMIFS(台帳!$I$2:$I$2000,台帳!$A$2:$A$2000,$A37,台帳!$F$2:$F$2000,Q$4)</f>
        <v>0</v>
      </c>
      <c r="R37" s="46">
        <f>SUMIFS(台帳!$I$2:$I$2000,台帳!$A$2:$A$2000,$A37,台帳!$F$2:$F$2000,R$4)</f>
        <v>0</v>
      </c>
      <c r="S37" s="46">
        <f>SUMIFS(台帳!$I$2:$I$2000,台帳!$A$2:$A$2000,$A37,台帳!$F$2:$F$2000,S$4)</f>
        <v>0</v>
      </c>
      <c r="T37" s="46">
        <f>SUMIFS(台帳!$I$2:$I$2000,台帳!$A$2:$A$2000,$A37,台帳!$F$2:$F$2000,T$4)</f>
        <v>0</v>
      </c>
      <c r="U37" s="46">
        <f>SUMIFS(台帳!$I$2:$I$2000,台帳!$A$2:$A$2000,$A37,台帳!$F$2:$F$2000,U$4)</f>
        <v>0</v>
      </c>
      <c r="V37" s="46">
        <f>SUMIFS(台帳!$I$2:$I$2000,台帳!$A$2:$A$2000,$A37,台帳!$F$2:$F$2000,V$4)</f>
        <v>0</v>
      </c>
      <c r="W37" s="46">
        <f>SUMIFS(台帳!$I$2:$I$2000,台帳!$A$2:$A$2000,$A37,台帳!$F$2:$F$2000,W$4)</f>
        <v>0</v>
      </c>
      <c r="X37" s="46">
        <f>SUMIFS(台帳!$I$2:$I$2000,台帳!$A$2:$A$2000,$A37,台帳!$F$2:$F$2000,X$4)</f>
        <v>0</v>
      </c>
      <c r="Y37" s="46">
        <f>SUMIFS(台帳!$I$2:$I$2000,台帳!$A$2:$A$2000,$A37,台帳!$F$2:$F$2000,Y$4)</f>
        <v>0</v>
      </c>
      <c r="Z37" s="46">
        <f>SUMIFS(台帳!$I$2:$I$2000,台帳!$A$2:$A$2000,$A37,台帳!$F$2:$F$2000,Z$4)</f>
        <v>0</v>
      </c>
      <c r="AA37" s="46">
        <f>SUMIFS(台帳!$I$2:$I$2000,台帳!$A$2:$A$2000,$A37,台帳!$F$2:$F$2000,AA$4)</f>
        <v>0</v>
      </c>
      <c r="AB37" s="46">
        <f>SUMIFS(台帳!$I$2:$I$2000,台帳!$A$2:$A$2000,$A37,台帳!$F$2:$F$2000,AB$4)</f>
        <v>0</v>
      </c>
      <c r="AC37" s="46">
        <f>SUMIFS(台帳!$I$2:$I$2000,台帳!$A$2:$A$2000,$A37,台帳!$F$2:$F$2000,AC$4)</f>
        <v>0</v>
      </c>
      <c r="AD37" s="46">
        <f>SUMIFS(台帳!$I$2:$I$2000,台帳!$A$2:$A$2000,$A37,台帳!$F$2:$F$2000,AD$4)</f>
        <v>0</v>
      </c>
      <c r="AE37" s="46">
        <f>SUMIFS(台帳!$I$2:$I$2000,台帳!$A$2:$A$2000,$A37,台帳!$F$2:$F$2000,AE$4)</f>
        <v>0</v>
      </c>
      <c r="AF37" s="46">
        <f>SUMIFS(台帳!$I$2:$I$2000,台帳!$A$2:$A$2000,$A37,台帳!$F$2:$F$2000,AF$4)</f>
        <v>0</v>
      </c>
      <c r="AG37" s="46">
        <f>SUMIFS(台帳!$I$2:$I$2000,台帳!$A$2:$A$2000,$A37,台帳!$F$2:$F$2000,AG$4)</f>
        <v>0</v>
      </c>
      <c r="AH37" s="46">
        <f>SUMIFS(台帳!$I$2:$I$2000,台帳!$A$2:$A$2000,$A37,台帳!$F$2:$F$2000,AH$4)</f>
        <v>0</v>
      </c>
      <c r="AI37" s="46">
        <f>SUMIFS(台帳!$I$2:$I$2000,台帳!$A$2:$A$2000,$A37,台帳!$F$2:$F$2000,AI$4)</f>
        <v>0</v>
      </c>
      <c r="AJ37" s="46">
        <f>SUMIFS(台帳!$I$2:$I$2000,台帳!$A$2:$A$2000,$A37,台帳!$F$2:$F$2000,AJ$4)</f>
        <v>0</v>
      </c>
      <c r="AK37" s="46">
        <f>SUMIFS(台帳!$I$2:$I$2000,台帳!$A$2:$A$2000,$A37,台帳!$F$2:$F$2000,AK$4)</f>
        <v>0</v>
      </c>
      <c r="AL37" s="46">
        <f>SUMIFS(台帳!$I$2:$I$2000,台帳!$A$2:$A$2000,$A37,台帳!$F$2:$F$2000,AL$4)</f>
        <v>0</v>
      </c>
      <c r="AM37" s="46">
        <f>SUMIFS(台帳!$I$2:$I$2000,台帳!$A$2:$A$2000,$A37,台帳!$F$2:$F$2000,AM$4)</f>
        <v>0</v>
      </c>
      <c r="AN37" s="46">
        <f>SUMIFS(台帳!$I$2:$I$2000,台帳!$A$2:$A$2000,$A37,台帳!$F$2:$F$2000,AN$4)</f>
        <v>0</v>
      </c>
      <c r="AO37" s="46">
        <f>SUMIFS(台帳!$I$2:$I$2000,台帳!$A$2:$A$2000,$A37,台帳!$F$2:$F$2000,AO$4)</f>
        <v>0</v>
      </c>
      <c r="AP37" s="46">
        <f>SUMIFS(台帳!$I$2:$I$2000,台帳!$A$2:$A$2000,$A37,台帳!$F$2:$F$2000,AP$4)</f>
        <v>0</v>
      </c>
      <c r="AQ37" s="46">
        <f>SUMIFS(台帳!$I$2:$I$2000,台帳!$A$2:$A$2000,$A37,台帳!$F$2:$F$2000,AQ$4)</f>
        <v>0</v>
      </c>
      <c r="AR37" s="46">
        <f>SUM(C37:AQ37)</f>
        <v>0</v>
      </c>
    </row>
    <row r="38" spans="1:44" ht="17.25" x14ac:dyDescent="0.35">
      <c r="A38" s="44">
        <v>46165</v>
      </c>
      <c r="B38" s="45" t="str">
        <f>CHOOSE(WEEKDAY(A38),"日","月","火","水","木","金","土")</f>
        <v>土</v>
      </c>
      <c r="C38" s="46">
        <f>SUMIFS(台帳!$I$2:$I$2000,台帳!$A$2:$A$2000,$A38,台帳!$F$2:$F$2000,C$4)</f>
        <v>0</v>
      </c>
      <c r="D38" s="46">
        <f>SUMIFS(台帳!$I$2:$I$2000,台帳!$A$2:$A$2000,$A38,台帳!$F$2:$F$2000,D$4)</f>
        <v>0</v>
      </c>
      <c r="E38" s="46">
        <f>SUMIFS(台帳!$I$2:$I$2000,台帳!$A$2:$A$2000,$A38,台帳!$F$2:$F$2000,E$4)</f>
        <v>0</v>
      </c>
      <c r="F38" s="46">
        <f>SUMIFS(台帳!$I$2:$I$2000,台帳!$A$2:$A$2000,$A38,台帳!$F$2:$F$2000,F$4)</f>
        <v>0</v>
      </c>
      <c r="G38" s="46">
        <f>SUMIFS(台帳!$I$2:$I$2000,台帳!$A$2:$A$2000,$A38,台帳!$F$2:$F$2000,G$4)</f>
        <v>0</v>
      </c>
      <c r="H38" s="46">
        <f>SUMIFS(台帳!$I$2:$I$2000,台帳!$A$2:$A$2000,$A38,台帳!$F$2:$F$2000,H$4)</f>
        <v>0</v>
      </c>
      <c r="I38" s="46">
        <f>SUMIFS(台帳!$I$2:$I$2000,台帳!$A$2:$A$2000,$A38,台帳!$F$2:$F$2000,I$4)</f>
        <v>0</v>
      </c>
      <c r="J38" s="46">
        <f>SUMIFS(台帳!$I$2:$I$2000,台帳!$A$2:$A$2000,$A38,台帳!$F$2:$F$2000,J$4)</f>
        <v>0</v>
      </c>
      <c r="K38" s="46">
        <f>SUMIFS(台帳!$I$2:$I$2000,台帳!$A$2:$A$2000,$A38,台帳!$F$2:$F$2000,K$4)</f>
        <v>0</v>
      </c>
      <c r="L38" s="46">
        <f>SUMIFS(台帳!$I$2:$I$2000,台帳!$A$2:$A$2000,$A38,台帳!$F$2:$F$2000,L$4)</f>
        <v>0</v>
      </c>
      <c r="M38" s="46">
        <f>SUMIFS(台帳!$I$2:$I$2000,台帳!$A$2:$A$2000,$A38,台帳!$F$2:$F$2000,M$4)</f>
        <v>0</v>
      </c>
      <c r="N38" s="46">
        <f>SUMIFS(台帳!$I$2:$I$2000,台帳!$A$2:$A$2000,$A38,台帳!$F$2:$F$2000,N$4)</f>
        <v>0</v>
      </c>
      <c r="O38" s="46">
        <f>SUMIFS(台帳!$I$2:$I$2000,台帳!$A$2:$A$2000,$A38,台帳!$F$2:$F$2000,O$4)</f>
        <v>0</v>
      </c>
      <c r="P38" s="46">
        <f>SUMIFS(台帳!$I$2:$I$2000,台帳!$A$2:$A$2000,$A38,台帳!$F$2:$F$2000,P$4)</f>
        <v>0</v>
      </c>
      <c r="Q38" s="46">
        <f>SUMIFS(台帳!$I$2:$I$2000,台帳!$A$2:$A$2000,$A38,台帳!$F$2:$F$2000,Q$4)</f>
        <v>0</v>
      </c>
      <c r="R38" s="46">
        <f>SUMIFS(台帳!$I$2:$I$2000,台帳!$A$2:$A$2000,$A38,台帳!$F$2:$F$2000,R$4)</f>
        <v>0</v>
      </c>
      <c r="S38" s="46">
        <f>SUMIFS(台帳!$I$2:$I$2000,台帳!$A$2:$A$2000,$A38,台帳!$F$2:$F$2000,S$4)</f>
        <v>0</v>
      </c>
      <c r="T38" s="46">
        <f>SUMIFS(台帳!$I$2:$I$2000,台帳!$A$2:$A$2000,$A38,台帳!$F$2:$F$2000,T$4)</f>
        <v>0</v>
      </c>
      <c r="U38" s="46">
        <f>SUMIFS(台帳!$I$2:$I$2000,台帳!$A$2:$A$2000,$A38,台帳!$F$2:$F$2000,U$4)</f>
        <v>0</v>
      </c>
      <c r="V38" s="46">
        <f>SUMIFS(台帳!$I$2:$I$2000,台帳!$A$2:$A$2000,$A38,台帳!$F$2:$F$2000,V$4)</f>
        <v>0</v>
      </c>
      <c r="W38" s="46">
        <f>SUMIFS(台帳!$I$2:$I$2000,台帳!$A$2:$A$2000,$A38,台帳!$F$2:$F$2000,W$4)</f>
        <v>0</v>
      </c>
      <c r="X38" s="46">
        <f>SUMIFS(台帳!$I$2:$I$2000,台帳!$A$2:$A$2000,$A38,台帳!$F$2:$F$2000,X$4)</f>
        <v>0</v>
      </c>
      <c r="Y38" s="46">
        <f>SUMIFS(台帳!$I$2:$I$2000,台帳!$A$2:$A$2000,$A38,台帳!$F$2:$F$2000,Y$4)</f>
        <v>0</v>
      </c>
      <c r="Z38" s="46">
        <f>SUMIFS(台帳!$I$2:$I$2000,台帳!$A$2:$A$2000,$A38,台帳!$F$2:$F$2000,Z$4)</f>
        <v>0</v>
      </c>
      <c r="AA38" s="46">
        <f>SUMIFS(台帳!$I$2:$I$2000,台帳!$A$2:$A$2000,$A38,台帳!$F$2:$F$2000,AA$4)</f>
        <v>0</v>
      </c>
      <c r="AB38" s="46">
        <f>SUMIFS(台帳!$I$2:$I$2000,台帳!$A$2:$A$2000,$A38,台帳!$F$2:$F$2000,AB$4)</f>
        <v>0</v>
      </c>
      <c r="AC38" s="46">
        <f>SUMIFS(台帳!$I$2:$I$2000,台帳!$A$2:$A$2000,$A38,台帳!$F$2:$F$2000,AC$4)</f>
        <v>0</v>
      </c>
      <c r="AD38" s="46">
        <f>SUMIFS(台帳!$I$2:$I$2000,台帳!$A$2:$A$2000,$A38,台帳!$F$2:$F$2000,AD$4)</f>
        <v>0</v>
      </c>
      <c r="AE38" s="46">
        <f>SUMIFS(台帳!$I$2:$I$2000,台帳!$A$2:$A$2000,$A38,台帳!$F$2:$F$2000,AE$4)</f>
        <v>0</v>
      </c>
      <c r="AF38" s="46">
        <f>SUMIFS(台帳!$I$2:$I$2000,台帳!$A$2:$A$2000,$A38,台帳!$F$2:$F$2000,AF$4)</f>
        <v>0</v>
      </c>
      <c r="AG38" s="46">
        <f>SUMIFS(台帳!$I$2:$I$2000,台帳!$A$2:$A$2000,$A38,台帳!$F$2:$F$2000,AG$4)</f>
        <v>0</v>
      </c>
      <c r="AH38" s="46">
        <f>SUMIFS(台帳!$I$2:$I$2000,台帳!$A$2:$A$2000,$A38,台帳!$F$2:$F$2000,AH$4)</f>
        <v>0</v>
      </c>
      <c r="AI38" s="46">
        <f>SUMIFS(台帳!$I$2:$I$2000,台帳!$A$2:$A$2000,$A38,台帳!$F$2:$F$2000,AI$4)</f>
        <v>0</v>
      </c>
      <c r="AJ38" s="46">
        <f>SUMIFS(台帳!$I$2:$I$2000,台帳!$A$2:$A$2000,$A38,台帳!$F$2:$F$2000,AJ$4)</f>
        <v>0</v>
      </c>
      <c r="AK38" s="46">
        <f>SUMIFS(台帳!$I$2:$I$2000,台帳!$A$2:$A$2000,$A38,台帳!$F$2:$F$2000,AK$4)</f>
        <v>0</v>
      </c>
      <c r="AL38" s="46">
        <f>SUMIFS(台帳!$I$2:$I$2000,台帳!$A$2:$A$2000,$A38,台帳!$F$2:$F$2000,AL$4)</f>
        <v>0</v>
      </c>
      <c r="AM38" s="46">
        <f>SUMIFS(台帳!$I$2:$I$2000,台帳!$A$2:$A$2000,$A38,台帳!$F$2:$F$2000,AM$4)</f>
        <v>0</v>
      </c>
      <c r="AN38" s="46">
        <f>SUMIFS(台帳!$I$2:$I$2000,台帳!$A$2:$A$2000,$A38,台帳!$F$2:$F$2000,AN$4)</f>
        <v>0</v>
      </c>
      <c r="AO38" s="46">
        <f>SUMIFS(台帳!$I$2:$I$2000,台帳!$A$2:$A$2000,$A38,台帳!$F$2:$F$2000,AO$4)</f>
        <v>0</v>
      </c>
      <c r="AP38" s="46">
        <f>SUMIFS(台帳!$I$2:$I$2000,台帳!$A$2:$A$2000,$A38,台帳!$F$2:$F$2000,AP$4)</f>
        <v>0</v>
      </c>
      <c r="AQ38" s="46">
        <f>SUMIFS(台帳!$I$2:$I$2000,台帳!$A$2:$A$2000,$A38,台帳!$F$2:$F$2000,AQ$4)</f>
        <v>0</v>
      </c>
      <c r="AR38" s="46">
        <f>SUM(C38:AQ38)</f>
        <v>0</v>
      </c>
    </row>
    <row r="39" spans="1:44" ht="17.25" x14ac:dyDescent="0.35">
      <c r="A39" s="44">
        <v>46166</v>
      </c>
      <c r="B39" s="45" t="str">
        <f>CHOOSE(WEEKDAY(A39),"日","月","火","水","木","金","土")</f>
        <v>日</v>
      </c>
      <c r="C39" s="46">
        <f>SUMIFS(台帳!$I$2:$I$2000,台帳!$A$2:$A$2000,$A39,台帳!$F$2:$F$2000,C$4)</f>
        <v>0</v>
      </c>
      <c r="D39" s="46">
        <f>SUMIFS(台帳!$I$2:$I$2000,台帳!$A$2:$A$2000,$A39,台帳!$F$2:$F$2000,D$4)</f>
        <v>0</v>
      </c>
      <c r="E39" s="46">
        <f>SUMIFS(台帳!$I$2:$I$2000,台帳!$A$2:$A$2000,$A39,台帳!$F$2:$F$2000,E$4)</f>
        <v>0</v>
      </c>
      <c r="F39" s="46">
        <f>SUMIFS(台帳!$I$2:$I$2000,台帳!$A$2:$A$2000,$A39,台帳!$F$2:$F$2000,F$4)</f>
        <v>0</v>
      </c>
      <c r="G39" s="46">
        <f>SUMIFS(台帳!$I$2:$I$2000,台帳!$A$2:$A$2000,$A39,台帳!$F$2:$F$2000,G$4)</f>
        <v>0</v>
      </c>
      <c r="H39" s="46">
        <f>SUMIFS(台帳!$I$2:$I$2000,台帳!$A$2:$A$2000,$A39,台帳!$F$2:$F$2000,H$4)</f>
        <v>0</v>
      </c>
      <c r="I39" s="46">
        <f>SUMIFS(台帳!$I$2:$I$2000,台帳!$A$2:$A$2000,$A39,台帳!$F$2:$F$2000,I$4)</f>
        <v>0</v>
      </c>
      <c r="J39" s="46">
        <f>SUMIFS(台帳!$I$2:$I$2000,台帳!$A$2:$A$2000,$A39,台帳!$F$2:$F$2000,J$4)</f>
        <v>0</v>
      </c>
      <c r="K39" s="46">
        <f>SUMIFS(台帳!$I$2:$I$2000,台帳!$A$2:$A$2000,$A39,台帳!$F$2:$F$2000,K$4)</f>
        <v>0</v>
      </c>
      <c r="L39" s="46">
        <f>SUMIFS(台帳!$I$2:$I$2000,台帳!$A$2:$A$2000,$A39,台帳!$F$2:$F$2000,L$4)</f>
        <v>0</v>
      </c>
      <c r="M39" s="46">
        <f>SUMIFS(台帳!$I$2:$I$2000,台帳!$A$2:$A$2000,$A39,台帳!$F$2:$F$2000,M$4)</f>
        <v>0</v>
      </c>
      <c r="N39" s="46">
        <f>SUMIFS(台帳!$I$2:$I$2000,台帳!$A$2:$A$2000,$A39,台帳!$F$2:$F$2000,N$4)</f>
        <v>0</v>
      </c>
      <c r="O39" s="46">
        <f>SUMIFS(台帳!$I$2:$I$2000,台帳!$A$2:$A$2000,$A39,台帳!$F$2:$F$2000,O$4)</f>
        <v>0</v>
      </c>
      <c r="P39" s="46">
        <f>SUMIFS(台帳!$I$2:$I$2000,台帳!$A$2:$A$2000,$A39,台帳!$F$2:$F$2000,P$4)</f>
        <v>0</v>
      </c>
      <c r="Q39" s="46">
        <f>SUMIFS(台帳!$I$2:$I$2000,台帳!$A$2:$A$2000,$A39,台帳!$F$2:$F$2000,Q$4)</f>
        <v>0</v>
      </c>
      <c r="R39" s="46">
        <f>SUMIFS(台帳!$I$2:$I$2000,台帳!$A$2:$A$2000,$A39,台帳!$F$2:$F$2000,R$4)</f>
        <v>0</v>
      </c>
      <c r="S39" s="46">
        <f>SUMIFS(台帳!$I$2:$I$2000,台帳!$A$2:$A$2000,$A39,台帳!$F$2:$F$2000,S$4)</f>
        <v>0</v>
      </c>
      <c r="T39" s="46">
        <f>SUMIFS(台帳!$I$2:$I$2000,台帳!$A$2:$A$2000,$A39,台帳!$F$2:$F$2000,T$4)</f>
        <v>0</v>
      </c>
      <c r="U39" s="46">
        <f>SUMIFS(台帳!$I$2:$I$2000,台帳!$A$2:$A$2000,$A39,台帳!$F$2:$F$2000,U$4)</f>
        <v>0</v>
      </c>
      <c r="V39" s="46">
        <f>SUMIFS(台帳!$I$2:$I$2000,台帳!$A$2:$A$2000,$A39,台帳!$F$2:$F$2000,V$4)</f>
        <v>0</v>
      </c>
      <c r="W39" s="46">
        <f>SUMIFS(台帳!$I$2:$I$2000,台帳!$A$2:$A$2000,$A39,台帳!$F$2:$F$2000,W$4)</f>
        <v>0</v>
      </c>
      <c r="X39" s="46">
        <f>SUMIFS(台帳!$I$2:$I$2000,台帳!$A$2:$A$2000,$A39,台帳!$F$2:$F$2000,X$4)</f>
        <v>0</v>
      </c>
      <c r="Y39" s="46">
        <f>SUMIFS(台帳!$I$2:$I$2000,台帳!$A$2:$A$2000,$A39,台帳!$F$2:$F$2000,Y$4)</f>
        <v>0</v>
      </c>
      <c r="Z39" s="46">
        <f>SUMIFS(台帳!$I$2:$I$2000,台帳!$A$2:$A$2000,$A39,台帳!$F$2:$F$2000,Z$4)</f>
        <v>0</v>
      </c>
      <c r="AA39" s="46">
        <f>SUMIFS(台帳!$I$2:$I$2000,台帳!$A$2:$A$2000,$A39,台帳!$F$2:$F$2000,AA$4)</f>
        <v>0</v>
      </c>
      <c r="AB39" s="46">
        <f>SUMIFS(台帳!$I$2:$I$2000,台帳!$A$2:$A$2000,$A39,台帳!$F$2:$F$2000,AB$4)</f>
        <v>0</v>
      </c>
      <c r="AC39" s="46">
        <f>SUMIFS(台帳!$I$2:$I$2000,台帳!$A$2:$A$2000,$A39,台帳!$F$2:$F$2000,AC$4)</f>
        <v>0</v>
      </c>
      <c r="AD39" s="46">
        <f>SUMIFS(台帳!$I$2:$I$2000,台帳!$A$2:$A$2000,$A39,台帳!$F$2:$F$2000,AD$4)</f>
        <v>0</v>
      </c>
      <c r="AE39" s="46">
        <f>SUMIFS(台帳!$I$2:$I$2000,台帳!$A$2:$A$2000,$A39,台帳!$F$2:$F$2000,AE$4)</f>
        <v>0</v>
      </c>
      <c r="AF39" s="46">
        <f>SUMIFS(台帳!$I$2:$I$2000,台帳!$A$2:$A$2000,$A39,台帳!$F$2:$F$2000,AF$4)</f>
        <v>0</v>
      </c>
      <c r="AG39" s="46">
        <f>SUMIFS(台帳!$I$2:$I$2000,台帳!$A$2:$A$2000,$A39,台帳!$F$2:$F$2000,AG$4)</f>
        <v>0</v>
      </c>
      <c r="AH39" s="46">
        <f>SUMIFS(台帳!$I$2:$I$2000,台帳!$A$2:$A$2000,$A39,台帳!$F$2:$F$2000,AH$4)</f>
        <v>0</v>
      </c>
      <c r="AI39" s="46">
        <f>SUMIFS(台帳!$I$2:$I$2000,台帳!$A$2:$A$2000,$A39,台帳!$F$2:$F$2000,AI$4)</f>
        <v>0</v>
      </c>
      <c r="AJ39" s="46">
        <f>SUMIFS(台帳!$I$2:$I$2000,台帳!$A$2:$A$2000,$A39,台帳!$F$2:$F$2000,AJ$4)</f>
        <v>0</v>
      </c>
      <c r="AK39" s="46">
        <f>SUMIFS(台帳!$I$2:$I$2000,台帳!$A$2:$A$2000,$A39,台帳!$F$2:$F$2000,AK$4)</f>
        <v>0</v>
      </c>
      <c r="AL39" s="46">
        <f>SUMIFS(台帳!$I$2:$I$2000,台帳!$A$2:$A$2000,$A39,台帳!$F$2:$F$2000,AL$4)</f>
        <v>0</v>
      </c>
      <c r="AM39" s="46">
        <f>SUMIFS(台帳!$I$2:$I$2000,台帳!$A$2:$A$2000,$A39,台帳!$F$2:$F$2000,AM$4)</f>
        <v>0</v>
      </c>
      <c r="AN39" s="46">
        <f>SUMIFS(台帳!$I$2:$I$2000,台帳!$A$2:$A$2000,$A39,台帳!$F$2:$F$2000,AN$4)</f>
        <v>0</v>
      </c>
      <c r="AO39" s="46">
        <f>SUMIFS(台帳!$I$2:$I$2000,台帳!$A$2:$A$2000,$A39,台帳!$F$2:$F$2000,AO$4)</f>
        <v>0</v>
      </c>
      <c r="AP39" s="46">
        <f>SUMIFS(台帳!$I$2:$I$2000,台帳!$A$2:$A$2000,$A39,台帳!$F$2:$F$2000,AP$4)</f>
        <v>0</v>
      </c>
      <c r="AQ39" s="46">
        <f>SUMIFS(台帳!$I$2:$I$2000,台帳!$A$2:$A$2000,$A39,台帳!$F$2:$F$2000,AQ$4)</f>
        <v>0</v>
      </c>
      <c r="AR39" s="46">
        <f>SUM(C39:AQ39)</f>
        <v>0</v>
      </c>
    </row>
    <row r="40" spans="1:44" ht="17.25" x14ac:dyDescent="0.35">
      <c r="A40" s="44">
        <v>46167</v>
      </c>
      <c r="B40" s="45" t="str">
        <f>CHOOSE(WEEKDAY(A40),"日","月","火","水","木","金","土")</f>
        <v>月</v>
      </c>
      <c r="C40" s="46">
        <f>SUMIFS(台帳!$I$2:$I$2000,台帳!$A$2:$A$2000,$A40,台帳!$F$2:$F$2000,C$4)</f>
        <v>0</v>
      </c>
      <c r="D40" s="46">
        <f>SUMIFS(台帳!$I$2:$I$2000,台帳!$A$2:$A$2000,$A40,台帳!$F$2:$F$2000,D$4)</f>
        <v>0</v>
      </c>
      <c r="E40" s="46">
        <f>SUMIFS(台帳!$I$2:$I$2000,台帳!$A$2:$A$2000,$A40,台帳!$F$2:$F$2000,E$4)</f>
        <v>0</v>
      </c>
      <c r="F40" s="46">
        <f>SUMIFS(台帳!$I$2:$I$2000,台帳!$A$2:$A$2000,$A40,台帳!$F$2:$F$2000,F$4)</f>
        <v>0</v>
      </c>
      <c r="G40" s="46">
        <f>SUMIFS(台帳!$I$2:$I$2000,台帳!$A$2:$A$2000,$A40,台帳!$F$2:$F$2000,G$4)</f>
        <v>0</v>
      </c>
      <c r="H40" s="46">
        <f>SUMIFS(台帳!$I$2:$I$2000,台帳!$A$2:$A$2000,$A40,台帳!$F$2:$F$2000,H$4)</f>
        <v>0</v>
      </c>
      <c r="I40" s="46">
        <f>SUMIFS(台帳!$I$2:$I$2000,台帳!$A$2:$A$2000,$A40,台帳!$F$2:$F$2000,I$4)</f>
        <v>0</v>
      </c>
      <c r="J40" s="46">
        <f>SUMIFS(台帳!$I$2:$I$2000,台帳!$A$2:$A$2000,$A40,台帳!$F$2:$F$2000,J$4)</f>
        <v>0</v>
      </c>
      <c r="K40" s="46">
        <f>SUMIFS(台帳!$I$2:$I$2000,台帳!$A$2:$A$2000,$A40,台帳!$F$2:$F$2000,K$4)</f>
        <v>0</v>
      </c>
      <c r="L40" s="46">
        <f>SUMIFS(台帳!$I$2:$I$2000,台帳!$A$2:$A$2000,$A40,台帳!$F$2:$F$2000,L$4)</f>
        <v>0</v>
      </c>
      <c r="M40" s="46">
        <f>SUMIFS(台帳!$I$2:$I$2000,台帳!$A$2:$A$2000,$A40,台帳!$F$2:$F$2000,M$4)</f>
        <v>0</v>
      </c>
      <c r="N40" s="46">
        <f>SUMIFS(台帳!$I$2:$I$2000,台帳!$A$2:$A$2000,$A40,台帳!$F$2:$F$2000,N$4)</f>
        <v>0</v>
      </c>
      <c r="O40" s="46">
        <f>SUMIFS(台帳!$I$2:$I$2000,台帳!$A$2:$A$2000,$A40,台帳!$F$2:$F$2000,O$4)</f>
        <v>0</v>
      </c>
      <c r="P40" s="46">
        <f>SUMIFS(台帳!$I$2:$I$2000,台帳!$A$2:$A$2000,$A40,台帳!$F$2:$F$2000,P$4)</f>
        <v>0</v>
      </c>
      <c r="Q40" s="46">
        <f>SUMIFS(台帳!$I$2:$I$2000,台帳!$A$2:$A$2000,$A40,台帳!$F$2:$F$2000,Q$4)</f>
        <v>0</v>
      </c>
      <c r="R40" s="46">
        <f>SUMIFS(台帳!$I$2:$I$2000,台帳!$A$2:$A$2000,$A40,台帳!$F$2:$F$2000,R$4)</f>
        <v>0</v>
      </c>
      <c r="S40" s="46">
        <f>SUMIFS(台帳!$I$2:$I$2000,台帳!$A$2:$A$2000,$A40,台帳!$F$2:$F$2000,S$4)</f>
        <v>0</v>
      </c>
      <c r="T40" s="46">
        <f>SUMIFS(台帳!$I$2:$I$2000,台帳!$A$2:$A$2000,$A40,台帳!$F$2:$F$2000,T$4)</f>
        <v>0</v>
      </c>
      <c r="U40" s="46">
        <f>SUMIFS(台帳!$I$2:$I$2000,台帳!$A$2:$A$2000,$A40,台帳!$F$2:$F$2000,U$4)</f>
        <v>0</v>
      </c>
      <c r="V40" s="46">
        <f>SUMIFS(台帳!$I$2:$I$2000,台帳!$A$2:$A$2000,$A40,台帳!$F$2:$F$2000,V$4)</f>
        <v>0</v>
      </c>
      <c r="W40" s="46">
        <f>SUMIFS(台帳!$I$2:$I$2000,台帳!$A$2:$A$2000,$A40,台帳!$F$2:$F$2000,W$4)</f>
        <v>0</v>
      </c>
      <c r="X40" s="46">
        <f>SUMIFS(台帳!$I$2:$I$2000,台帳!$A$2:$A$2000,$A40,台帳!$F$2:$F$2000,X$4)</f>
        <v>0</v>
      </c>
      <c r="Y40" s="46">
        <f>SUMIFS(台帳!$I$2:$I$2000,台帳!$A$2:$A$2000,$A40,台帳!$F$2:$F$2000,Y$4)</f>
        <v>0</v>
      </c>
      <c r="Z40" s="46">
        <f>SUMIFS(台帳!$I$2:$I$2000,台帳!$A$2:$A$2000,$A40,台帳!$F$2:$F$2000,Z$4)</f>
        <v>0</v>
      </c>
      <c r="AA40" s="46">
        <f>SUMIFS(台帳!$I$2:$I$2000,台帳!$A$2:$A$2000,$A40,台帳!$F$2:$F$2000,AA$4)</f>
        <v>0</v>
      </c>
      <c r="AB40" s="46">
        <f>SUMIFS(台帳!$I$2:$I$2000,台帳!$A$2:$A$2000,$A40,台帳!$F$2:$F$2000,AB$4)</f>
        <v>0</v>
      </c>
      <c r="AC40" s="46">
        <f>SUMIFS(台帳!$I$2:$I$2000,台帳!$A$2:$A$2000,$A40,台帳!$F$2:$F$2000,AC$4)</f>
        <v>0</v>
      </c>
      <c r="AD40" s="46">
        <f>SUMIFS(台帳!$I$2:$I$2000,台帳!$A$2:$A$2000,$A40,台帳!$F$2:$F$2000,AD$4)</f>
        <v>0</v>
      </c>
      <c r="AE40" s="46">
        <f>SUMIFS(台帳!$I$2:$I$2000,台帳!$A$2:$A$2000,$A40,台帳!$F$2:$F$2000,AE$4)</f>
        <v>0</v>
      </c>
      <c r="AF40" s="46">
        <f>SUMIFS(台帳!$I$2:$I$2000,台帳!$A$2:$A$2000,$A40,台帳!$F$2:$F$2000,AF$4)</f>
        <v>0</v>
      </c>
      <c r="AG40" s="46">
        <f>SUMIFS(台帳!$I$2:$I$2000,台帳!$A$2:$A$2000,$A40,台帳!$F$2:$F$2000,AG$4)</f>
        <v>0</v>
      </c>
      <c r="AH40" s="46">
        <f>SUMIFS(台帳!$I$2:$I$2000,台帳!$A$2:$A$2000,$A40,台帳!$F$2:$F$2000,AH$4)</f>
        <v>0</v>
      </c>
      <c r="AI40" s="46">
        <f>SUMIFS(台帳!$I$2:$I$2000,台帳!$A$2:$A$2000,$A40,台帳!$F$2:$F$2000,AI$4)</f>
        <v>0</v>
      </c>
      <c r="AJ40" s="46">
        <f>SUMIFS(台帳!$I$2:$I$2000,台帳!$A$2:$A$2000,$A40,台帳!$F$2:$F$2000,AJ$4)</f>
        <v>0</v>
      </c>
      <c r="AK40" s="46">
        <f>SUMIFS(台帳!$I$2:$I$2000,台帳!$A$2:$A$2000,$A40,台帳!$F$2:$F$2000,AK$4)</f>
        <v>0</v>
      </c>
      <c r="AL40" s="46">
        <f>SUMIFS(台帳!$I$2:$I$2000,台帳!$A$2:$A$2000,$A40,台帳!$F$2:$F$2000,AL$4)</f>
        <v>0</v>
      </c>
      <c r="AM40" s="46">
        <f>SUMIFS(台帳!$I$2:$I$2000,台帳!$A$2:$A$2000,$A40,台帳!$F$2:$F$2000,AM$4)</f>
        <v>0</v>
      </c>
      <c r="AN40" s="46">
        <f>SUMIFS(台帳!$I$2:$I$2000,台帳!$A$2:$A$2000,$A40,台帳!$F$2:$F$2000,AN$4)</f>
        <v>0</v>
      </c>
      <c r="AO40" s="46">
        <f>SUMIFS(台帳!$I$2:$I$2000,台帳!$A$2:$A$2000,$A40,台帳!$F$2:$F$2000,AO$4)</f>
        <v>0</v>
      </c>
      <c r="AP40" s="46">
        <f>SUMIFS(台帳!$I$2:$I$2000,台帳!$A$2:$A$2000,$A40,台帳!$F$2:$F$2000,AP$4)</f>
        <v>0</v>
      </c>
      <c r="AQ40" s="46">
        <f>SUMIFS(台帳!$I$2:$I$2000,台帳!$A$2:$A$2000,$A40,台帳!$F$2:$F$2000,AQ$4)</f>
        <v>0</v>
      </c>
      <c r="AR40" s="46">
        <f>SUM(C40:AQ40)</f>
        <v>0</v>
      </c>
    </row>
    <row r="41" spans="1:44" ht="17.25" x14ac:dyDescent="0.35">
      <c r="A41" s="44">
        <v>46168</v>
      </c>
      <c r="B41" s="45" t="str">
        <f>CHOOSE(WEEKDAY(A41),"日","月","火","水","木","金","土")</f>
        <v>火</v>
      </c>
      <c r="C41" s="46">
        <f>SUMIFS(台帳!$I$2:$I$2000,台帳!$A$2:$A$2000,$A41,台帳!$F$2:$F$2000,C$4)</f>
        <v>0</v>
      </c>
      <c r="D41" s="46">
        <f>SUMIFS(台帳!$I$2:$I$2000,台帳!$A$2:$A$2000,$A41,台帳!$F$2:$F$2000,D$4)</f>
        <v>0</v>
      </c>
      <c r="E41" s="46">
        <f>SUMIFS(台帳!$I$2:$I$2000,台帳!$A$2:$A$2000,$A41,台帳!$F$2:$F$2000,E$4)</f>
        <v>0</v>
      </c>
      <c r="F41" s="46">
        <f>SUMIFS(台帳!$I$2:$I$2000,台帳!$A$2:$A$2000,$A41,台帳!$F$2:$F$2000,F$4)</f>
        <v>0</v>
      </c>
      <c r="G41" s="46">
        <f>SUMIFS(台帳!$I$2:$I$2000,台帳!$A$2:$A$2000,$A41,台帳!$F$2:$F$2000,G$4)</f>
        <v>0</v>
      </c>
      <c r="H41" s="46">
        <f>SUMIFS(台帳!$I$2:$I$2000,台帳!$A$2:$A$2000,$A41,台帳!$F$2:$F$2000,H$4)</f>
        <v>0</v>
      </c>
      <c r="I41" s="46">
        <f>SUMIFS(台帳!$I$2:$I$2000,台帳!$A$2:$A$2000,$A41,台帳!$F$2:$F$2000,I$4)</f>
        <v>0</v>
      </c>
      <c r="J41" s="46">
        <f>SUMIFS(台帳!$I$2:$I$2000,台帳!$A$2:$A$2000,$A41,台帳!$F$2:$F$2000,J$4)</f>
        <v>0</v>
      </c>
      <c r="K41" s="46">
        <f>SUMIFS(台帳!$I$2:$I$2000,台帳!$A$2:$A$2000,$A41,台帳!$F$2:$F$2000,K$4)</f>
        <v>0</v>
      </c>
      <c r="L41" s="46">
        <f>SUMIFS(台帳!$I$2:$I$2000,台帳!$A$2:$A$2000,$A41,台帳!$F$2:$F$2000,L$4)</f>
        <v>0</v>
      </c>
      <c r="M41" s="46">
        <f>SUMIFS(台帳!$I$2:$I$2000,台帳!$A$2:$A$2000,$A41,台帳!$F$2:$F$2000,M$4)</f>
        <v>0</v>
      </c>
      <c r="N41" s="46">
        <f>SUMIFS(台帳!$I$2:$I$2000,台帳!$A$2:$A$2000,$A41,台帳!$F$2:$F$2000,N$4)</f>
        <v>0</v>
      </c>
      <c r="O41" s="46">
        <f>SUMIFS(台帳!$I$2:$I$2000,台帳!$A$2:$A$2000,$A41,台帳!$F$2:$F$2000,O$4)</f>
        <v>0</v>
      </c>
      <c r="P41" s="46">
        <f>SUMIFS(台帳!$I$2:$I$2000,台帳!$A$2:$A$2000,$A41,台帳!$F$2:$F$2000,P$4)</f>
        <v>0</v>
      </c>
      <c r="Q41" s="46">
        <f>SUMIFS(台帳!$I$2:$I$2000,台帳!$A$2:$A$2000,$A41,台帳!$F$2:$F$2000,Q$4)</f>
        <v>0</v>
      </c>
      <c r="R41" s="46">
        <f>SUMIFS(台帳!$I$2:$I$2000,台帳!$A$2:$A$2000,$A41,台帳!$F$2:$F$2000,R$4)</f>
        <v>0</v>
      </c>
      <c r="S41" s="46">
        <f>SUMIFS(台帳!$I$2:$I$2000,台帳!$A$2:$A$2000,$A41,台帳!$F$2:$F$2000,S$4)</f>
        <v>0</v>
      </c>
      <c r="T41" s="46">
        <f>SUMIFS(台帳!$I$2:$I$2000,台帳!$A$2:$A$2000,$A41,台帳!$F$2:$F$2000,T$4)</f>
        <v>0</v>
      </c>
      <c r="U41" s="46">
        <f>SUMIFS(台帳!$I$2:$I$2000,台帳!$A$2:$A$2000,$A41,台帳!$F$2:$F$2000,U$4)</f>
        <v>0</v>
      </c>
      <c r="V41" s="46">
        <f>SUMIFS(台帳!$I$2:$I$2000,台帳!$A$2:$A$2000,$A41,台帳!$F$2:$F$2000,V$4)</f>
        <v>0</v>
      </c>
      <c r="W41" s="46">
        <f>SUMIFS(台帳!$I$2:$I$2000,台帳!$A$2:$A$2000,$A41,台帳!$F$2:$F$2000,W$4)</f>
        <v>0</v>
      </c>
      <c r="X41" s="46">
        <f>SUMIFS(台帳!$I$2:$I$2000,台帳!$A$2:$A$2000,$A41,台帳!$F$2:$F$2000,X$4)</f>
        <v>0</v>
      </c>
      <c r="Y41" s="46">
        <f>SUMIFS(台帳!$I$2:$I$2000,台帳!$A$2:$A$2000,$A41,台帳!$F$2:$F$2000,Y$4)</f>
        <v>0</v>
      </c>
      <c r="Z41" s="46">
        <f>SUMIFS(台帳!$I$2:$I$2000,台帳!$A$2:$A$2000,$A41,台帳!$F$2:$F$2000,Z$4)</f>
        <v>0</v>
      </c>
      <c r="AA41" s="46">
        <f>SUMIFS(台帳!$I$2:$I$2000,台帳!$A$2:$A$2000,$A41,台帳!$F$2:$F$2000,AA$4)</f>
        <v>0</v>
      </c>
      <c r="AB41" s="46">
        <f>SUMIFS(台帳!$I$2:$I$2000,台帳!$A$2:$A$2000,$A41,台帳!$F$2:$F$2000,AB$4)</f>
        <v>0</v>
      </c>
      <c r="AC41" s="46">
        <f>SUMIFS(台帳!$I$2:$I$2000,台帳!$A$2:$A$2000,$A41,台帳!$F$2:$F$2000,AC$4)</f>
        <v>0</v>
      </c>
      <c r="AD41" s="46">
        <f>SUMIFS(台帳!$I$2:$I$2000,台帳!$A$2:$A$2000,$A41,台帳!$F$2:$F$2000,AD$4)</f>
        <v>0</v>
      </c>
      <c r="AE41" s="46">
        <f>SUMIFS(台帳!$I$2:$I$2000,台帳!$A$2:$A$2000,$A41,台帳!$F$2:$F$2000,AE$4)</f>
        <v>0</v>
      </c>
      <c r="AF41" s="46">
        <f>SUMIFS(台帳!$I$2:$I$2000,台帳!$A$2:$A$2000,$A41,台帳!$F$2:$F$2000,AF$4)</f>
        <v>0</v>
      </c>
      <c r="AG41" s="46">
        <f>SUMIFS(台帳!$I$2:$I$2000,台帳!$A$2:$A$2000,$A41,台帳!$F$2:$F$2000,AG$4)</f>
        <v>0</v>
      </c>
      <c r="AH41" s="46">
        <f>SUMIFS(台帳!$I$2:$I$2000,台帳!$A$2:$A$2000,$A41,台帳!$F$2:$F$2000,AH$4)</f>
        <v>0</v>
      </c>
      <c r="AI41" s="46">
        <f>SUMIFS(台帳!$I$2:$I$2000,台帳!$A$2:$A$2000,$A41,台帳!$F$2:$F$2000,AI$4)</f>
        <v>0</v>
      </c>
      <c r="AJ41" s="46">
        <f>SUMIFS(台帳!$I$2:$I$2000,台帳!$A$2:$A$2000,$A41,台帳!$F$2:$F$2000,AJ$4)</f>
        <v>0</v>
      </c>
      <c r="AK41" s="46">
        <f>SUMIFS(台帳!$I$2:$I$2000,台帳!$A$2:$A$2000,$A41,台帳!$F$2:$F$2000,AK$4)</f>
        <v>0</v>
      </c>
      <c r="AL41" s="46">
        <f>SUMIFS(台帳!$I$2:$I$2000,台帳!$A$2:$A$2000,$A41,台帳!$F$2:$F$2000,AL$4)</f>
        <v>0</v>
      </c>
      <c r="AM41" s="46">
        <f>SUMIFS(台帳!$I$2:$I$2000,台帳!$A$2:$A$2000,$A41,台帳!$F$2:$F$2000,AM$4)</f>
        <v>0</v>
      </c>
      <c r="AN41" s="46">
        <f>SUMIFS(台帳!$I$2:$I$2000,台帳!$A$2:$A$2000,$A41,台帳!$F$2:$F$2000,AN$4)</f>
        <v>0</v>
      </c>
      <c r="AO41" s="46">
        <f>SUMIFS(台帳!$I$2:$I$2000,台帳!$A$2:$A$2000,$A41,台帳!$F$2:$F$2000,AO$4)</f>
        <v>0</v>
      </c>
      <c r="AP41" s="46">
        <f>SUMIFS(台帳!$I$2:$I$2000,台帳!$A$2:$A$2000,$A41,台帳!$F$2:$F$2000,AP$4)</f>
        <v>0</v>
      </c>
      <c r="AQ41" s="46">
        <f>SUMIFS(台帳!$I$2:$I$2000,台帳!$A$2:$A$2000,$A41,台帳!$F$2:$F$2000,AQ$4)</f>
        <v>0</v>
      </c>
      <c r="AR41" s="46">
        <f>SUM(C41:AQ41)</f>
        <v>0</v>
      </c>
    </row>
    <row r="42" spans="1:44" ht="17.25" x14ac:dyDescent="0.35">
      <c r="A42" s="44">
        <v>46169</v>
      </c>
      <c r="B42" s="45" t="str">
        <f>CHOOSE(WEEKDAY(A42),"日","月","火","水","木","金","土")</f>
        <v>水</v>
      </c>
      <c r="C42" s="46">
        <f>SUMIFS(台帳!$I$2:$I$2000,台帳!$A$2:$A$2000,$A42,台帳!$F$2:$F$2000,C$4)</f>
        <v>0</v>
      </c>
      <c r="D42" s="46">
        <f>SUMIFS(台帳!$I$2:$I$2000,台帳!$A$2:$A$2000,$A42,台帳!$F$2:$F$2000,D$4)</f>
        <v>0</v>
      </c>
      <c r="E42" s="46">
        <f>SUMIFS(台帳!$I$2:$I$2000,台帳!$A$2:$A$2000,$A42,台帳!$F$2:$F$2000,E$4)</f>
        <v>0</v>
      </c>
      <c r="F42" s="46">
        <f>SUMIFS(台帳!$I$2:$I$2000,台帳!$A$2:$A$2000,$A42,台帳!$F$2:$F$2000,F$4)</f>
        <v>0</v>
      </c>
      <c r="G42" s="46">
        <f>SUMIFS(台帳!$I$2:$I$2000,台帳!$A$2:$A$2000,$A42,台帳!$F$2:$F$2000,G$4)</f>
        <v>0</v>
      </c>
      <c r="H42" s="46">
        <f>SUMIFS(台帳!$I$2:$I$2000,台帳!$A$2:$A$2000,$A42,台帳!$F$2:$F$2000,H$4)</f>
        <v>0</v>
      </c>
      <c r="I42" s="46">
        <f>SUMIFS(台帳!$I$2:$I$2000,台帳!$A$2:$A$2000,$A42,台帳!$F$2:$F$2000,I$4)</f>
        <v>0</v>
      </c>
      <c r="J42" s="46">
        <f>SUMIFS(台帳!$I$2:$I$2000,台帳!$A$2:$A$2000,$A42,台帳!$F$2:$F$2000,J$4)</f>
        <v>0</v>
      </c>
      <c r="K42" s="46">
        <f>SUMIFS(台帳!$I$2:$I$2000,台帳!$A$2:$A$2000,$A42,台帳!$F$2:$F$2000,K$4)</f>
        <v>0</v>
      </c>
      <c r="L42" s="46">
        <f>SUMIFS(台帳!$I$2:$I$2000,台帳!$A$2:$A$2000,$A42,台帳!$F$2:$F$2000,L$4)</f>
        <v>0</v>
      </c>
      <c r="M42" s="46">
        <f>SUMIFS(台帳!$I$2:$I$2000,台帳!$A$2:$A$2000,$A42,台帳!$F$2:$F$2000,M$4)</f>
        <v>0</v>
      </c>
      <c r="N42" s="46">
        <f>SUMIFS(台帳!$I$2:$I$2000,台帳!$A$2:$A$2000,$A42,台帳!$F$2:$F$2000,N$4)</f>
        <v>0</v>
      </c>
      <c r="O42" s="46">
        <f>SUMIFS(台帳!$I$2:$I$2000,台帳!$A$2:$A$2000,$A42,台帳!$F$2:$F$2000,O$4)</f>
        <v>0</v>
      </c>
      <c r="P42" s="46">
        <f>SUMIFS(台帳!$I$2:$I$2000,台帳!$A$2:$A$2000,$A42,台帳!$F$2:$F$2000,P$4)</f>
        <v>0</v>
      </c>
      <c r="Q42" s="46">
        <f>SUMIFS(台帳!$I$2:$I$2000,台帳!$A$2:$A$2000,$A42,台帳!$F$2:$F$2000,Q$4)</f>
        <v>0</v>
      </c>
      <c r="R42" s="46">
        <f>SUMIFS(台帳!$I$2:$I$2000,台帳!$A$2:$A$2000,$A42,台帳!$F$2:$F$2000,R$4)</f>
        <v>0</v>
      </c>
      <c r="S42" s="46">
        <f>SUMIFS(台帳!$I$2:$I$2000,台帳!$A$2:$A$2000,$A42,台帳!$F$2:$F$2000,S$4)</f>
        <v>0</v>
      </c>
      <c r="T42" s="46">
        <f>SUMIFS(台帳!$I$2:$I$2000,台帳!$A$2:$A$2000,$A42,台帳!$F$2:$F$2000,T$4)</f>
        <v>0</v>
      </c>
      <c r="U42" s="46">
        <f>SUMIFS(台帳!$I$2:$I$2000,台帳!$A$2:$A$2000,$A42,台帳!$F$2:$F$2000,U$4)</f>
        <v>0</v>
      </c>
      <c r="V42" s="46">
        <f>SUMIFS(台帳!$I$2:$I$2000,台帳!$A$2:$A$2000,$A42,台帳!$F$2:$F$2000,V$4)</f>
        <v>0</v>
      </c>
      <c r="W42" s="46">
        <f>SUMIFS(台帳!$I$2:$I$2000,台帳!$A$2:$A$2000,$A42,台帳!$F$2:$F$2000,W$4)</f>
        <v>0</v>
      </c>
      <c r="X42" s="46">
        <f>SUMIFS(台帳!$I$2:$I$2000,台帳!$A$2:$A$2000,$A42,台帳!$F$2:$F$2000,X$4)</f>
        <v>0</v>
      </c>
      <c r="Y42" s="46">
        <f>SUMIFS(台帳!$I$2:$I$2000,台帳!$A$2:$A$2000,$A42,台帳!$F$2:$F$2000,Y$4)</f>
        <v>0</v>
      </c>
      <c r="Z42" s="46">
        <f>SUMIFS(台帳!$I$2:$I$2000,台帳!$A$2:$A$2000,$A42,台帳!$F$2:$F$2000,Z$4)</f>
        <v>0</v>
      </c>
      <c r="AA42" s="46">
        <f>SUMIFS(台帳!$I$2:$I$2000,台帳!$A$2:$A$2000,$A42,台帳!$F$2:$F$2000,AA$4)</f>
        <v>0</v>
      </c>
      <c r="AB42" s="46">
        <f>SUMIFS(台帳!$I$2:$I$2000,台帳!$A$2:$A$2000,$A42,台帳!$F$2:$F$2000,AB$4)</f>
        <v>0</v>
      </c>
      <c r="AC42" s="46">
        <f>SUMIFS(台帳!$I$2:$I$2000,台帳!$A$2:$A$2000,$A42,台帳!$F$2:$F$2000,AC$4)</f>
        <v>0</v>
      </c>
      <c r="AD42" s="46">
        <f>SUMIFS(台帳!$I$2:$I$2000,台帳!$A$2:$A$2000,$A42,台帳!$F$2:$F$2000,AD$4)</f>
        <v>0</v>
      </c>
      <c r="AE42" s="46">
        <f>SUMIFS(台帳!$I$2:$I$2000,台帳!$A$2:$A$2000,$A42,台帳!$F$2:$F$2000,AE$4)</f>
        <v>0</v>
      </c>
      <c r="AF42" s="46">
        <f>SUMIFS(台帳!$I$2:$I$2000,台帳!$A$2:$A$2000,$A42,台帳!$F$2:$F$2000,AF$4)</f>
        <v>0</v>
      </c>
      <c r="AG42" s="46">
        <f>SUMIFS(台帳!$I$2:$I$2000,台帳!$A$2:$A$2000,$A42,台帳!$F$2:$F$2000,AG$4)</f>
        <v>0</v>
      </c>
      <c r="AH42" s="46">
        <f>SUMIFS(台帳!$I$2:$I$2000,台帳!$A$2:$A$2000,$A42,台帳!$F$2:$F$2000,AH$4)</f>
        <v>0</v>
      </c>
      <c r="AI42" s="46">
        <f>SUMIFS(台帳!$I$2:$I$2000,台帳!$A$2:$A$2000,$A42,台帳!$F$2:$F$2000,AI$4)</f>
        <v>0</v>
      </c>
      <c r="AJ42" s="46">
        <f>SUMIFS(台帳!$I$2:$I$2000,台帳!$A$2:$A$2000,$A42,台帳!$F$2:$F$2000,AJ$4)</f>
        <v>0</v>
      </c>
      <c r="AK42" s="46">
        <f>SUMIFS(台帳!$I$2:$I$2000,台帳!$A$2:$A$2000,$A42,台帳!$F$2:$F$2000,AK$4)</f>
        <v>0</v>
      </c>
      <c r="AL42" s="46">
        <f>SUMIFS(台帳!$I$2:$I$2000,台帳!$A$2:$A$2000,$A42,台帳!$F$2:$F$2000,AL$4)</f>
        <v>0</v>
      </c>
      <c r="AM42" s="46">
        <f>SUMIFS(台帳!$I$2:$I$2000,台帳!$A$2:$A$2000,$A42,台帳!$F$2:$F$2000,AM$4)</f>
        <v>0</v>
      </c>
      <c r="AN42" s="46">
        <f>SUMIFS(台帳!$I$2:$I$2000,台帳!$A$2:$A$2000,$A42,台帳!$F$2:$F$2000,AN$4)</f>
        <v>0</v>
      </c>
      <c r="AO42" s="46">
        <f>SUMIFS(台帳!$I$2:$I$2000,台帳!$A$2:$A$2000,$A42,台帳!$F$2:$F$2000,AO$4)</f>
        <v>0</v>
      </c>
      <c r="AP42" s="46">
        <f>SUMIFS(台帳!$I$2:$I$2000,台帳!$A$2:$A$2000,$A42,台帳!$F$2:$F$2000,AP$4)</f>
        <v>0</v>
      </c>
      <c r="AQ42" s="46">
        <f>SUMIFS(台帳!$I$2:$I$2000,台帳!$A$2:$A$2000,$A42,台帳!$F$2:$F$2000,AQ$4)</f>
        <v>0</v>
      </c>
      <c r="AR42" s="46">
        <f>SUM(C42:AQ42)</f>
        <v>0</v>
      </c>
    </row>
    <row r="43" spans="1:44" ht="17.25" x14ac:dyDescent="0.35">
      <c r="A43" s="44">
        <v>46170</v>
      </c>
      <c r="B43" s="45" t="str">
        <f>CHOOSE(WEEKDAY(A43),"日","月","火","水","木","金","土")</f>
        <v>木</v>
      </c>
      <c r="C43" s="46">
        <f>SUMIFS(台帳!$I$2:$I$2000,台帳!$A$2:$A$2000,$A43,台帳!$F$2:$F$2000,C$4)</f>
        <v>0</v>
      </c>
      <c r="D43" s="46">
        <f>SUMIFS(台帳!$I$2:$I$2000,台帳!$A$2:$A$2000,$A43,台帳!$F$2:$F$2000,D$4)</f>
        <v>0</v>
      </c>
      <c r="E43" s="46">
        <f>SUMIFS(台帳!$I$2:$I$2000,台帳!$A$2:$A$2000,$A43,台帳!$F$2:$F$2000,E$4)</f>
        <v>0</v>
      </c>
      <c r="F43" s="46">
        <f>SUMIFS(台帳!$I$2:$I$2000,台帳!$A$2:$A$2000,$A43,台帳!$F$2:$F$2000,F$4)</f>
        <v>0</v>
      </c>
      <c r="G43" s="46">
        <f>SUMIFS(台帳!$I$2:$I$2000,台帳!$A$2:$A$2000,$A43,台帳!$F$2:$F$2000,G$4)</f>
        <v>0</v>
      </c>
      <c r="H43" s="46">
        <f>SUMIFS(台帳!$I$2:$I$2000,台帳!$A$2:$A$2000,$A43,台帳!$F$2:$F$2000,H$4)</f>
        <v>0</v>
      </c>
      <c r="I43" s="46">
        <f>SUMIFS(台帳!$I$2:$I$2000,台帳!$A$2:$A$2000,$A43,台帳!$F$2:$F$2000,I$4)</f>
        <v>0</v>
      </c>
      <c r="J43" s="46">
        <f>SUMIFS(台帳!$I$2:$I$2000,台帳!$A$2:$A$2000,$A43,台帳!$F$2:$F$2000,J$4)</f>
        <v>0</v>
      </c>
      <c r="K43" s="46">
        <f>SUMIFS(台帳!$I$2:$I$2000,台帳!$A$2:$A$2000,$A43,台帳!$F$2:$F$2000,K$4)</f>
        <v>0</v>
      </c>
      <c r="L43" s="46">
        <f>SUMIFS(台帳!$I$2:$I$2000,台帳!$A$2:$A$2000,$A43,台帳!$F$2:$F$2000,L$4)</f>
        <v>0</v>
      </c>
      <c r="M43" s="46">
        <f>SUMIFS(台帳!$I$2:$I$2000,台帳!$A$2:$A$2000,$A43,台帳!$F$2:$F$2000,M$4)</f>
        <v>0</v>
      </c>
      <c r="N43" s="46">
        <f>SUMIFS(台帳!$I$2:$I$2000,台帳!$A$2:$A$2000,$A43,台帳!$F$2:$F$2000,N$4)</f>
        <v>0</v>
      </c>
      <c r="O43" s="46">
        <f>SUMIFS(台帳!$I$2:$I$2000,台帳!$A$2:$A$2000,$A43,台帳!$F$2:$F$2000,O$4)</f>
        <v>0</v>
      </c>
      <c r="P43" s="46">
        <f>SUMIFS(台帳!$I$2:$I$2000,台帳!$A$2:$A$2000,$A43,台帳!$F$2:$F$2000,P$4)</f>
        <v>0</v>
      </c>
      <c r="Q43" s="46">
        <f>SUMIFS(台帳!$I$2:$I$2000,台帳!$A$2:$A$2000,$A43,台帳!$F$2:$F$2000,Q$4)</f>
        <v>0</v>
      </c>
      <c r="R43" s="46">
        <f>SUMIFS(台帳!$I$2:$I$2000,台帳!$A$2:$A$2000,$A43,台帳!$F$2:$F$2000,R$4)</f>
        <v>0</v>
      </c>
      <c r="S43" s="46">
        <f>SUMIFS(台帳!$I$2:$I$2000,台帳!$A$2:$A$2000,$A43,台帳!$F$2:$F$2000,S$4)</f>
        <v>0</v>
      </c>
      <c r="T43" s="46">
        <f>SUMIFS(台帳!$I$2:$I$2000,台帳!$A$2:$A$2000,$A43,台帳!$F$2:$F$2000,T$4)</f>
        <v>0</v>
      </c>
      <c r="U43" s="46">
        <f>SUMIFS(台帳!$I$2:$I$2000,台帳!$A$2:$A$2000,$A43,台帳!$F$2:$F$2000,U$4)</f>
        <v>0</v>
      </c>
      <c r="V43" s="46">
        <f>SUMIFS(台帳!$I$2:$I$2000,台帳!$A$2:$A$2000,$A43,台帳!$F$2:$F$2000,V$4)</f>
        <v>0</v>
      </c>
      <c r="W43" s="46">
        <f>SUMIFS(台帳!$I$2:$I$2000,台帳!$A$2:$A$2000,$A43,台帳!$F$2:$F$2000,W$4)</f>
        <v>0</v>
      </c>
      <c r="X43" s="46">
        <f>SUMIFS(台帳!$I$2:$I$2000,台帳!$A$2:$A$2000,$A43,台帳!$F$2:$F$2000,X$4)</f>
        <v>0</v>
      </c>
      <c r="Y43" s="46">
        <f>SUMIFS(台帳!$I$2:$I$2000,台帳!$A$2:$A$2000,$A43,台帳!$F$2:$F$2000,Y$4)</f>
        <v>0</v>
      </c>
      <c r="Z43" s="46">
        <f>SUMIFS(台帳!$I$2:$I$2000,台帳!$A$2:$A$2000,$A43,台帳!$F$2:$F$2000,Z$4)</f>
        <v>0</v>
      </c>
      <c r="AA43" s="46">
        <f>SUMIFS(台帳!$I$2:$I$2000,台帳!$A$2:$A$2000,$A43,台帳!$F$2:$F$2000,AA$4)</f>
        <v>0</v>
      </c>
      <c r="AB43" s="46">
        <f>SUMIFS(台帳!$I$2:$I$2000,台帳!$A$2:$A$2000,$A43,台帳!$F$2:$F$2000,AB$4)</f>
        <v>0</v>
      </c>
      <c r="AC43" s="46">
        <f>SUMIFS(台帳!$I$2:$I$2000,台帳!$A$2:$A$2000,$A43,台帳!$F$2:$F$2000,AC$4)</f>
        <v>0</v>
      </c>
      <c r="AD43" s="46">
        <f>SUMIFS(台帳!$I$2:$I$2000,台帳!$A$2:$A$2000,$A43,台帳!$F$2:$F$2000,AD$4)</f>
        <v>0</v>
      </c>
      <c r="AE43" s="46">
        <f>SUMIFS(台帳!$I$2:$I$2000,台帳!$A$2:$A$2000,$A43,台帳!$F$2:$F$2000,AE$4)</f>
        <v>0</v>
      </c>
      <c r="AF43" s="46">
        <f>SUMIFS(台帳!$I$2:$I$2000,台帳!$A$2:$A$2000,$A43,台帳!$F$2:$F$2000,AF$4)</f>
        <v>0</v>
      </c>
      <c r="AG43" s="46">
        <f>SUMIFS(台帳!$I$2:$I$2000,台帳!$A$2:$A$2000,$A43,台帳!$F$2:$F$2000,AG$4)</f>
        <v>0</v>
      </c>
      <c r="AH43" s="46">
        <f>SUMIFS(台帳!$I$2:$I$2000,台帳!$A$2:$A$2000,$A43,台帳!$F$2:$F$2000,AH$4)</f>
        <v>0</v>
      </c>
      <c r="AI43" s="46">
        <f>SUMIFS(台帳!$I$2:$I$2000,台帳!$A$2:$A$2000,$A43,台帳!$F$2:$F$2000,AI$4)</f>
        <v>0</v>
      </c>
      <c r="AJ43" s="46">
        <f>SUMIFS(台帳!$I$2:$I$2000,台帳!$A$2:$A$2000,$A43,台帳!$F$2:$F$2000,AJ$4)</f>
        <v>0</v>
      </c>
      <c r="AK43" s="46">
        <f>SUMIFS(台帳!$I$2:$I$2000,台帳!$A$2:$A$2000,$A43,台帳!$F$2:$F$2000,AK$4)</f>
        <v>0</v>
      </c>
      <c r="AL43" s="46">
        <f>SUMIFS(台帳!$I$2:$I$2000,台帳!$A$2:$A$2000,$A43,台帳!$F$2:$F$2000,AL$4)</f>
        <v>0</v>
      </c>
      <c r="AM43" s="46">
        <f>SUMIFS(台帳!$I$2:$I$2000,台帳!$A$2:$A$2000,$A43,台帳!$F$2:$F$2000,AM$4)</f>
        <v>0</v>
      </c>
      <c r="AN43" s="46">
        <f>SUMIFS(台帳!$I$2:$I$2000,台帳!$A$2:$A$2000,$A43,台帳!$F$2:$F$2000,AN$4)</f>
        <v>0</v>
      </c>
      <c r="AO43" s="46">
        <f>SUMIFS(台帳!$I$2:$I$2000,台帳!$A$2:$A$2000,$A43,台帳!$F$2:$F$2000,AO$4)</f>
        <v>0</v>
      </c>
      <c r="AP43" s="46">
        <f>SUMIFS(台帳!$I$2:$I$2000,台帳!$A$2:$A$2000,$A43,台帳!$F$2:$F$2000,AP$4)</f>
        <v>0</v>
      </c>
      <c r="AQ43" s="46">
        <f>SUMIFS(台帳!$I$2:$I$2000,台帳!$A$2:$A$2000,$A43,台帳!$F$2:$F$2000,AQ$4)</f>
        <v>0</v>
      </c>
      <c r="AR43" s="46">
        <f>SUM(C43:AQ43)</f>
        <v>0</v>
      </c>
    </row>
    <row r="44" spans="1:44" ht="17.25" x14ac:dyDescent="0.35">
      <c r="A44" s="44">
        <v>46171</v>
      </c>
      <c r="B44" s="45" t="str">
        <f>CHOOSE(WEEKDAY(A44),"日","月","火","水","木","金","土")</f>
        <v>金</v>
      </c>
      <c r="C44" s="46">
        <f>SUMIFS(台帳!$I$2:$I$2000,台帳!$A$2:$A$2000,$A44,台帳!$F$2:$F$2000,C$4)</f>
        <v>0</v>
      </c>
      <c r="D44" s="46">
        <f>SUMIFS(台帳!$I$2:$I$2000,台帳!$A$2:$A$2000,$A44,台帳!$F$2:$F$2000,D$4)</f>
        <v>0</v>
      </c>
      <c r="E44" s="46">
        <f>SUMIFS(台帳!$I$2:$I$2000,台帳!$A$2:$A$2000,$A44,台帳!$F$2:$F$2000,E$4)</f>
        <v>0</v>
      </c>
      <c r="F44" s="46">
        <f>SUMIFS(台帳!$I$2:$I$2000,台帳!$A$2:$A$2000,$A44,台帳!$F$2:$F$2000,F$4)</f>
        <v>0</v>
      </c>
      <c r="G44" s="46">
        <f>SUMIFS(台帳!$I$2:$I$2000,台帳!$A$2:$A$2000,$A44,台帳!$F$2:$F$2000,G$4)</f>
        <v>0</v>
      </c>
      <c r="H44" s="46">
        <f>SUMIFS(台帳!$I$2:$I$2000,台帳!$A$2:$A$2000,$A44,台帳!$F$2:$F$2000,H$4)</f>
        <v>0</v>
      </c>
      <c r="I44" s="46">
        <f>SUMIFS(台帳!$I$2:$I$2000,台帳!$A$2:$A$2000,$A44,台帳!$F$2:$F$2000,I$4)</f>
        <v>0</v>
      </c>
      <c r="J44" s="46">
        <f>SUMIFS(台帳!$I$2:$I$2000,台帳!$A$2:$A$2000,$A44,台帳!$F$2:$F$2000,J$4)</f>
        <v>0</v>
      </c>
      <c r="K44" s="46">
        <f>SUMIFS(台帳!$I$2:$I$2000,台帳!$A$2:$A$2000,$A44,台帳!$F$2:$F$2000,K$4)</f>
        <v>0</v>
      </c>
      <c r="L44" s="46">
        <f>SUMIFS(台帳!$I$2:$I$2000,台帳!$A$2:$A$2000,$A44,台帳!$F$2:$F$2000,L$4)</f>
        <v>0</v>
      </c>
      <c r="M44" s="46">
        <f>SUMIFS(台帳!$I$2:$I$2000,台帳!$A$2:$A$2000,$A44,台帳!$F$2:$F$2000,M$4)</f>
        <v>0</v>
      </c>
      <c r="N44" s="46">
        <f>SUMIFS(台帳!$I$2:$I$2000,台帳!$A$2:$A$2000,$A44,台帳!$F$2:$F$2000,N$4)</f>
        <v>0</v>
      </c>
      <c r="O44" s="46">
        <f>SUMIFS(台帳!$I$2:$I$2000,台帳!$A$2:$A$2000,$A44,台帳!$F$2:$F$2000,O$4)</f>
        <v>0</v>
      </c>
      <c r="P44" s="46">
        <f>SUMIFS(台帳!$I$2:$I$2000,台帳!$A$2:$A$2000,$A44,台帳!$F$2:$F$2000,P$4)</f>
        <v>0</v>
      </c>
      <c r="Q44" s="46">
        <f>SUMIFS(台帳!$I$2:$I$2000,台帳!$A$2:$A$2000,$A44,台帳!$F$2:$F$2000,Q$4)</f>
        <v>0</v>
      </c>
      <c r="R44" s="46">
        <f>SUMIFS(台帳!$I$2:$I$2000,台帳!$A$2:$A$2000,$A44,台帳!$F$2:$F$2000,R$4)</f>
        <v>0</v>
      </c>
      <c r="S44" s="46">
        <f>SUMIFS(台帳!$I$2:$I$2000,台帳!$A$2:$A$2000,$A44,台帳!$F$2:$F$2000,S$4)</f>
        <v>0</v>
      </c>
      <c r="T44" s="46">
        <f>SUMIFS(台帳!$I$2:$I$2000,台帳!$A$2:$A$2000,$A44,台帳!$F$2:$F$2000,T$4)</f>
        <v>0</v>
      </c>
      <c r="U44" s="46">
        <f>SUMIFS(台帳!$I$2:$I$2000,台帳!$A$2:$A$2000,$A44,台帳!$F$2:$F$2000,U$4)</f>
        <v>0</v>
      </c>
      <c r="V44" s="46">
        <f>SUMIFS(台帳!$I$2:$I$2000,台帳!$A$2:$A$2000,$A44,台帳!$F$2:$F$2000,V$4)</f>
        <v>0</v>
      </c>
      <c r="W44" s="46">
        <f>SUMIFS(台帳!$I$2:$I$2000,台帳!$A$2:$A$2000,$A44,台帳!$F$2:$F$2000,W$4)</f>
        <v>0</v>
      </c>
      <c r="X44" s="46">
        <f>SUMIFS(台帳!$I$2:$I$2000,台帳!$A$2:$A$2000,$A44,台帳!$F$2:$F$2000,X$4)</f>
        <v>0</v>
      </c>
      <c r="Y44" s="46">
        <f>SUMIFS(台帳!$I$2:$I$2000,台帳!$A$2:$A$2000,$A44,台帳!$F$2:$F$2000,Y$4)</f>
        <v>0</v>
      </c>
      <c r="Z44" s="46">
        <f>SUMIFS(台帳!$I$2:$I$2000,台帳!$A$2:$A$2000,$A44,台帳!$F$2:$F$2000,Z$4)</f>
        <v>0</v>
      </c>
      <c r="AA44" s="46">
        <f>SUMIFS(台帳!$I$2:$I$2000,台帳!$A$2:$A$2000,$A44,台帳!$F$2:$F$2000,AA$4)</f>
        <v>0</v>
      </c>
      <c r="AB44" s="46">
        <f>SUMIFS(台帳!$I$2:$I$2000,台帳!$A$2:$A$2000,$A44,台帳!$F$2:$F$2000,AB$4)</f>
        <v>0</v>
      </c>
      <c r="AC44" s="46">
        <f>SUMIFS(台帳!$I$2:$I$2000,台帳!$A$2:$A$2000,$A44,台帳!$F$2:$F$2000,AC$4)</f>
        <v>0</v>
      </c>
      <c r="AD44" s="46">
        <f>SUMIFS(台帳!$I$2:$I$2000,台帳!$A$2:$A$2000,$A44,台帳!$F$2:$F$2000,AD$4)</f>
        <v>0</v>
      </c>
      <c r="AE44" s="46">
        <f>SUMIFS(台帳!$I$2:$I$2000,台帳!$A$2:$A$2000,$A44,台帳!$F$2:$F$2000,AE$4)</f>
        <v>0</v>
      </c>
      <c r="AF44" s="46">
        <f>SUMIFS(台帳!$I$2:$I$2000,台帳!$A$2:$A$2000,$A44,台帳!$F$2:$F$2000,AF$4)</f>
        <v>0</v>
      </c>
      <c r="AG44" s="46">
        <f>SUMIFS(台帳!$I$2:$I$2000,台帳!$A$2:$A$2000,$A44,台帳!$F$2:$F$2000,AG$4)</f>
        <v>0</v>
      </c>
      <c r="AH44" s="46">
        <f>SUMIFS(台帳!$I$2:$I$2000,台帳!$A$2:$A$2000,$A44,台帳!$F$2:$F$2000,AH$4)</f>
        <v>0</v>
      </c>
      <c r="AI44" s="46">
        <f>SUMIFS(台帳!$I$2:$I$2000,台帳!$A$2:$A$2000,$A44,台帳!$F$2:$F$2000,AI$4)</f>
        <v>0</v>
      </c>
      <c r="AJ44" s="46">
        <f>SUMIFS(台帳!$I$2:$I$2000,台帳!$A$2:$A$2000,$A44,台帳!$F$2:$F$2000,AJ$4)</f>
        <v>0</v>
      </c>
      <c r="AK44" s="46">
        <f>SUMIFS(台帳!$I$2:$I$2000,台帳!$A$2:$A$2000,$A44,台帳!$F$2:$F$2000,AK$4)</f>
        <v>0</v>
      </c>
      <c r="AL44" s="46">
        <f>SUMIFS(台帳!$I$2:$I$2000,台帳!$A$2:$A$2000,$A44,台帳!$F$2:$F$2000,AL$4)</f>
        <v>0</v>
      </c>
      <c r="AM44" s="46">
        <f>SUMIFS(台帳!$I$2:$I$2000,台帳!$A$2:$A$2000,$A44,台帳!$F$2:$F$2000,AM$4)</f>
        <v>0</v>
      </c>
      <c r="AN44" s="46">
        <f>SUMIFS(台帳!$I$2:$I$2000,台帳!$A$2:$A$2000,$A44,台帳!$F$2:$F$2000,AN$4)</f>
        <v>0</v>
      </c>
      <c r="AO44" s="46">
        <f>SUMIFS(台帳!$I$2:$I$2000,台帳!$A$2:$A$2000,$A44,台帳!$F$2:$F$2000,AO$4)</f>
        <v>0</v>
      </c>
      <c r="AP44" s="46">
        <f>SUMIFS(台帳!$I$2:$I$2000,台帳!$A$2:$A$2000,$A44,台帳!$F$2:$F$2000,AP$4)</f>
        <v>0</v>
      </c>
      <c r="AQ44" s="46">
        <f>SUMIFS(台帳!$I$2:$I$2000,台帳!$A$2:$A$2000,$A44,台帳!$F$2:$F$2000,AQ$4)</f>
        <v>0</v>
      </c>
      <c r="AR44" s="46">
        <f>SUM(C44:AQ44)</f>
        <v>0</v>
      </c>
    </row>
    <row r="45" spans="1:44" ht="17.25" x14ac:dyDescent="0.35">
      <c r="A45" s="44">
        <v>46172</v>
      </c>
      <c r="B45" s="45" t="str">
        <f>CHOOSE(WEEKDAY(A45),"日","月","火","水","木","金","土")</f>
        <v>土</v>
      </c>
      <c r="C45" s="46">
        <f>SUMIFS(台帳!$I$2:$I$2000,台帳!$A$2:$A$2000,$A45,台帳!$F$2:$F$2000,C$4)</f>
        <v>0</v>
      </c>
      <c r="D45" s="46">
        <f>SUMIFS(台帳!$I$2:$I$2000,台帳!$A$2:$A$2000,$A45,台帳!$F$2:$F$2000,D$4)</f>
        <v>0</v>
      </c>
      <c r="E45" s="46">
        <f>SUMIFS(台帳!$I$2:$I$2000,台帳!$A$2:$A$2000,$A45,台帳!$F$2:$F$2000,E$4)</f>
        <v>0</v>
      </c>
      <c r="F45" s="46">
        <f>SUMIFS(台帳!$I$2:$I$2000,台帳!$A$2:$A$2000,$A45,台帳!$F$2:$F$2000,F$4)</f>
        <v>0</v>
      </c>
      <c r="G45" s="46">
        <f>SUMIFS(台帳!$I$2:$I$2000,台帳!$A$2:$A$2000,$A45,台帳!$F$2:$F$2000,G$4)</f>
        <v>0</v>
      </c>
      <c r="H45" s="46">
        <f>SUMIFS(台帳!$I$2:$I$2000,台帳!$A$2:$A$2000,$A45,台帳!$F$2:$F$2000,H$4)</f>
        <v>0</v>
      </c>
      <c r="I45" s="46">
        <f>SUMIFS(台帳!$I$2:$I$2000,台帳!$A$2:$A$2000,$A45,台帳!$F$2:$F$2000,I$4)</f>
        <v>0</v>
      </c>
      <c r="J45" s="46">
        <f>SUMIFS(台帳!$I$2:$I$2000,台帳!$A$2:$A$2000,$A45,台帳!$F$2:$F$2000,J$4)</f>
        <v>0</v>
      </c>
      <c r="K45" s="46">
        <f>SUMIFS(台帳!$I$2:$I$2000,台帳!$A$2:$A$2000,$A45,台帳!$F$2:$F$2000,K$4)</f>
        <v>0</v>
      </c>
      <c r="L45" s="46">
        <f>SUMIFS(台帳!$I$2:$I$2000,台帳!$A$2:$A$2000,$A45,台帳!$F$2:$F$2000,L$4)</f>
        <v>0</v>
      </c>
      <c r="M45" s="46">
        <f>SUMIFS(台帳!$I$2:$I$2000,台帳!$A$2:$A$2000,$A45,台帳!$F$2:$F$2000,M$4)</f>
        <v>0</v>
      </c>
      <c r="N45" s="46">
        <f>SUMIFS(台帳!$I$2:$I$2000,台帳!$A$2:$A$2000,$A45,台帳!$F$2:$F$2000,N$4)</f>
        <v>0</v>
      </c>
      <c r="O45" s="46">
        <f>SUMIFS(台帳!$I$2:$I$2000,台帳!$A$2:$A$2000,$A45,台帳!$F$2:$F$2000,O$4)</f>
        <v>0</v>
      </c>
      <c r="P45" s="46">
        <f>SUMIFS(台帳!$I$2:$I$2000,台帳!$A$2:$A$2000,$A45,台帳!$F$2:$F$2000,P$4)</f>
        <v>0</v>
      </c>
      <c r="Q45" s="46">
        <f>SUMIFS(台帳!$I$2:$I$2000,台帳!$A$2:$A$2000,$A45,台帳!$F$2:$F$2000,Q$4)</f>
        <v>0</v>
      </c>
      <c r="R45" s="46">
        <f>SUMIFS(台帳!$I$2:$I$2000,台帳!$A$2:$A$2000,$A45,台帳!$F$2:$F$2000,R$4)</f>
        <v>0</v>
      </c>
      <c r="S45" s="46">
        <f>SUMIFS(台帳!$I$2:$I$2000,台帳!$A$2:$A$2000,$A45,台帳!$F$2:$F$2000,S$4)</f>
        <v>0</v>
      </c>
      <c r="T45" s="46">
        <f>SUMIFS(台帳!$I$2:$I$2000,台帳!$A$2:$A$2000,$A45,台帳!$F$2:$F$2000,T$4)</f>
        <v>0</v>
      </c>
      <c r="U45" s="46">
        <f>SUMIFS(台帳!$I$2:$I$2000,台帳!$A$2:$A$2000,$A45,台帳!$F$2:$F$2000,U$4)</f>
        <v>0</v>
      </c>
      <c r="V45" s="46">
        <f>SUMIFS(台帳!$I$2:$I$2000,台帳!$A$2:$A$2000,$A45,台帳!$F$2:$F$2000,V$4)</f>
        <v>0</v>
      </c>
      <c r="W45" s="46">
        <f>SUMIFS(台帳!$I$2:$I$2000,台帳!$A$2:$A$2000,$A45,台帳!$F$2:$F$2000,W$4)</f>
        <v>0</v>
      </c>
      <c r="X45" s="46">
        <f>SUMIFS(台帳!$I$2:$I$2000,台帳!$A$2:$A$2000,$A45,台帳!$F$2:$F$2000,X$4)</f>
        <v>0</v>
      </c>
      <c r="Y45" s="46">
        <f>SUMIFS(台帳!$I$2:$I$2000,台帳!$A$2:$A$2000,$A45,台帳!$F$2:$F$2000,Y$4)</f>
        <v>0</v>
      </c>
      <c r="Z45" s="46">
        <f>SUMIFS(台帳!$I$2:$I$2000,台帳!$A$2:$A$2000,$A45,台帳!$F$2:$F$2000,Z$4)</f>
        <v>0</v>
      </c>
      <c r="AA45" s="46">
        <f>SUMIFS(台帳!$I$2:$I$2000,台帳!$A$2:$A$2000,$A45,台帳!$F$2:$F$2000,AA$4)</f>
        <v>0</v>
      </c>
      <c r="AB45" s="46">
        <f>SUMIFS(台帳!$I$2:$I$2000,台帳!$A$2:$A$2000,$A45,台帳!$F$2:$F$2000,AB$4)</f>
        <v>0</v>
      </c>
      <c r="AC45" s="46">
        <f>SUMIFS(台帳!$I$2:$I$2000,台帳!$A$2:$A$2000,$A45,台帳!$F$2:$F$2000,AC$4)</f>
        <v>0</v>
      </c>
      <c r="AD45" s="46">
        <f>SUMIFS(台帳!$I$2:$I$2000,台帳!$A$2:$A$2000,$A45,台帳!$F$2:$F$2000,AD$4)</f>
        <v>0</v>
      </c>
      <c r="AE45" s="46">
        <f>SUMIFS(台帳!$I$2:$I$2000,台帳!$A$2:$A$2000,$A45,台帳!$F$2:$F$2000,AE$4)</f>
        <v>0</v>
      </c>
      <c r="AF45" s="46">
        <f>SUMIFS(台帳!$I$2:$I$2000,台帳!$A$2:$A$2000,$A45,台帳!$F$2:$F$2000,AF$4)</f>
        <v>0</v>
      </c>
      <c r="AG45" s="46">
        <f>SUMIFS(台帳!$I$2:$I$2000,台帳!$A$2:$A$2000,$A45,台帳!$F$2:$F$2000,AG$4)</f>
        <v>0</v>
      </c>
      <c r="AH45" s="46">
        <f>SUMIFS(台帳!$I$2:$I$2000,台帳!$A$2:$A$2000,$A45,台帳!$F$2:$F$2000,AH$4)</f>
        <v>0</v>
      </c>
      <c r="AI45" s="46">
        <f>SUMIFS(台帳!$I$2:$I$2000,台帳!$A$2:$A$2000,$A45,台帳!$F$2:$F$2000,AI$4)</f>
        <v>0</v>
      </c>
      <c r="AJ45" s="46">
        <f>SUMIFS(台帳!$I$2:$I$2000,台帳!$A$2:$A$2000,$A45,台帳!$F$2:$F$2000,AJ$4)</f>
        <v>0</v>
      </c>
      <c r="AK45" s="46">
        <f>SUMIFS(台帳!$I$2:$I$2000,台帳!$A$2:$A$2000,$A45,台帳!$F$2:$F$2000,AK$4)</f>
        <v>0</v>
      </c>
      <c r="AL45" s="46">
        <f>SUMIFS(台帳!$I$2:$I$2000,台帳!$A$2:$A$2000,$A45,台帳!$F$2:$F$2000,AL$4)</f>
        <v>0</v>
      </c>
      <c r="AM45" s="46">
        <f>SUMIFS(台帳!$I$2:$I$2000,台帳!$A$2:$A$2000,$A45,台帳!$F$2:$F$2000,AM$4)</f>
        <v>0</v>
      </c>
      <c r="AN45" s="46">
        <f>SUMIFS(台帳!$I$2:$I$2000,台帳!$A$2:$A$2000,$A45,台帳!$F$2:$F$2000,AN$4)</f>
        <v>0</v>
      </c>
      <c r="AO45" s="46">
        <f>SUMIFS(台帳!$I$2:$I$2000,台帳!$A$2:$A$2000,$A45,台帳!$F$2:$F$2000,AO$4)</f>
        <v>0</v>
      </c>
      <c r="AP45" s="46">
        <f>SUMIFS(台帳!$I$2:$I$2000,台帳!$A$2:$A$2000,$A45,台帳!$F$2:$F$2000,AP$4)</f>
        <v>0</v>
      </c>
      <c r="AQ45" s="46">
        <f>SUMIFS(台帳!$I$2:$I$2000,台帳!$A$2:$A$2000,$A45,台帳!$F$2:$F$2000,AQ$4)</f>
        <v>0</v>
      </c>
      <c r="AR45" s="46">
        <f>SUM(C45:AQ45)</f>
        <v>0</v>
      </c>
    </row>
    <row r="46" spans="1:44" ht="17.25" x14ac:dyDescent="0.35">
      <c r="A46" s="44">
        <v>46173</v>
      </c>
      <c r="B46" s="45" t="str">
        <f>CHOOSE(WEEKDAY(A46),"日","月","火","水","木","金","土")</f>
        <v>日</v>
      </c>
      <c r="C46" s="46">
        <f>SUMIFS(台帳!$I$2:$I$2000,台帳!$A$2:$A$2000,$A46,台帳!$F$2:$F$2000,C$4)</f>
        <v>0</v>
      </c>
      <c r="D46" s="46">
        <f>SUMIFS(台帳!$I$2:$I$2000,台帳!$A$2:$A$2000,$A46,台帳!$F$2:$F$2000,D$4)</f>
        <v>0</v>
      </c>
      <c r="E46" s="46">
        <f>SUMIFS(台帳!$I$2:$I$2000,台帳!$A$2:$A$2000,$A46,台帳!$F$2:$F$2000,E$4)</f>
        <v>0</v>
      </c>
      <c r="F46" s="46">
        <f>SUMIFS(台帳!$I$2:$I$2000,台帳!$A$2:$A$2000,$A46,台帳!$F$2:$F$2000,F$4)</f>
        <v>0</v>
      </c>
      <c r="G46" s="46">
        <f>SUMIFS(台帳!$I$2:$I$2000,台帳!$A$2:$A$2000,$A46,台帳!$F$2:$F$2000,G$4)</f>
        <v>0</v>
      </c>
      <c r="H46" s="46">
        <f>SUMIFS(台帳!$I$2:$I$2000,台帳!$A$2:$A$2000,$A46,台帳!$F$2:$F$2000,H$4)</f>
        <v>0</v>
      </c>
      <c r="I46" s="46">
        <f>SUMIFS(台帳!$I$2:$I$2000,台帳!$A$2:$A$2000,$A46,台帳!$F$2:$F$2000,I$4)</f>
        <v>0</v>
      </c>
      <c r="J46" s="46">
        <f>SUMIFS(台帳!$I$2:$I$2000,台帳!$A$2:$A$2000,$A46,台帳!$F$2:$F$2000,J$4)</f>
        <v>0</v>
      </c>
      <c r="K46" s="46">
        <f>SUMIFS(台帳!$I$2:$I$2000,台帳!$A$2:$A$2000,$A46,台帳!$F$2:$F$2000,K$4)</f>
        <v>0</v>
      </c>
      <c r="L46" s="46">
        <f>SUMIFS(台帳!$I$2:$I$2000,台帳!$A$2:$A$2000,$A46,台帳!$F$2:$F$2000,L$4)</f>
        <v>0</v>
      </c>
      <c r="M46" s="46">
        <f>SUMIFS(台帳!$I$2:$I$2000,台帳!$A$2:$A$2000,$A46,台帳!$F$2:$F$2000,M$4)</f>
        <v>0</v>
      </c>
      <c r="N46" s="46">
        <f>SUMIFS(台帳!$I$2:$I$2000,台帳!$A$2:$A$2000,$A46,台帳!$F$2:$F$2000,N$4)</f>
        <v>0</v>
      </c>
      <c r="O46" s="46">
        <f>SUMIFS(台帳!$I$2:$I$2000,台帳!$A$2:$A$2000,$A46,台帳!$F$2:$F$2000,O$4)</f>
        <v>0</v>
      </c>
      <c r="P46" s="46">
        <f>SUMIFS(台帳!$I$2:$I$2000,台帳!$A$2:$A$2000,$A46,台帳!$F$2:$F$2000,P$4)</f>
        <v>0</v>
      </c>
      <c r="Q46" s="46">
        <f>SUMIFS(台帳!$I$2:$I$2000,台帳!$A$2:$A$2000,$A46,台帳!$F$2:$F$2000,Q$4)</f>
        <v>0</v>
      </c>
      <c r="R46" s="46">
        <f>SUMIFS(台帳!$I$2:$I$2000,台帳!$A$2:$A$2000,$A46,台帳!$F$2:$F$2000,R$4)</f>
        <v>0</v>
      </c>
      <c r="S46" s="46">
        <f>SUMIFS(台帳!$I$2:$I$2000,台帳!$A$2:$A$2000,$A46,台帳!$F$2:$F$2000,S$4)</f>
        <v>0</v>
      </c>
      <c r="T46" s="46">
        <f>SUMIFS(台帳!$I$2:$I$2000,台帳!$A$2:$A$2000,$A46,台帳!$F$2:$F$2000,T$4)</f>
        <v>0</v>
      </c>
      <c r="U46" s="46">
        <f>SUMIFS(台帳!$I$2:$I$2000,台帳!$A$2:$A$2000,$A46,台帳!$F$2:$F$2000,U$4)</f>
        <v>0</v>
      </c>
      <c r="V46" s="46">
        <f>SUMIFS(台帳!$I$2:$I$2000,台帳!$A$2:$A$2000,$A46,台帳!$F$2:$F$2000,V$4)</f>
        <v>0</v>
      </c>
      <c r="W46" s="46">
        <f>SUMIFS(台帳!$I$2:$I$2000,台帳!$A$2:$A$2000,$A46,台帳!$F$2:$F$2000,W$4)</f>
        <v>0</v>
      </c>
      <c r="X46" s="46">
        <f>SUMIFS(台帳!$I$2:$I$2000,台帳!$A$2:$A$2000,$A46,台帳!$F$2:$F$2000,X$4)</f>
        <v>0</v>
      </c>
      <c r="Y46" s="46">
        <f>SUMIFS(台帳!$I$2:$I$2000,台帳!$A$2:$A$2000,$A46,台帳!$F$2:$F$2000,Y$4)</f>
        <v>0</v>
      </c>
      <c r="Z46" s="46">
        <f>SUMIFS(台帳!$I$2:$I$2000,台帳!$A$2:$A$2000,$A46,台帳!$F$2:$F$2000,Z$4)</f>
        <v>0</v>
      </c>
      <c r="AA46" s="46">
        <f>SUMIFS(台帳!$I$2:$I$2000,台帳!$A$2:$A$2000,$A46,台帳!$F$2:$F$2000,AA$4)</f>
        <v>0</v>
      </c>
      <c r="AB46" s="46">
        <f>SUMIFS(台帳!$I$2:$I$2000,台帳!$A$2:$A$2000,$A46,台帳!$F$2:$F$2000,AB$4)</f>
        <v>0</v>
      </c>
      <c r="AC46" s="46">
        <f>SUMIFS(台帳!$I$2:$I$2000,台帳!$A$2:$A$2000,$A46,台帳!$F$2:$F$2000,AC$4)</f>
        <v>0</v>
      </c>
      <c r="AD46" s="46">
        <f>SUMIFS(台帳!$I$2:$I$2000,台帳!$A$2:$A$2000,$A46,台帳!$F$2:$F$2000,AD$4)</f>
        <v>0</v>
      </c>
      <c r="AE46" s="46">
        <f>SUMIFS(台帳!$I$2:$I$2000,台帳!$A$2:$A$2000,$A46,台帳!$F$2:$F$2000,AE$4)</f>
        <v>0</v>
      </c>
      <c r="AF46" s="46">
        <f>SUMIFS(台帳!$I$2:$I$2000,台帳!$A$2:$A$2000,$A46,台帳!$F$2:$F$2000,AF$4)</f>
        <v>0</v>
      </c>
      <c r="AG46" s="46">
        <f>SUMIFS(台帳!$I$2:$I$2000,台帳!$A$2:$A$2000,$A46,台帳!$F$2:$F$2000,AG$4)</f>
        <v>0</v>
      </c>
      <c r="AH46" s="46">
        <f>SUMIFS(台帳!$I$2:$I$2000,台帳!$A$2:$A$2000,$A46,台帳!$F$2:$F$2000,AH$4)</f>
        <v>0</v>
      </c>
      <c r="AI46" s="46">
        <f>SUMIFS(台帳!$I$2:$I$2000,台帳!$A$2:$A$2000,$A46,台帳!$F$2:$F$2000,AI$4)</f>
        <v>0</v>
      </c>
      <c r="AJ46" s="46">
        <f>SUMIFS(台帳!$I$2:$I$2000,台帳!$A$2:$A$2000,$A46,台帳!$F$2:$F$2000,AJ$4)</f>
        <v>0</v>
      </c>
      <c r="AK46" s="46">
        <f>SUMIFS(台帳!$I$2:$I$2000,台帳!$A$2:$A$2000,$A46,台帳!$F$2:$F$2000,AK$4)</f>
        <v>0</v>
      </c>
      <c r="AL46" s="46">
        <f>SUMIFS(台帳!$I$2:$I$2000,台帳!$A$2:$A$2000,$A46,台帳!$F$2:$F$2000,AL$4)</f>
        <v>0</v>
      </c>
      <c r="AM46" s="46">
        <f>SUMIFS(台帳!$I$2:$I$2000,台帳!$A$2:$A$2000,$A46,台帳!$F$2:$F$2000,AM$4)</f>
        <v>0</v>
      </c>
      <c r="AN46" s="46">
        <f>SUMIFS(台帳!$I$2:$I$2000,台帳!$A$2:$A$2000,$A46,台帳!$F$2:$F$2000,AN$4)</f>
        <v>0</v>
      </c>
      <c r="AO46" s="46">
        <f>SUMIFS(台帳!$I$2:$I$2000,台帳!$A$2:$A$2000,$A46,台帳!$F$2:$F$2000,AO$4)</f>
        <v>0</v>
      </c>
      <c r="AP46" s="46">
        <f>SUMIFS(台帳!$I$2:$I$2000,台帳!$A$2:$A$2000,$A46,台帳!$F$2:$F$2000,AP$4)</f>
        <v>0</v>
      </c>
      <c r="AQ46" s="46">
        <f>SUMIFS(台帳!$I$2:$I$2000,台帳!$A$2:$A$2000,$A46,台帳!$F$2:$F$2000,AQ$4)</f>
        <v>0</v>
      </c>
      <c r="AR46" s="46">
        <f>SUM(C46:AQ46)</f>
        <v>0</v>
      </c>
    </row>
    <row r="47" spans="1:44" ht="17.25" x14ac:dyDescent="0.35">
      <c r="A47" s="44">
        <v>46174</v>
      </c>
      <c r="B47" s="45" t="str">
        <f>CHOOSE(WEEKDAY(A47),"日","月","火","水","木","金","土")</f>
        <v>月</v>
      </c>
      <c r="C47" s="46">
        <f>SUMIFS(台帳!$I$2:$I$2000,台帳!$A$2:$A$2000,$A47,台帳!$F$2:$F$2000,C$4)</f>
        <v>0</v>
      </c>
      <c r="D47" s="46">
        <f>SUMIFS(台帳!$I$2:$I$2000,台帳!$A$2:$A$2000,$A47,台帳!$F$2:$F$2000,D$4)</f>
        <v>0</v>
      </c>
      <c r="E47" s="46">
        <f>SUMIFS(台帳!$I$2:$I$2000,台帳!$A$2:$A$2000,$A47,台帳!$F$2:$F$2000,E$4)</f>
        <v>0</v>
      </c>
      <c r="F47" s="46">
        <f>SUMIFS(台帳!$I$2:$I$2000,台帳!$A$2:$A$2000,$A47,台帳!$F$2:$F$2000,F$4)</f>
        <v>0</v>
      </c>
      <c r="G47" s="46">
        <f>SUMIFS(台帳!$I$2:$I$2000,台帳!$A$2:$A$2000,$A47,台帳!$F$2:$F$2000,G$4)</f>
        <v>0</v>
      </c>
      <c r="H47" s="46">
        <f>SUMIFS(台帳!$I$2:$I$2000,台帳!$A$2:$A$2000,$A47,台帳!$F$2:$F$2000,H$4)</f>
        <v>0</v>
      </c>
      <c r="I47" s="46">
        <f>SUMIFS(台帳!$I$2:$I$2000,台帳!$A$2:$A$2000,$A47,台帳!$F$2:$F$2000,I$4)</f>
        <v>0</v>
      </c>
      <c r="J47" s="46">
        <f>SUMIFS(台帳!$I$2:$I$2000,台帳!$A$2:$A$2000,$A47,台帳!$F$2:$F$2000,J$4)</f>
        <v>0</v>
      </c>
      <c r="K47" s="46">
        <f>SUMIFS(台帳!$I$2:$I$2000,台帳!$A$2:$A$2000,$A47,台帳!$F$2:$F$2000,K$4)</f>
        <v>0</v>
      </c>
      <c r="L47" s="46">
        <f>SUMIFS(台帳!$I$2:$I$2000,台帳!$A$2:$A$2000,$A47,台帳!$F$2:$F$2000,L$4)</f>
        <v>0</v>
      </c>
      <c r="M47" s="46">
        <f>SUMIFS(台帳!$I$2:$I$2000,台帳!$A$2:$A$2000,$A47,台帳!$F$2:$F$2000,M$4)</f>
        <v>0</v>
      </c>
      <c r="N47" s="46">
        <f>SUMIFS(台帳!$I$2:$I$2000,台帳!$A$2:$A$2000,$A47,台帳!$F$2:$F$2000,N$4)</f>
        <v>0</v>
      </c>
      <c r="O47" s="46">
        <f>SUMIFS(台帳!$I$2:$I$2000,台帳!$A$2:$A$2000,$A47,台帳!$F$2:$F$2000,O$4)</f>
        <v>0</v>
      </c>
      <c r="P47" s="46">
        <f>SUMIFS(台帳!$I$2:$I$2000,台帳!$A$2:$A$2000,$A47,台帳!$F$2:$F$2000,P$4)</f>
        <v>0</v>
      </c>
      <c r="Q47" s="46">
        <f>SUMIFS(台帳!$I$2:$I$2000,台帳!$A$2:$A$2000,$A47,台帳!$F$2:$F$2000,Q$4)</f>
        <v>0</v>
      </c>
      <c r="R47" s="46">
        <f>SUMIFS(台帳!$I$2:$I$2000,台帳!$A$2:$A$2000,$A47,台帳!$F$2:$F$2000,R$4)</f>
        <v>0</v>
      </c>
      <c r="S47" s="46">
        <f>SUMIFS(台帳!$I$2:$I$2000,台帳!$A$2:$A$2000,$A47,台帳!$F$2:$F$2000,S$4)</f>
        <v>0</v>
      </c>
      <c r="T47" s="46">
        <f>SUMIFS(台帳!$I$2:$I$2000,台帳!$A$2:$A$2000,$A47,台帳!$F$2:$F$2000,T$4)</f>
        <v>0</v>
      </c>
      <c r="U47" s="46">
        <f>SUMIFS(台帳!$I$2:$I$2000,台帳!$A$2:$A$2000,$A47,台帳!$F$2:$F$2000,U$4)</f>
        <v>0</v>
      </c>
      <c r="V47" s="46">
        <f>SUMIFS(台帳!$I$2:$I$2000,台帳!$A$2:$A$2000,$A47,台帳!$F$2:$F$2000,V$4)</f>
        <v>0</v>
      </c>
      <c r="W47" s="46">
        <f>SUMIFS(台帳!$I$2:$I$2000,台帳!$A$2:$A$2000,$A47,台帳!$F$2:$F$2000,W$4)</f>
        <v>0</v>
      </c>
      <c r="X47" s="46">
        <f>SUMIFS(台帳!$I$2:$I$2000,台帳!$A$2:$A$2000,$A47,台帳!$F$2:$F$2000,X$4)</f>
        <v>0</v>
      </c>
      <c r="Y47" s="46">
        <f>SUMIFS(台帳!$I$2:$I$2000,台帳!$A$2:$A$2000,$A47,台帳!$F$2:$F$2000,Y$4)</f>
        <v>0</v>
      </c>
      <c r="Z47" s="46">
        <f>SUMIFS(台帳!$I$2:$I$2000,台帳!$A$2:$A$2000,$A47,台帳!$F$2:$F$2000,Z$4)</f>
        <v>0</v>
      </c>
      <c r="AA47" s="46">
        <f>SUMIFS(台帳!$I$2:$I$2000,台帳!$A$2:$A$2000,$A47,台帳!$F$2:$F$2000,AA$4)</f>
        <v>0</v>
      </c>
      <c r="AB47" s="46">
        <f>SUMIFS(台帳!$I$2:$I$2000,台帳!$A$2:$A$2000,$A47,台帳!$F$2:$F$2000,AB$4)</f>
        <v>0</v>
      </c>
      <c r="AC47" s="46">
        <f>SUMIFS(台帳!$I$2:$I$2000,台帳!$A$2:$A$2000,$A47,台帳!$F$2:$F$2000,AC$4)</f>
        <v>0</v>
      </c>
      <c r="AD47" s="46">
        <f>SUMIFS(台帳!$I$2:$I$2000,台帳!$A$2:$A$2000,$A47,台帳!$F$2:$F$2000,AD$4)</f>
        <v>0</v>
      </c>
      <c r="AE47" s="46">
        <f>SUMIFS(台帳!$I$2:$I$2000,台帳!$A$2:$A$2000,$A47,台帳!$F$2:$F$2000,AE$4)</f>
        <v>0</v>
      </c>
      <c r="AF47" s="46">
        <f>SUMIFS(台帳!$I$2:$I$2000,台帳!$A$2:$A$2000,$A47,台帳!$F$2:$F$2000,AF$4)</f>
        <v>0</v>
      </c>
      <c r="AG47" s="46">
        <f>SUMIFS(台帳!$I$2:$I$2000,台帳!$A$2:$A$2000,$A47,台帳!$F$2:$F$2000,AG$4)</f>
        <v>0</v>
      </c>
      <c r="AH47" s="46">
        <f>SUMIFS(台帳!$I$2:$I$2000,台帳!$A$2:$A$2000,$A47,台帳!$F$2:$F$2000,AH$4)</f>
        <v>0</v>
      </c>
      <c r="AI47" s="46">
        <f>SUMIFS(台帳!$I$2:$I$2000,台帳!$A$2:$A$2000,$A47,台帳!$F$2:$F$2000,AI$4)</f>
        <v>0</v>
      </c>
      <c r="AJ47" s="46">
        <f>SUMIFS(台帳!$I$2:$I$2000,台帳!$A$2:$A$2000,$A47,台帳!$F$2:$F$2000,AJ$4)</f>
        <v>0</v>
      </c>
      <c r="AK47" s="46">
        <f>SUMIFS(台帳!$I$2:$I$2000,台帳!$A$2:$A$2000,$A47,台帳!$F$2:$F$2000,AK$4)</f>
        <v>0</v>
      </c>
      <c r="AL47" s="46">
        <f>SUMIFS(台帳!$I$2:$I$2000,台帳!$A$2:$A$2000,$A47,台帳!$F$2:$F$2000,AL$4)</f>
        <v>0</v>
      </c>
      <c r="AM47" s="46">
        <f>SUMIFS(台帳!$I$2:$I$2000,台帳!$A$2:$A$2000,$A47,台帳!$F$2:$F$2000,AM$4)</f>
        <v>0</v>
      </c>
      <c r="AN47" s="46">
        <f>SUMIFS(台帳!$I$2:$I$2000,台帳!$A$2:$A$2000,$A47,台帳!$F$2:$F$2000,AN$4)</f>
        <v>0</v>
      </c>
      <c r="AO47" s="46">
        <f>SUMIFS(台帳!$I$2:$I$2000,台帳!$A$2:$A$2000,$A47,台帳!$F$2:$F$2000,AO$4)</f>
        <v>0</v>
      </c>
      <c r="AP47" s="46">
        <f>SUMIFS(台帳!$I$2:$I$2000,台帳!$A$2:$A$2000,$A47,台帳!$F$2:$F$2000,AP$4)</f>
        <v>0</v>
      </c>
      <c r="AQ47" s="46">
        <f>SUMIFS(台帳!$I$2:$I$2000,台帳!$A$2:$A$2000,$A47,台帳!$F$2:$F$2000,AQ$4)</f>
        <v>0</v>
      </c>
      <c r="AR47" s="46">
        <f>SUM(C47:AQ47)</f>
        <v>0</v>
      </c>
    </row>
    <row r="48" spans="1:44" ht="17.25" x14ac:dyDescent="0.35">
      <c r="A48" s="44">
        <v>46175</v>
      </c>
      <c r="B48" s="45" t="str">
        <f>CHOOSE(WEEKDAY(A48),"日","月","火","水","木","金","土")</f>
        <v>火</v>
      </c>
      <c r="C48" s="46">
        <f>SUMIFS(台帳!$I$2:$I$2000,台帳!$A$2:$A$2000,$A48,台帳!$F$2:$F$2000,C$4)</f>
        <v>0</v>
      </c>
      <c r="D48" s="46">
        <f>SUMIFS(台帳!$I$2:$I$2000,台帳!$A$2:$A$2000,$A48,台帳!$F$2:$F$2000,D$4)</f>
        <v>0</v>
      </c>
      <c r="E48" s="46">
        <f>SUMIFS(台帳!$I$2:$I$2000,台帳!$A$2:$A$2000,$A48,台帳!$F$2:$F$2000,E$4)</f>
        <v>0</v>
      </c>
      <c r="F48" s="46">
        <f>SUMIFS(台帳!$I$2:$I$2000,台帳!$A$2:$A$2000,$A48,台帳!$F$2:$F$2000,F$4)</f>
        <v>0</v>
      </c>
      <c r="G48" s="46">
        <f>SUMIFS(台帳!$I$2:$I$2000,台帳!$A$2:$A$2000,$A48,台帳!$F$2:$F$2000,G$4)</f>
        <v>0</v>
      </c>
      <c r="H48" s="46">
        <f>SUMIFS(台帳!$I$2:$I$2000,台帳!$A$2:$A$2000,$A48,台帳!$F$2:$F$2000,H$4)</f>
        <v>0</v>
      </c>
      <c r="I48" s="46">
        <f>SUMIFS(台帳!$I$2:$I$2000,台帳!$A$2:$A$2000,$A48,台帳!$F$2:$F$2000,I$4)</f>
        <v>0</v>
      </c>
      <c r="J48" s="46">
        <f>SUMIFS(台帳!$I$2:$I$2000,台帳!$A$2:$A$2000,$A48,台帳!$F$2:$F$2000,J$4)</f>
        <v>0</v>
      </c>
      <c r="K48" s="46">
        <f>SUMIFS(台帳!$I$2:$I$2000,台帳!$A$2:$A$2000,$A48,台帳!$F$2:$F$2000,K$4)</f>
        <v>0</v>
      </c>
      <c r="L48" s="46">
        <f>SUMIFS(台帳!$I$2:$I$2000,台帳!$A$2:$A$2000,$A48,台帳!$F$2:$F$2000,L$4)</f>
        <v>0</v>
      </c>
      <c r="M48" s="46">
        <f>SUMIFS(台帳!$I$2:$I$2000,台帳!$A$2:$A$2000,$A48,台帳!$F$2:$F$2000,M$4)</f>
        <v>0</v>
      </c>
      <c r="N48" s="46">
        <f>SUMIFS(台帳!$I$2:$I$2000,台帳!$A$2:$A$2000,$A48,台帳!$F$2:$F$2000,N$4)</f>
        <v>0</v>
      </c>
      <c r="O48" s="46">
        <f>SUMIFS(台帳!$I$2:$I$2000,台帳!$A$2:$A$2000,$A48,台帳!$F$2:$F$2000,O$4)</f>
        <v>0</v>
      </c>
      <c r="P48" s="46">
        <f>SUMIFS(台帳!$I$2:$I$2000,台帳!$A$2:$A$2000,$A48,台帳!$F$2:$F$2000,P$4)</f>
        <v>0</v>
      </c>
      <c r="Q48" s="46">
        <f>SUMIFS(台帳!$I$2:$I$2000,台帳!$A$2:$A$2000,$A48,台帳!$F$2:$F$2000,Q$4)</f>
        <v>0</v>
      </c>
      <c r="R48" s="46">
        <f>SUMIFS(台帳!$I$2:$I$2000,台帳!$A$2:$A$2000,$A48,台帳!$F$2:$F$2000,R$4)</f>
        <v>0</v>
      </c>
      <c r="S48" s="46">
        <f>SUMIFS(台帳!$I$2:$I$2000,台帳!$A$2:$A$2000,$A48,台帳!$F$2:$F$2000,S$4)</f>
        <v>0</v>
      </c>
      <c r="T48" s="46">
        <f>SUMIFS(台帳!$I$2:$I$2000,台帳!$A$2:$A$2000,$A48,台帳!$F$2:$F$2000,T$4)</f>
        <v>0</v>
      </c>
      <c r="U48" s="46">
        <f>SUMIFS(台帳!$I$2:$I$2000,台帳!$A$2:$A$2000,$A48,台帳!$F$2:$F$2000,U$4)</f>
        <v>0</v>
      </c>
      <c r="V48" s="46">
        <f>SUMIFS(台帳!$I$2:$I$2000,台帳!$A$2:$A$2000,$A48,台帳!$F$2:$F$2000,V$4)</f>
        <v>0</v>
      </c>
      <c r="W48" s="46">
        <f>SUMIFS(台帳!$I$2:$I$2000,台帳!$A$2:$A$2000,$A48,台帳!$F$2:$F$2000,W$4)</f>
        <v>0</v>
      </c>
      <c r="X48" s="46">
        <f>SUMIFS(台帳!$I$2:$I$2000,台帳!$A$2:$A$2000,$A48,台帳!$F$2:$F$2000,X$4)</f>
        <v>0</v>
      </c>
      <c r="Y48" s="46">
        <f>SUMIFS(台帳!$I$2:$I$2000,台帳!$A$2:$A$2000,$A48,台帳!$F$2:$F$2000,Y$4)</f>
        <v>0</v>
      </c>
      <c r="Z48" s="46">
        <f>SUMIFS(台帳!$I$2:$I$2000,台帳!$A$2:$A$2000,$A48,台帳!$F$2:$F$2000,Z$4)</f>
        <v>0</v>
      </c>
      <c r="AA48" s="46">
        <f>SUMIFS(台帳!$I$2:$I$2000,台帳!$A$2:$A$2000,$A48,台帳!$F$2:$F$2000,AA$4)</f>
        <v>0</v>
      </c>
      <c r="AB48" s="46">
        <f>SUMIFS(台帳!$I$2:$I$2000,台帳!$A$2:$A$2000,$A48,台帳!$F$2:$F$2000,AB$4)</f>
        <v>0</v>
      </c>
      <c r="AC48" s="46">
        <f>SUMIFS(台帳!$I$2:$I$2000,台帳!$A$2:$A$2000,$A48,台帳!$F$2:$F$2000,AC$4)</f>
        <v>0</v>
      </c>
      <c r="AD48" s="46">
        <f>SUMIFS(台帳!$I$2:$I$2000,台帳!$A$2:$A$2000,$A48,台帳!$F$2:$F$2000,AD$4)</f>
        <v>0</v>
      </c>
      <c r="AE48" s="46">
        <f>SUMIFS(台帳!$I$2:$I$2000,台帳!$A$2:$A$2000,$A48,台帳!$F$2:$F$2000,AE$4)</f>
        <v>0</v>
      </c>
      <c r="AF48" s="46">
        <f>SUMIFS(台帳!$I$2:$I$2000,台帳!$A$2:$A$2000,$A48,台帳!$F$2:$F$2000,AF$4)</f>
        <v>0</v>
      </c>
      <c r="AG48" s="46">
        <f>SUMIFS(台帳!$I$2:$I$2000,台帳!$A$2:$A$2000,$A48,台帳!$F$2:$F$2000,AG$4)</f>
        <v>0</v>
      </c>
      <c r="AH48" s="46">
        <f>SUMIFS(台帳!$I$2:$I$2000,台帳!$A$2:$A$2000,$A48,台帳!$F$2:$F$2000,AH$4)</f>
        <v>0</v>
      </c>
      <c r="AI48" s="46">
        <f>SUMIFS(台帳!$I$2:$I$2000,台帳!$A$2:$A$2000,$A48,台帳!$F$2:$F$2000,AI$4)</f>
        <v>0</v>
      </c>
      <c r="AJ48" s="46">
        <f>SUMIFS(台帳!$I$2:$I$2000,台帳!$A$2:$A$2000,$A48,台帳!$F$2:$F$2000,AJ$4)</f>
        <v>0</v>
      </c>
      <c r="AK48" s="46">
        <f>SUMIFS(台帳!$I$2:$I$2000,台帳!$A$2:$A$2000,$A48,台帳!$F$2:$F$2000,AK$4)</f>
        <v>0</v>
      </c>
      <c r="AL48" s="46">
        <f>SUMIFS(台帳!$I$2:$I$2000,台帳!$A$2:$A$2000,$A48,台帳!$F$2:$F$2000,AL$4)</f>
        <v>0</v>
      </c>
      <c r="AM48" s="46">
        <f>SUMIFS(台帳!$I$2:$I$2000,台帳!$A$2:$A$2000,$A48,台帳!$F$2:$F$2000,AM$4)</f>
        <v>0</v>
      </c>
      <c r="AN48" s="46">
        <f>SUMIFS(台帳!$I$2:$I$2000,台帳!$A$2:$A$2000,$A48,台帳!$F$2:$F$2000,AN$4)</f>
        <v>0</v>
      </c>
      <c r="AO48" s="46">
        <f>SUMIFS(台帳!$I$2:$I$2000,台帳!$A$2:$A$2000,$A48,台帳!$F$2:$F$2000,AO$4)</f>
        <v>0</v>
      </c>
      <c r="AP48" s="46">
        <f>SUMIFS(台帳!$I$2:$I$2000,台帳!$A$2:$A$2000,$A48,台帳!$F$2:$F$2000,AP$4)</f>
        <v>0</v>
      </c>
      <c r="AQ48" s="46">
        <f>SUMIFS(台帳!$I$2:$I$2000,台帳!$A$2:$A$2000,$A48,台帳!$F$2:$F$2000,AQ$4)</f>
        <v>0</v>
      </c>
      <c r="AR48" s="46">
        <f>SUM(C48:AQ48)</f>
        <v>0</v>
      </c>
    </row>
    <row r="49" spans="1:44" ht="17.25" x14ac:dyDescent="0.35">
      <c r="A49" s="44">
        <v>46176</v>
      </c>
      <c r="B49" s="45" t="str">
        <f>CHOOSE(WEEKDAY(A49),"日","月","火","水","木","金","土")</f>
        <v>水</v>
      </c>
      <c r="C49" s="46">
        <f>SUMIFS(台帳!$I$2:$I$2000,台帳!$A$2:$A$2000,$A49,台帳!$F$2:$F$2000,C$4)</f>
        <v>0</v>
      </c>
      <c r="D49" s="46">
        <f>SUMIFS(台帳!$I$2:$I$2000,台帳!$A$2:$A$2000,$A49,台帳!$F$2:$F$2000,D$4)</f>
        <v>0</v>
      </c>
      <c r="E49" s="46">
        <f>SUMIFS(台帳!$I$2:$I$2000,台帳!$A$2:$A$2000,$A49,台帳!$F$2:$F$2000,E$4)</f>
        <v>0</v>
      </c>
      <c r="F49" s="46">
        <f>SUMIFS(台帳!$I$2:$I$2000,台帳!$A$2:$A$2000,$A49,台帳!$F$2:$F$2000,F$4)</f>
        <v>0</v>
      </c>
      <c r="G49" s="46">
        <f>SUMIFS(台帳!$I$2:$I$2000,台帳!$A$2:$A$2000,$A49,台帳!$F$2:$F$2000,G$4)</f>
        <v>0</v>
      </c>
      <c r="H49" s="46">
        <f>SUMIFS(台帳!$I$2:$I$2000,台帳!$A$2:$A$2000,$A49,台帳!$F$2:$F$2000,H$4)</f>
        <v>0</v>
      </c>
      <c r="I49" s="46">
        <f>SUMIFS(台帳!$I$2:$I$2000,台帳!$A$2:$A$2000,$A49,台帳!$F$2:$F$2000,I$4)</f>
        <v>0</v>
      </c>
      <c r="J49" s="46">
        <f>SUMIFS(台帳!$I$2:$I$2000,台帳!$A$2:$A$2000,$A49,台帳!$F$2:$F$2000,J$4)</f>
        <v>0</v>
      </c>
      <c r="K49" s="46">
        <f>SUMIFS(台帳!$I$2:$I$2000,台帳!$A$2:$A$2000,$A49,台帳!$F$2:$F$2000,K$4)</f>
        <v>0</v>
      </c>
      <c r="L49" s="46">
        <f>SUMIFS(台帳!$I$2:$I$2000,台帳!$A$2:$A$2000,$A49,台帳!$F$2:$F$2000,L$4)</f>
        <v>0</v>
      </c>
      <c r="M49" s="46">
        <f>SUMIFS(台帳!$I$2:$I$2000,台帳!$A$2:$A$2000,$A49,台帳!$F$2:$F$2000,M$4)</f>
        <v>0</v>
      </c>
      <c r="N49" s="46">
        <f>SUMIFS(台帳!$I$2:$I$2000,台帳!$A$2:$A$2000,$A49,台帳!$F$2:$F$2000,N$4)</f>
        <v>0</v>
      </c>
      <c r="O49" s="46">
        <f>SUMIFS(台帳!$I$2:$I$2000,台帳!$A$2:$A$2000,$A49,台帳!$F$2:$F$2000,O$4)</f>
        <v>0</v>
      </c>
      <c r="P49" s="46">
        <f>SUMIFS(台帳!$I$2:$I$2000,台帳!$A$2:$A$2000,$A49,台帳!$F$2:$F$2000,P$4)</f>
        <v>0</v>
      </c>
      <c r="Q49" s="46">
        <f>SUMIFS(台帳!$I$2:$I$2000,台帳!$A$2:$A$2000,$A49,台帳!$F$2:$F$2000,Q$4)</f>
        <v>0</v>
      </c>
      <c r="R49" s="46">
        <f>SUMIFS(台帳!$I$2:$I$2000,台帳!$A$2:$A$2000,$A49,台帳!$F$2:$F$2000,R$4)</f>
        <v>0</v>
      </c>
      <c r="S49" s="46">
        <f>SUMIFS(台帳!$I$2:$I$2000,台帳!$A$2:$A$2000,$A49,台帳!$F$2:$F$2000,S$4)</f>
        <v>0</v>
      </c>
      <c r="T49" s="46">
        <f>SUMIFS(台帳!$I$2:$I$2000,台帳!$A$2:$A$2000,$A49,台帳!$F$2:$F$2000,T$4)</f>
        <v>0</v>
      </c>
      <c r="U49" s="46">
        <f>SUMIFS(台帳!$I$2:$I$2000,台帳!$A$2:$A$2000,$A49,台帳!$F$2:$F$2000,U$4)</f>
        <v>0</v>
      </c>
      <c r="V49" s="46">
        <f>SUMIFS(台帳!$I$2:$I$2000,台帳!$A$2:$A$2000,$A49,台帳!$F$2:$F$2000,V$4)</f>
        <v>0</v>
      </c>
      <c r="W49" s="46">
        <f>SUMIFS(台帳!$I$2:$I$2000,台帳!$A$2:$A$2000,$A49,台帳!$F$2:$F$2000,W$4)</f>
        <v>0</v>
      </c>
      <c r="X49" s="46">
        <f>SUMIFS(台帳!$I$2:$I$2000,台帳!$A$2:$A$2000,$A49,台帳!$F$2:$F$2000,X$4)</f>
        <v>0</v>
      </c>
      <c r="Y49" s="46">
        <f>SUMIFS(台帳!$I$2:$I$2000,台帳!$A$2:$A$2000,$A49,台帳!$F$2:$F$2000,Y$4)</f>
        <v>0</v>
      </c>
      <c r="Z49" s="46">
        <f>SUMIFS(台帳!$I$2:$I$2000,台帳!$A$2:$A$2000,$A49,台帳!$F$2:$F$2000,Z$4)</f>
        <v>0</v>
      </c>
      <c r="AA49" s="46">
        <f>SUMIFS(台帳!$I$2:$I$2000,台帳!$A$2:$A$2000,$A49,台帳!$F$2:$F$2000,AA$4)</f>
        <v>0</v>
      </c>
      <c r="AB49" s="46">
        <f>SUMIFS(台帳!$I$2:$I$2000,台帳!$A$2:$A$2000,$A49,台帳!$F$2:$F$2000,AB$4)</f>
        <v>0</v>
      </c>
      <c r="AC49" s="46">
        <f>SUMIFS(台帳!$I$2:$I$2000,台帳!$A$2:$A$2000,$A49,台帳!$F$2:$F$2000,AC$4)</f>
        <v>0</v>
      </c>
      <c r="AD49" s="46">
        <f>SUMIFS(台帳!$I$2:$I$2000,台帳!$A$2:$A$2000,$A49,台帳!$F$2:$F$2000,AD$4)</f>
        <v>0</v>
      </c>
      <c r="AE49" s="46">
        <f>SUMIFS(台帳!$I$2:$I$2000,台帳!$A$2:$A$2000,$A49,台帳!$F$2:$F$2000,AE$4)</f>
        <v>0</v>
      </c>
      <c r="AF49" s="46">
        <f>SUMIFS(台帳!$I$2:$I$2000,台帳!$A$2:$A$2000,$A49,台帳!$F$2:$F$2000,AF$4)</f>
        <v>0</v>
      </c>
      <c r="AG49" s="46">
        <f>SUMIFS(台帳!$I$2:$I$2000,台帳!$A$2:$A$2000,$A49,台帳!$F$2:$F$2000,AG$4)</f>
        <v>0</v>
      </c>
      <c r="AH49" s="46">
        <f>SUMIFS(台帳!$I$2:$I$2000,台帳!$A$2:$A$2000,$A49,台帳!$F$2:$F$2000,AH$4)</f>
        <v>0</v>
      </c>
      <c r="AI49" s="46">
        <f>SUMIFS(台帳!$I$2:$I$2000,台帳!$A$2:$A$2000,$A49,台帳!$F$2:$F$2000,AI$4)</f>
        <v>0</v>
      </c>
      <c r="AJ49" s="46">
        <f>SUMIFS(台帳!$I$2:$I$2000,台帳!$A$2:$A$2000,$A49,台帳!$F$2:$F$2000,AJ$4)</f>
        <v>0</v>
      </c>
      <c r="AK49" s="46">
        <f>SUMIFS(台帳!$I$2:$I$2000,台帳!$A$2:$A$2000,$A49,台帳!$F$2:$F$2000,AK$4)</f>
        <v>0</v>
      </c>
      <c r="AL49" s="46">
        <f>SUMIFS(台帳!$I$2:$I$2000,台帳!$A$2:$A$2000,$A49,台帳!$F$2:$F$2000,AL$4)</f>
        <v>0</v>
      </c>
      <c r="AM49" s="46">
        <f>SUMIFS(台帳!$I$2:$I$2000,台帳!$A$2:$A$2000,$A49,台帳!$F$2:$F$2000,AM$4)</f>
        <v>0</v>
      </c>
      <c r="AN49" s="46">
        <f>SUMIFS(台帳!$I$2:$I$2000,台帳!$A$2:$A$2000,$A49,台帳!$F$2:$F$2000,AN$4)</f>
        <v>0</v>
      </c>
      <c r="AO49" s="46">
        <f>SUMIFS(台帳!$I$2:$I$2000,台帳!$A$2:$A$2000,$A49,台帳!$F$2:$F$2000,AO$4)</f>
        <v>0</v>
      </c>
      <c r="AP49" s="46">
        <f>SUMIFS(台帳!$I$2:$I$2000,台帳!$A$2:$A$2000,$A49,台帳!$F$2:$F$2000,AP$4)</f>
        <v>0</v>
      </c>
      <c r="AQ49" s="46">
        <f>SUMIFS(台帳!$I$2:$I$2000,台帳!$A$2:$A$2000,$A49,台帳!$F$2:$F$2000,AQ$4)</f>
        <v>0</v>
      </c>
      <c r="AR49" s="46">
        <f>SUM(C49:AQ49)</f>
        <v>0</v>
      </c>
    </row>
    <row r="50" spans="1:44" ht="17.25" x14ac:dyDescent="0.35">
      <c r="A50" s="44">
        <v>46177</v>
      </c>
      <c r="B50" s="45" t="str">
        <f>CHOOSE(WEEKDAY(A50),"日","月","火","水","木","金","土")</f>
        <v>木</v>
      </c>
      <c r="C50" s="46">
        <f>SUMIFS(台帳!$I$2:$I$2000,台帳!$A$2:$A$2000,$A50,台帳!$F$2:$F$2000,C$4)</f>
        <v>0</v>
      </c>
      <c r="D50" s="46">
        <f>SUMIFS(台帳!$I$2:$I$2000,台帳!$A$2:$A$2000,$A50,台帳!$F$2:$F$2000,D$4)</f>
        <v>0</v>
      </c>
      <c r="E50" s="46">
        <f>SUMIFS(台帳!$I$2:$I$2000,台帳!$A$2:$A$2000,$A50,台帳!$F$2:$F$2000,E$4)</f>
        <v>0</v>
      </c>
      <c r="F50" s="46">
        <f>SUMIFS(台帳!$I$2:$I$2000,台帳!$A$2:$A$2000,$A50,台帳!$F$2:$F$2000,F$4)</f>
        <v>0</v>
      </c>
      <c r="G50" s="46">
        <f>SUMIFS(台帳!$I$2:$I$2000,台帳!$A$2:$A$2000,$A50,台帳!$F$2:$F$2000,G$4)</f>
        <v>0</v>
      </c>
      <c r="H50" s="46">
        <f>SUMIFS(台帳!$I$2:$I$2000,台帳!$A$2:$A$2000,$A50,台帳!$F$2:$F$2000,H$4)</f>
        <v>0</v>
      </c>
      <c r="I50" s="46">
        <f>SUMIFS(台帳!$I$2:$I$2000,台帳!$A$2:$A$2000,$A50,台帳!$F$2:$F$2000,I$4)</f>
        <v>0</v>
      </c>
      <c r="J50" s="46">
        <f>SUMIFS(台帳!$I$2:$I$2000,台帳!$A$2:$A$2000,$A50,台帳!$F$2:$F$2000,J$4)</f>
        <v>0</v>
      </c>
      <c r="K50" s="46">
        <f>SUMIFS(台帳!$I$2:$I$2000,台帳!$A$2:$A$2000,$A50,台帳!$F$2:$F$2000,K$4)</f>
        <v>0</v>
      </c>
      <c r="L50" s="46">
        <f>SUMIFS(台帳!$I$2:$I$2000,台帳!$A$2:$A$2000,$A50,台帳!$F$2:$F$2000,L$4)</f>
        <v>0</v>
      </c>
      <c r="M50" s="46">
        <f>SUMIFS(台帳!$I$2:$I$2000,台帳!$A$2:$A$2000,$A50,台帳!$F$2:$F$2000,M$4)</f>
        <v>0</v>
      </c>
      <c r="N50" s="46">
        <f>SUMIFS(台帳!$I$2:$I$2000,台帳!$A$2:$A$2000,$A50,台帳!$F$2:$F$2000,N$4)</f>
        <v>0</v>
      </c>
      <c r="O50" s="46">
        <f>SUMIFS(台帳!$I$2:$I$2000,台帳!$A$2:$A$2000,$A50,台帳!$F$2:$F$2000,O$4)</f>
        <v>0</v>
      </c>
      <c r="P50" s="46">
        <f>SUMIFS(台帳!$I$2:$I$2000,台帳!$A$2:$A$2000,$A50,台帳!$F$2:$F$2000,P$4)</f>
        <v>0</v>
      </c>
      <c r="Q50" s="46">
        <f>SUMIFS(台帳!$I$2:$I$2000,台帳!$A$2:$A$2000,$A50,台帳!$F$2:$F$2000,Q$4)</f>
        <v>0</v>
      </c>
      <c r="R50" s="46">
        <f>SUMIFS(台帳!$I$2:$I$2000,台帳!$A$2:$A$2000,$A50,台帳!$F$2:$F$2000,R$4)</f>
        <v>0</v>
      </c>
      <c r="S50" s="46">
        <f>SUMIFS(台帳!$I$2:$I$2000,台帳!$A$2:$A$2000,$A50,台帳!$F$2:$F$2000,S$4)</f>
        <v>0</v>
      </c>
      <c r="T50" s="46">
        <f>SUMIFS(台帳!$I$2:$I$2000,台帳!$A$2:$A$2000,$A50,台帳!$F$2:$F$2000,T$4)</f>
        <v>0</v>
      </c>
      <c r="U50" s="46">
        <f>SUMIFS(台帳!$I$2:$I$2000,台帳!$A$2:$A$2000,$A50,台帳!$F$2:$F$2000,U$4)</f>
        <v>0</v>
      </c>
      <c r="V50" s="46">
        <f>SUMIFS(台帳!$I$2:$I$2000,台帳!$A$2:$A$2000,$A50,台帳!$F$2:$F$2000,V$4)</f>
        <v>0</v>
      </c>
      <c r="W50" s="46">
        <f>SUMIFS(台帳!$I$2:$I$2000,台帳!$A$2:$A$2000,$A50,台帳!$F$2:$F$2000,W$4)</f>
        <v>0</v>
      </c>
      <c r="X50" s="46">
        <f>SUMIFS(台帳!$I$2:$I$2000,台帳!$A$2:$A$2000,$A50,台帳!$F$2:$F$2000,X$4)</f>
        <v>0</v>
      </c>
      <c r="Y50" s="46">
        <f>SUMIFS(台帳!$I$2:$I$2000,台帳!$A$2:$A$2000,$A50,台帳!$F$2:$F$2000,Y$4)</f>
        <v>0</v>
      </c>
      <c r="Z50" s="46">
        <f>SUMIFS(台帳!$I$2:$I$2000,台帳!$A$2:$A$2000,$A50,台帳!$F$2:$F$2000,Z$4)</f>
        <v>0</v>
      </c>
      <c r="AA50" s="46">
        <f>SUMIFS(台帳!$I$2:$I$2000,台帳!$A$2:$A$2000,$A50,台帳!$F$2:$F$2000,AA$4)</f>
        <v>0</v>
      </c>
      <c r="AB50" s="46">
        <f>SUMIFS(台帳!$I$2:$I$2000,台帳!$A$2:$A$2000,$A50,台帳!$F$2:$F$2000,AB$4)</f>
        <v>0</v>
      </c>
      <c r="AC50" s="46">
        <f>SUMIFS(台帳!$I$2:$I$2000,台帳!$A$2:$A$2000,$A50,台帳!$F$2:$F$2000,AC$4)</f>
        <v>0</v>
      </c>
      <c r="AD50" s="46">
        <f>SUMIFS(台帳!$I$2:$I$2000,台帳!$A$2:$A$2000,$A50,台帳!$F$2:$F$2000,AD$4)</f>
        <v>0</v>
      </c>
      <c r="AE50" s="46">
        <f>SUMIFS(台帳!$I$2:$I$2000,台帳!$A$2:$A$2000,$A50,台帳!$F$2:$F$2000,AE$4)</f>
        <v>0</v>
      </c>
      <c r="AF50" s="46">
        <f>SUMIFS(台帳!$I$2:$I$2000,台帳!$A$2:$A$2000,$A50,台帳!$F$2:$F$2000,AF$4)</f>
        <v>0</v>
      </c>
      <c r="AG50" s="46">
        <f>SUMIFS(台帳!$I$2:$I$2000,台帳!$A$2:$A$2000,$A50,台帳!$F$2:$F$2000,AG$4)</f>
        <v>0</v>
      </c>
      <c r="AH50" s="46">
        <f>SUMIFS(台帳!$I$2:$I$2000,台帳!$A$2:$A$2000,$A50,台帳!$F$2:$F$2000,AH$4)</f>
        <v>0</v>
      </c>
      <c r="AI50" s="46">
        <f>SUMIFS(台帳!$I$2:$I$2000,台帳!$A$2:$A$2000,$A50,台帳!$F$2:$F$2000,AI$4)</f>
        <v>0</v>
      </c>
      <c r="AJ50" s="46">
        <f>SUMIFS(台帳!$I$2:$I$2000,台帳!$A$2:$A$2000,$A50,台帳!$F$2:$F$2000,AJ$4)</f>
        <v>0</v>
      </c>
      <c r="AK50" s="46">
        <f>SUMIFS(台帳!$I$2:$I$2000,台帳!$A$2:$A$2000,$A50,台帳!$F$2:$F$2000,AK$4)</f>
        <v>0</v>
      </c>
      <c r="AL50" s="46">
        <f>SUMIFS(台帳!$I$2:$I$2000,台帳!$A$2:$A$2000,$A50,台帳!$F$2:$F$2000,AL$4)</f>
        <v>0</v>
      </c>
      <c r="AM50" s="46">
        <f>SUMIFS(台帳!$I$2:$I$2000,台帳!$A$2:$A$2000,$A50,台帳!$F$2:$F$2000,AM$4)</f>
        <v>0</v>
      </c>
      <c r="AN50" s="46">
        <f>SUMIFS(台帳!$I$2:$I$2000,台帳!$A$2:$A$2000,$A50,台帳!$F$2:$F$2000,AN$4)</f>
        <v>0</v>
      </c>
      <c r="AO50" s="46">
        <f>SUMIFS(台帳!$I$2:$I$2000,台帳!$A$2:$A$2000,$A50,台帳!$F$2:$F$2000,AO$4)</f>
        <v>0</v>
      </c>
      <c r="AP50" s="46">
        <f>SUMIFS(台帳!$I$2:$I$2000,台帳!$A$2:$A$2000,$A50,台帳!$F$2:$F$2000,AP$4)</f>
        <v>0</v>
      </c>
      <c r="AQ50" s="46">
        <f>SUMIFS(台帳!$I$2:$I$2000,台帳!$A$2:$A$2000,$A50,台帳!$F$2:$F$2000,AQ$4)</f>
        <v>0</v>
      </c>
      <c r="AR50" s="46">
        <f>SUM(C50:AQ50)</f>
        <v>0</v>
      </c>
    </row>
    <row r="51" spans="1:44" ht="17.25" x14ac:dyDescent="0.35">
      <c r="A51" s="44">
        <v>46178</v>
      </c>
      <c r="B51" s="45" t="str">
        <f>CHOOSE(WEEKDAY(A51),"日","月","火","水","木","金","土")</f>
        <v>金</v>
      </c>
      <c r="C51" s="46">
        <f>SUMIFS(台帳!$I$2:$I$2000,台帳!$A$2:$A$2000,$A51,台帳!$F$2:$F$2000,C$4)</f>
        <v>0</v>
      </c>
      <c r="D51" s="46">
        <f>SUMIFS(台帳!$I$2:$I$2000,台帳!$A$2:$A$2000,$A51,台帳!$F$2:$F$2000,D$4)</f>
        <v>0</v>
      </c>
      <c r="E51" s="46">
        <f>SUMIFS(台帳!$I$2:$I$2000,台帳!$A$2:$A$2000,$A51,台帳!$F$2:$F$2000,E$4)</f>
        <v>0</v>
      </c>
      <c r="F51" s="46">
        <f>SUMIFS(台帳!$I$2:$I$2000,台帳!$A$2:$A$2000,$A51,台帳!$F$2:$F$2000,F$4)</f>
        <v>0</v>
      </c>
      <c r="G51" s="46">
        <f>SUMIFS(台帳!$I$2:$I$2000,台帳!$A$2:$A$2000,$A51,台帳!$F$2:$F$2000,G$4)</f>
        <v>0</v>
      </c>
      <c r="H51" s="46">
        <f>SUMIFS(台帳!$I$2:$I$2000,台帳!$A$2:$A$2000,$A51,台帳!$F$2:$F$2000,H$4)</f>
        <v>0</v>
      </c>
      <c r="I51" s="46">
        <f>SUMIFS(台帳!$I$2:$I$2000,台帳!$A$2:$A$2000,$A51,台帳!$F$2:$F$2000,I$4)</f>
        <v>0</v>
      </c>
      <c r="J51" s="46">
        <f>SUMIFS(台帳!$I$2:$I$2000,台帳!$A$2:$A$2000,$A51,台帳!$F$2:$F$2000,J$4)</f>
        <v>0</v>
      </c>
      <c r="K51" s="46">
        <f>SUMIFS(台帳!$I$2:$I$2000,台帳!$A$2:$A$2000,$A51,台帳!$F$2:$F$2000,K$4)</f>
        <v>0</v>
      </c>
      <c r="L51" s="46">
        <f>SUMIFS(台帳!$I$2:$I$2000,台帳!$A$2:$A$2000,$A51,台帳!$F$2:$F$2000,L$4)</f>
        <v>0</v>
      </c>
      <c r="M51" s="46">
        <f>SUMIFS(台帳!$I$2:$I$2000,台帳!$A$2:$A$2000,$A51,台帳!$F$2:$F$2000,M$4)</f>
        <v>0</v>
      </c>
      <c r="N51" s="46">
        <f>SUMIFS(台帳!$I$2:$I$2000,台帳!$A$2:$A$2000,$A51,台帳!$F$2:$F$2000,N$4)</f>
        <v>0</v>
      </c>
      <c r="O51" s="46">
        <f>SUMIFS(台帳!$I$2:$I$2000,台帳!$A$2:$A$2000,$A51,台帳!$F$2:$F$2000,O$4)</f>
        <v>0</v>
      </c>
      <c r="P51" s="46">
        <f>SUMIFS(台帳!$I$2:$I$2000,台帳!$A$2:$A$2000,$A51,台帳!$F$2:$F$2000,P$4)</f>
        <v>0</v>
      </c>
      <c r="Q51" s="46">
        <f>SUMIFS(台帳!$I$2:$I$2000,台帳!$A$2:$A$2000,$A51,台帳!$F$2:$F$2000,Q$4)</f>
        <v>0</v>
      </c>
      <c r="R51" s="46">
        <f>SUMIFS(台帳!$I$2:$I$2000,台帳!$A$2:$A$2000,$A51,台帳!$F$2:$F$2000,R$4)</f>
        <v>0</v>
      </c>
      <c r="S51" s="46">
        <f>SUMIFS(台帳!$I$2:$I$2000,台帳!$A$2:$A$2000,$A51,台帳!$F$2:$F$2000,S$4)</f>
        <v>0</v>
      </c>
      <c r="T51" s="46">
        <f>SUMIFS(台帳!$I$2:$I$2000,台帳!$A$2:$A$2000,$A51,台帳!$F$2:$F$2000,T$4)</f>
        <v>0</v>
      </c>
      <c r="U51" s="46">
        <f>SUMIFS(台帳!$I$2:$I$2000,台帳!$A$2:$A$2000,$A51,台帳!$F$2:$F$2000,U$4)</f>
        <v>0</v>
      </c>
      <c r="V51" s="46">
        <f>SUMIFS(台帳!$I$2:$I$2000,台帳!$A$2:$A$2000,$A51,台帳!$F$2:$F$2000,V$4)</f>
        <v>0</v>
      </c>
      <c r="W51" s="46">
        <f>SUMIFS(台帳!$I$2:$I$2000,台帳!$A$2:$A$2000,$A51,台帳!$F$2:$F$2000,W$4)</f>
        <v>0</v>
      </c>
      <c r="X51" s="46">
        <f>SUMIFS(台帳!$I$2:$I$2000,台帳!$A$2:$A$2000,$A51,台帳!$F$2:$F$2000,X$4)</f>
        <v>0</v>
      </c>
      <c r="Y51" s="46">
        <f>SUMIFS(台帳!$I$2:$I$2000,台帳!$A$2:$A$2000,$A51,台帳!$F$2:$F$2000,Y$4)</f>
        <v>0</v>
      </c>
      <c r="Z51" s="46">
        <f>SUMIFS(台帳!$I$2:$I$2000,台帳!$A$2:$A$2000,$A51,台帳!$F$2:$F$2000,Z$4)</f>
        <v>0</v>
      </c>
      <c r="AA51" s="46">
        <f>SUMIFS(台帳!$I$2:$I$2000,台帳!$A$2:$A$2000,$A51,台帳!$F$2:$F$2000,AA$4)</f>
        <v>0</v>
      </c>
      <c r="AB51" s="46">
        <f>SUMIFS(台帳!$I$2:$I$2000,台帳!$A$2:$A$2000,$A51,台帳!$F$2:$F$2000,AB$4)</f>
        <v>0</v>
      </c>
      <c r="AC51" s="46">
        <f>SUMIFS(台帳!$I$2:$I$2000,台帳!$A$2:$A$2000,$A51,台帳!$F$2:$F$2000,AC$4)</f>
        <v>0</v>
      </c>
      <c r="AD51" s="46">
        <f>SUMIFS(台帳!$I$2:$I$2000,台帳!$A$2:$A$2000,$A51,台帳!$F$2:$F$2000,AD$4)</f>
        <v>0</v>
      </c>
      <c r="AE51" s="46">
        <f>SUMIFS(台帳!$I$2:$I$2000,台帳!$A$2:$A$2000,$A51,台帳!$F$2:$F$2000,AE$4)</f>
        <v>0</v>
      </c>
      <c r="AF51" s="46">
        <f>SUMIFS(台帳!$I$2:$I$2000,台帳!$A$2:$A$2000,$A51,台帳!$F$2:$F$2000,AF$4)</f>
        <v>0</v>
      </c>
      <c r="AG51" s="46">
        <f>SUMIFS(台帳!$I$2:$I$2000,台帳!$A$2:$A$2000,$A51,台帳!$F$2:$F$2000,AG$4)</f>
        <v>0</v>
      </c>
      <c r="AH51" s="46">
        <f>SUMIFS(台帳!$I$2:$I$2000,台帳!$A$2:$A$2000,$A51,台帳!$F$2:$F$2000,AH$4)</f>
        <v>0</v>
      </c>
      <c r="AI51" s="46">
        <f>SUMIFS(台帳!$I$2:$I$2000,台帳!$A$2:$A$2000,$A51,台帳!$F$2:$F$2000,AI$4)</f>
        <v>0</v>
      </c>
      <c r="AJ51" s="46">
        <f>SUMIFS(台帳!$I$2:$I$2000,台帳!$A$2:$A$2000,$A51,台帳!$F$2:$F$2000,AJ$4)</f>
        <v>0</v>
      </c>
      <c r="AK51" s="46">
        <f>SUMIFS(台帳!$I$2:$I$2000,台帳!$A$2:$A$2000,$A51,台帳!$F$2:$F$2000,AK$4)</f>
        <v>0</v>
      </c>
      <c r="AL51" s="46">
        <f>SUMIFS(台帳!$I$2:$I$2000,台帳!$A$2:$A$2000,$A51,台帳!$F$2:$F$2000,AL$4)</f>
        <v>0</v>
      </c>
      <c r="AM51" s="46">
        <f>SUMIFS(台帳!$I$2:$I$2000,台帳!$A$2:$A$2000,$A51,台帳!$F$2:$F$2000,AM$4)</f>
        <v>0</v>
      </c>
      <c r="AN51" s="46">
        <f>SUMIFS(台帳!$I$2:$I$2000,台帳!$A$2:$A$2000,$A51,台帳!$F$2:$F$2000,AN$4)</f>
        <v>0</v>
      </c>
      <c r="AO51" s="46">
        <f>SUMIFS(台帳!$I$2:$I$2000,台帳!$A$2:$A$2000,$A51,台帳!$F$2:$F$2000,AO$4)</f>
        <v>0</v>
      </c>
      <c r="AP51" s="46">
        <f>SUMIFS(台帳!$I$2:$I$2000,台帳!$A$2:$A$2000,$A51,台帳!$F$2:$F$2000,AP$4)</f>
        <v>0</v>
      </c>
      <c r="AQ51" s="46">
        <f>SUMIFS(台帳!$I$2:$I$2000,台帳!$A$2:$A$2000,$A51,台帳!$F$2:$F$2000,AQ$4)</f>
        <v>0</v>
      </c>
      <c r="AR51" s="46">
        <f>SUM(C51:AQ51)</f>
        <v>0</v>
      </c>
    </row>
    <row r="52" spans="1:44" ht="17.25" x14ac:dyDescent="0.35">
      <c r="A52" s="44">
        <v>46179</v>
      </c>
      <c r="B52" s="45" t="str">
        <f>CHOOSE(WEEKDAY(A52),"日","月","火","水","木","金","土")</f>
        <v>土</v>
      </c>
      <c r="C52" s="46">
        <f>SUMIFS(台帳!$I$2:$I$2000,台帳!$A$2:$A$2000,$A52,台帳!$F$2:$F$2000,C$4)</f>
        <v>0</v>
      </c>
      <c r="D52" s="46">
        <f>SUMIFS(台帳!$I$2:$I$2000,台帳!$A$2:$A$2000,$A52,台帳!$F$2:$F$2000,D$4)</f>
        <v>0</v>
      </c>
      <c r="E52" s="46">
        <f>SUMIFS(台帳!$I$2:$I$2000,台帳!$A$2:$A$2000,$A52,台帳!$F$2:$F$2000,E$4)</f>
        <v>0</v>
      </c>
      <c r="F52" s="46">
        <f>SUMIFS(台帳!$I$2:$I$2000,台帳!$A$2:$A$2000,$A52,台帳!$F$2:$F$2000,F$4)</f>
        <v>0</v>
      </c>
      <c r="G52" s="46">
        <f>SUMIFS(台帳!$I$2:$I$2000,台帳!$A$2:$A$2000,$A52,台帳!$F$2:$F$2000,G$4)</f>
        <v>0</v>
      </c>
      <c r="H52" s="46">
        <f>SUMIFS(台帳!$I$2:$I$2000,台帳!$A$2:$A$2000,$A52,台帳!$F$2:$F$2000,H$4)</f>
        <v>0</v>
      </c>
      <c r="I52" s="46">
        <f>SUMIFS(台帳!$I$2:$I$2000,台帳!$A$2:$A$2000,$A52,台帳!$F$2:$F$2000,I$4)</f>
        <v>0</v>
      </c>
      <c r="J52" s="46">
        <f>SUMIFS(台帳!$I$2:$I$2000,台帳!$A$2:$A$2000,$A52,台帳!$F$2:$F$2000,J$4)</f>
        <v>0</v>
      </c>
      <c r="K52" s="46">
        <f>SUMIFS(台帳!$I$2:$I$2000,台帳!$A$2:$A$2000,$A52,台帳!$F$2:$F$2000,K$4)</f>
        <v>0</v>
      </c>
      <c r="L52" s="46">
        <f>SUMIFS(台帳!$I$2:$I$2000,台帳!$A$2:$A$2000,$A52,台帳!$F$2:$F$2000,L$4)</f>
        <v>0</v>
      </c>
      <c r="M52" s="46">
        <f>SUMIFS(台帳!$I$2:$I$2000,台帳!$A$2:$A$2000,$A52,台帳!$F$2:$F$2000,M$4)</f>
        <v>0</v>
      </c>
      <c r="N52" s="46">
        <f>SUMIFS(台帳!$I$2:$I$2000,台帳!$A$2:$A$2000,$A52,台帳!$F$2:$F$2000,N$4)</f>
        <v>0</v>
      </c>
      <c r="O52" s="46">
        <f>SUMIFS(台帳!$I$2:$I$2000,台帳!$A$2:$A$2000,$A52,台帳!$F$2:$F$2000,O$4)</f>
        <v>0</v>
      </c>
      <c r="P52" s="46">
        <f>SUMIFS(台帳!$I$2:$I$2000,台帳!$A$2:$A$2000,$A52,台帳!$F$2:$F$2000,P$4)</f>
        <v>0</v>
      </c>
      <c r="Q52" s="46">
        <f>SUMIFS(台帳!$I$2:$I$2000,台帳!$A$2:$A$2000,$A52,台帳!$F$2:$F$2000,Q$4)</f>
        <v>0</v>
      </c>
      <c r="R52" s="46">
        <f>SUMIFS(台帳!$I$2:$I$2000,台帳!$A$2:$A$2000,$A52,台帳!$F$2:$F$2000,R$4)</f>
        <v>0</v>
      </c>
      <c r="S52" s="46">
        <f>SUMIFS(台帳!$I$2:$I$2000,台帳!$A$2:$A$2000,$A52,台帳!$F$2:$F$2000,S$4)</f>
        <v>0</v>
      </c>
      <c r="T52" s="46">
        <f>SUMIFS(台帳!$I$2:$I$2000,台帳!$A$2:$A$2000,$A52,台帳!$F$2:$F$2000,T$4)</f>
        <v>0</v>
      </c>
      <c r="U52" s="46">
        <f>SUMIFS(台帳!$I$2:$I$2000,台帳!$A$2:$A$2000,$A52,台帳!$F$2:$F$2000,U$4)</f>
        <v>0</v>
      </c>
      <c r="V52" s="46">
        <f>SUMIFS(台帳!$I$2:$I$2000,台帳!$A$2:$A$2000,$A52,台帳!$F$2:$F$2000,V$4)</f>
        <v>0</v>
      </c>
      <c r="W52" s="46">
        <f>SUMIFS(台帳!$I$2:$I$2000,台帳!$A$2:$A$2000,$A52,台帳!$F$2:$F$2000,W$4)</f>
        <v>0</v>
      </c>
      <c r="X52" s="46">
        <f>SUMIFS(台帳!$I$2:$I$2000,台帳!$A$2:$A$2000,$A52,台帳!$F$2:$F$2000,X$4)</f>
        <v>0</v>
      </c>
      <c r="Y52" s="46">
        <f>SUMIFS(台帳!$I$2:$I$2000,台帳!$A$2:$A$2000,$A52,台帳!$F$2:$F$2000,Y$4)</f>
        <v>0</v>
      </c>
      <c r="Z52" s="46">
        <f>SUMIFS(台帳!$I$2:$I$2000,台帳!$A$2:$A$2000,$A52,台帳!$F$2:$F$2000,Z$4)</f>
        <v>0</v>
      </c>
      <c r="AA52" s="46">
        <f>SUMIFS(台帳!$I$2:$I$2000,台帳!$A$2:$A$2000,$A52,台帳!$F$2:$F$2000,AA$4)</f>
        <v>0</v>
      </c>
      <c r="AB52" s="46">
        <f>SUMIFS(台帳!$I$2:$I$2000,台帳!$A$2:$A$2000,$A52,台帳!$F$2:$F$2000,AB$4)</f>
        <v>0</v>
      </c>
      <c r="AC52" s="46">
        <f>SUMIFS(台帳!$I$2:$I$2000,台帳!$A$2:$A$2000,$A52,台帳!$F$2:$F$2000,AC$4)</f>
        <v>0</v>
      </c>
      <c r="AD52" s="46">
        <f>SUMIFS(台帳!$I$2:$I$2000,台帳!$A$2:$A$2000,$A52,台帳!$F$2:$F$2000,AD$4)</f>
        <v>0</v>
      </c>
      <c r="AE52" s="46">
        <f>SUMIFS(台帳!$I$2:$I$2000,台帳!$A$2:$A$2000,$A52,台帳!$F$2:$F$2000,AE$4)</f>
        <v>0</v>
      </c>
      <c r="AF52" s="46">
        <f>SUMIFS(台帳!$I$2:$I$2000,台帳!$A$2:$A$2000,$A52,台帳!$F$2:$F$2000,AF$4)</f>
        <v>0</v>
      </c>
      <c r="AG52" s="46">
        <f>SUMIFS(台帳!$I$2:$I$2000,台帳!$A$2:$A$2000,$A52,台帳!$F$2:$F$2000,AG$4)</f>
        <v>0</v>
      </c>
      <c r="AH52" s="46">
        <f>SUMIFS(台帳!$I$2:$I$2000,台帳!$A$2:$A$2000,$A52,台帳!$F$2:$F$2000,AH$4)</f>
        <v>0</v>
      </c>
      <c r="AI52" s="46">
        <f>SUMIFS(台帳!$I$2:$I$2000,台帳!$A$2:$A$2000,$A52,台帳!$F$2:$F$2000,AI$4)</f>
        <v>0</v>
      </c>
      <c r="AJ52" s="46">
        <f>SUMIFS(台帳!$I$2:$I$2000,台帳!$A$2:$A$2000,$A52,台帳!$F$2:$F$2000,AJ$4)</f>
        <v>0</v>
      </c>
      <c r="AK52" s="46">
        <f>SUMIFS(台帳!$I$2:$I$2000,台帳!$A$2:$A$2000,$A52,台帳!$F$2:$F$2000,AK$4)</f>
        <v>0</v>
      </c>
      <c r="AL52" s="46">
        <f>SUMIFS(台帳!$I$2:$I$2000,台帳!$A$2:$A$2000,$A52,台帳!$F$2:$F$2000,AL$4)</f>
        <v>0</v>
      </c>
      <c r="AM52" s="46">
        <f>SUMIFS(台帳!$I$2:$I$2000,台帳!$A$2:$A$2000,$A52,台帳!$F$2:$F$2000,AM$4)</f>
        <v>0</v>
      </c>
      <c r="AN52" s="46">
        <f>SUMIFS(台帳!$I$2:$I$2000,台帳!$A$2:$A$2000,$A52,台帳!$F$2:$F$2000,AN$4)</f>
        <v>0</v>
      </c>
      <c r="AO52" s="46">
        <f>SUMIFS(台帳!$I$2:$I$2000,台帳!$A$2:$A$2000,$A52,台帳!$F$2:$F$2000,AO$4)</f>
        <v>0</v>
      </c>
      <c r="AP52" s="46">
        <f>SUMIFS(台帳!$I$2:$I$2000,台帳!$A$2:$A$2000,$A52,台帳!$F$2:$F$2000,AP$4)</f>
        <v>0</v>
      </c>
      <c r="AQ52" s="46">
        <f>SUMIFS(台帳!$I$2:$I$2000,台帳!$A$2:$A$2000,$A52,台帳!$F$2:$F$2000,AQ$4)</f>
        <v>0</v>
      </c>
      <c r="AR52" s="46">
        <f>SUM(C52:AQ52)</f>
        <v>0</v>
      </c>
    </row>
    <row r="53" spans="1:44" ht="17.25" x14ac:dyDescent="0.35">
      <c r="A53" s="44">
        <v>46180</v>
      </c>
      <c r="B53" s="45" t="str">
        <f>CHOOSE(WEEKDAY(A53),"日","月","火","水","木","金","土")</f>
        <v>日</v>
      </c>
      <c r="C53" s="46">
        <f>SUMIFS(台帳!$I$2:$I$2000,台帳!$A$2:$A$2000,$A53,台帳!$F$2:$F$2000,C$4)</f>
        <v>0</v>
      </c>
      <c r="D53" s="46">
        <f>SUMIFS(台帳!$I$2:$I$2000,台帳!$A$2:$A$2000,$A53,台帳!$F$2:$F$2000,D$4)</f>
        <v>0</v>
      </c>
      <c r="E53" s="46">
        <f>SUMIFS(台帳!$I$2:$I$2000,台帳!$A$2:$A$2000,$A53,台帳!$F$2:$F$2000,E$4)</f>
        <v>0</v>
      </c>
      <c r="F53" s="46">
        <f>SUMIFS(台帳!$I$2:$I$2000,台帳!$A$2:$A$2000,$A53,台帳!$F$2:$F$2000,F$4)</f>
        <v>0</v>
      </c>
      <c r="G53" s="46">
        <f>SUMIFS(台帳!$I$2:$I$2000,台帳!$A$2:$A$2000,$A53,台帳!$F$2:$F$2000,G$4)</f>
        <v>0</v>
      </c>
      <c r="H53" s="46">
        <f>SUMIFS(台帳!$I$2:$I$2000,台帳!$A$2:$A$2000,$A53,台帳!$F$2:$F$2000,H$4)</f>
        <v>0</v>
      </c>
      <c r="I53" s="46">
        <f>SUMIFS(台帳!$I$2:$I$2000,台帳!$A$2:$A$2000,$A53,台帳!$F$2:$F$2000,I$4)</f>
        <v>0</v>
      </c>
      <c r="J53" s="46">
        <f>SUMIFS(台帳!$I$2:$I$2000,台帳!$A$2:$A$2000,$A53,台帳!$F$2:$F$2000,J$4)</f>
        <v>0</v>
      </c>
      <c r="K53" s="46">
        <f>SUMIFS(台帳!$I$2:$I$2000,台帳!$A$2:$A$2000,$A53,台帳!$F$2:$F$2000,K$4)</f>
        <v>0</v>
      </c>
      <c r="L53" s="46">
        <f>SUMIFS(台帳!$I$2:$I$2000,台帳!$A$2:$A$2000,$A53,台帳!$F$2:$F$2000,L$4)</f>
        <v>0</v>
      </c>
      <c r="M53" s="46">
        <f>SUMIFS(台帳!$I$2:$I$2000,台帳!$A$2:$A$2000,$A53,台帳!$F$2:$F$2000,M$4)</f>
        <v>0</v>
      </c>
      <c r="N53" s="46">
        <f>SUMIFS(台帳!$I$2:$I$2000,台帳!$A$2:$A$2000,$A53,台帳!$F$2:$F$2000,N$4)</f>
        <v>0</v>
      </c>
      <c r="O53" s="46">
        <f>SUMIFS(台帳!$I$2:$I$2000,台帳!$A$2:$A$2000,$A53,台帳!$F$2:$F$2000,O$4)</f>
        <v>0</v>
      </c>
      <c r="P53" s="46">
        <f>SUMIFS(台帳!$I$2:$I$2000,台帳!$A$2:$A$2000,$A53,台帳!$F$2:$F$2000,P$4)</f>
        <v>0</v>
      </c>
      <c r="Q53" s="46">
        <f>SUMIFS(台帳!$I$2:$I$2000,台帳!$A$2:$A$2000,$A53,台帳!$F$2:$F$2000,Q$4)</f>
        <v>0</v>
      </c>
      <c r="R53" s="46">
        <f>SUMIFS(台帳!$I$2:$I$2000,台帳!$A$2:$A$2000,$A53,台帳!$F$2:$F$2000,R$4)</f>
        <v>0</v>
      </c>
      <c r="S53" s="46">
        <f>SUMIFS(台帳!$I$2:$I$2000,台帳!$A$2:$A$2000,$A53,台帳!$F$2:$F$2000,S$4)</f>
        <v>0</v>
      </c>
      <c r="T53" s="46">
        <f>SUMIFS(台帳!$I$2:$I$2000,台帳!$A$2:$A$2000,$A53,台帳!$F$2:$F$2000,T$4)</f>
        <v>0</v>
      </c>
      <c r="U53" s="46">
        <f>SUMIFS(台帳!$I$2:$I$2000,台帳!$A$2:$A$2000,$A53,台帳!$F$2:$F$2000,U$4)</f>
        <v>0</v>
      </c>
      <c r="V53" s="46">
        <f>SUMIFS(台帳!$I$2:$I$2000,台帳!$A$2:$A$2000,$A53,台帳!$F$2:$F$2000,V$4)</f>
        <v>0</v>
      </c>
      <c r="W53" s="46">
        <f>SUMIFS(台帳!$I$2:$I$2000,台帳!$A$2:$A$2000,$A53,台帳!$F$2:$F$2000,W$4)</f>
        <v>0</v>
      </c>
      <c r="X53" s="46">
        <f>SUMIFS(台帳!$I$2:$I$2000,台帳!$A$2:$A$2000,$A53,台帳!$F$2:$F$2000,X$4)</f>
        <v>0</v>
      </c>
      <c r="Y53" s="46">
        <f>SUMIFS(台帳!$I$2:$I$2000,台帳!$A$2:$A$2000,$A53,台帳!$F$2:$F$2000,Y$4)</f>
        <v>0</v>
      </c>
      <c r="Z53" s="46">
        <f>SUMIFS(台帳!$I$2:$I$2000,台帳!$A$2:$A$2000,$A53,台帳!$F$2:$F$2000,Z$4)</f>
        <v>0</v>
      </c>
      <c r="AA53" s="46">
        <f>SUMIFS(台帳!$I$2:$I$2000,台帳!$A$2:$A$2000,$A53,台帳!$F$2:$F$2000,AA$4)</f>
        <v>0</v>
      </c>
      <c r="AB53" s="46">
        <f>SUMIFS(台帳!$I$2:$I$2000,台帳!$A$2:$A$2000,$A53,台帳!$F$2:$F$2000,AB$4)</f>
        <v>0</v>
      </c>
      <c r="AC53" s="46">
        <f>SUMIFS(台帳!$I$2:$I$2000,台帳!$A$2:$A$2000,$A53,台帳!$F$2:$F$2000,AC$4)</f>
        <v>0</v>
      </c>
      <c r="AD53" s="46">
        <f>SUMIFS(台帳!$I$2:$I$2000,台帳!$A$2:$A$2000,$A53,台帳!$F$2:$F$2000,AD$4)</f>
        <v>0</v>
      </c>
      <c r="AE53" s="46">
        <f>SUMIFS(台帳!$I$2:$I$2000,台帳!$A$2:$A$2000,$A53,台帳!$F$2:$F$2000,AE$4)</f>
        <v>0</v>
      </c>
      <c r="AF53" s="46">
        <f>SUMIFS(台帳!$I$2:$I$2000,台帳!$A$2:$A$2000,$A53,台帳!$F$2:$F$2000,AF$4)</f>
        <v>0</v>
      </c>
      <c r="AG53" s="46">
        <f>SUMIFS(台帳!$I$2:$I$2000,台帳!$A$2:$A$2000,$A53,台帳!$F$2:$F$2000,AG$4)</f>
        <v>0</v>
      </c>
      <c r="AH53" s="46">
        <f>SUMIFS(台帳!$I$2:$I$2000,台帳!$A$2:$A$2000,$A53,台帳!$F$2:$F$2000,AH$4)</f>
        <v>0</v>
      </c>
      <c r="AI53" s="46">
        <f>SUMIFS(台帳!$I$2:$I$2000,台帳!$A$2:$A$2000,$A53,台帳!$F$2:$F$2000,AI$4)</f>
        <v>0</v>
      </c>
      <c r="AJ53" s="46">
        <f>SUMIFS(台帳!$I$2:$I$2000,台帳!$A$2:$A$2000,$A53,台帳!$F$2:$F$2000,AJ$4)</f>
        <v>0</v>
      </c>
      <c r="AK53" s="46">
        <f>SUMIFS(台帳!$I$2:$I$2000,台帳!$A$2:$A$2000,$A53,台帳!$F$2:$F$2000,AK$4)</f>
        <v>0</v>
      </c>
      <c r="AL53" s="46">
        <f>SUMIFS(台帳!$I$2:$I$2000,台帳!$A$2:$A$2000,$A53,台帳!$F$2:$F$2000,AL$4)</f>
        <v>0</v>
      </c>
      <c r="AM53" s="46">
        <f>SUMIFS(台帳!$I$2:$I$2000,台帳!$A$2:$A$2000,$A53,台帳!$F$2:$F$2000,AM$4)</f>
        <v>0</v>
      </c>
      <c r="AN53" s="46">
        <f>SUMIFS(台帳!$I$2:$I$2000,台帳!$A$2:$A$2000,$A53,台帳!$F$2:$F$2000,AN$4)</f>
        <v>0</v>
      </c>
      <c r="AO53" s="46">
        <f>SUMIFS(台帳!$I$2:$I$2000,台帳!$A$2:$A$2000,$A53,台帳!$F$2:$F$2000,AO$4)</f>
        <v>0</v>
      </c>
      <c r="AP53" s="46">
        <f>SUMIFS(台帳!$I$2:$I$2000,台帳!$A$2:$A$2000,$A53,台帳!$F$2:$F$2000,AP$4)</f>
        <v>0</v>
      </c>
      <c r="AQ53" s="46">
        <f>SUMIFS(台帳!$I$2:$I$2000,台帳!$A$2:$A$2000,$A53,台帳!$F$2:$F$2000,AQ$4)</f>
        <v>0</v>
      </c>
      <c r="AR53" s="46">
        <f>SUM(C53:AQ53)</f>
        <v>0</v>
      </c>
    </row>
    <row r="54" spans="1:44" ht="17.25" x14ac:dyDescent="0.35">
      <c r="A54" s="44">
        <v>46181</v>
      </c>
      <c r="B54" s="45" t="str">
        <f>CHOOSE(WEEKDAY(A54),"日","月","火","水","木","金","土")</f>
        <v>月</v>
      </c>
      <c r="C54" s="46">
        <f>SUMIFS(台帳!$I$2:$I$2000,台帳!$A$2:$A$2000,$A54,台帳!$F$2:$F$2000,C$4)</f>
        <v>0</v>
      </c>
      <c r="D54" s="46">
        <f>SUMIFS(台帳!$I$2:$I$2000,台帳!$A$2:$A$2000,$A54,台帳!$F$2:$F$2000,D$4)</f>
        <v>0</v>
      </c>
      <c r="E54" s="46">
        <f>SUMIFS(台帳!$I$2:$I$2000,台帳!$A$2:$A$2000,$A54,台帳!$F$2:$F$2000,E$4)</f>
        <v>0</v>
      </c>
      <c r="F54" s="46">
        <f>SUMIFS(台帳!$I$2:$I$2000,台帳!$A$2:$A$2000,$A54,台帳!$F$2:$F$2000,F$4)</f>
        <v>0</v>
      </c>
      <c r="G54" s="46">
        <f>SUMIFS(台帳!$I$2:$I$2000,台帳!$A$2:$A$2000,$A54,台帳!$F$2:$F$2000,G$4)</f>
        <v>0</v>
      </c>
      <c r="H54" s="46">
        <f>SUMIFS(台帳!$I$2:$I$2000,台帳!$A$2:$A$2000,$A54,台帳!$F$2:$F$2000,H$4)</f>
        <v>0</v>
      </c>
      <c r="I54" s="46">
        <f>SUMIFS(台帳!$I$2:$I$2000,台帳!$A$2:$A$2000,$A54,台帳!$F$2:$F$2000,I$4)</f>
        <v>0</v>
      </c>
      <c r="J54" s="46">
        <f>SUMIFS(台帳!$I$2:$I$2000,台帳!$A$2:$A$2000,$A54,台帳!$F$2:$F$2000,J$4)</f>
        <v>0</v>
      </c>
      <c r="K54" s="46">
        <f>SUMIFS(台帳!$I$2:$I$2000,台帳!$A$2:$A$2000,$A54,台帳!$F$2:$F$2000,K$4)</f>
        <v>0</v>
      </c>
      <c r="L54" s="46">
        <f>SUMIFS(台帳!$I$2:$I$2000,台帳!$A$2:$A$2000,$A54,台帳!$F$2:$F$2000,L$4)</f>
        <v>0</v>
      </c>
      <c r="M54" s="46">
        <f>SUMIFS(台帳!$I$2:$I$2000,台帳!$A$2:$A$2000,$A54,台帳!$F$2:$F$2000,M$4)</f>
        <v>0</v>
      </c>
      <c r="N54" s="46">
        <f>SUMIFS(台帳!$I$2:$I$2000,台帳!$A$2:$A$2000,$A54,台帳!$F$2:$F$2000,N$4)</f>
        <v>0</v>
      </c>
      <c r="O54" s="46">
        <f>SUMIFS(台帳!$I$2:$I$2000,台帳!$A$2:$A$2000,$A54,台帳!$F$2:$F$2000,O$4)</f>
        <v>0</v>
      </c>
      <c r="P54" s="46">
        <f>SUMIFS(台帳!$I$2:$I$2000,台帳!$A$2:$A$2000,$A54,台帳!$F$2:$F$2000,P$4)</f>
        <v>0</v>
      </c>
      <c r="Q54" s="46">
        <f>SUMIFS(台帳!$I$2:$I$2000,台帳!$A$2:$A$2000,$A54,台帳!$F$2:$F$2000,Q$4)</f>
        <v>0</v>
      </c>
      <c r="R54" s="46">
        <f>SUMIFS(台帳!$I$2:$I$2000,台帳!$A$2:$A$2000,$A54,台帳!$F$2:$F$2000,R$4)</f>
        <v>0</v>
      </c>
      <c r="S54" s="46">
        <f>SUMIFS(台帳!$I$2:$I$2000,台帳!$A$2:$A$2000,$A54,台帳!$F$2:$F$2000,S$4)</f>
        <v>0</v>
      </c>
      <c r="T54" s="46">
        <f>SUMIFS(台帳!$I$2:$I$2000,台帳!$A$2:$A$2000,$A54,台帳!$F$2:$F$2000,T$4)</f>
        <v>0</v>
      </c>
      <c r="U54" s="46">
        <f>SUMIFS(台帳!$I$2:$I$2000,台帳!$A$2:$A$2000,$A54,台帳!$F$2:$F$2000,U$4)</f>
        <v>0</v>
      </c>
      <c r="V54" s="46">
        <f>SUMIFS(台帳!$I$2:$I$2000,台帳!$A$2:$A$2000,$A54,台帳!$F$2:$F$2000,V$4)</f>
        <v>0</v>
      </c>
      <c r="W54" s="46">
        <f>SUMIFS(台帳!$I$2:$I$2000,台帳!$A$2:$A$2000,$A54,台帳!$F$2:$F$2000,W$4)</f>
        <v>0</v>
      </c>
      <c r="X54" s="46">
        <f>SUMIFS(台帳!$I$2:$I$2000,台帳!$A$2:$A$2000,$A54,台帳!$F$2:$F$2000,X$4)</f>
        <v>0</v>
      </c>
      <c r="Y54" s="46">
        <f>SUMIFS(台帳!$I$2:$I$2000,台帳!$A$2:$A$2000,$A54,台帳!$F$2:$F$2000,Y$4)</f>
        <v>0</v>
      </c>
      <c r="Z54" s="46">
        <f>SUMIFS(台帳!$I$2:$I$2000,台帳!$A$2:$A$2000,$A54,台帳!$F$2:$F$2000,Z$4)</f>
        <v>0</v>
      </c>
      <c r="AA54" s="46">
        <f>SUMIFS(台帳!$I$2:$I$2000,台帳!$A$2:$A$2000,$A54,台帳!$F$2:$F$2000,AA$4)</f>
        <v>0</v>
      </c>
      <c r="AB54" s="46">
        <f>SUMIFS(台帳!$I$2:$I$2000,台帳!$A$2:$A$2000,$A54,台帳!$F$2:$F$2000,AB$4)</f>
        <v>0</v>
      </c>
      <c r="AC54" s="46">
        <f>SUMIFS(台帳!$I$2:$I$2000,台帳!$A$2:$A$2000,$A54,台帳!$F$2:$F$2000,AC$4)</f>
        <v>0</v>
      </c>
      <c r="AD54" s="46">
        <f>SUMIFS(台帳!$I$2:$I$2000,台帳!$A$2:$A$2000,$A54,台帳!$F$2:$F$2000,AD$4)</f>
        <v>0</v>
      </c>
      <c r="AE54" s="46">
        <f>SUMIFS(台帳!$I$2:$I$2000,台帳!$A$2:$A$2000,$A54,台帳!$F$2:$F$2000,AE$4)</f>
        <v>0</v>
      </c>
      <c r="AF54" s="46">
        <f>SUMIFS(台帳!$I$2:$I$2000,台帳!$A$2:$A$2000,$A54,台帳!$F$2:$F$2000,AF$4)</f>
        <v>0</v>
      </c>
      <c r="AG54" s="46">
        <f>SUMIFS(台帳!$I$2:$I$2000,台帳!$A$2:$A$2000,$A54,台帳!$F$2:$F$2000,AG$4)</f>
        <v>0</v>
      </c>
      <c r="AH54" s="46">
        <f>SUMIFS(台帳!$I$2:$I$2000,台帳!$A$2:$A$2000,$A54,台帳!$F$2:$F$2000,AH$4)</f>
        <v>0</v>
      </c>
      <c r="AI54" s="46">
        <f>SUMIFS(台帳!$I$2:$I$2000,台帳!$A$2:$A$2000,$A54,台帳!$F$2:$F$2000,AI$4)</f>
        <v>0</v>
      </c>
      <c r="AJ54" s="46">
        <f>SUMIFS(台帳!$I$2:$I$2000,台帳!$A$2:$A$2000,$A54,台帳!$F$2:$F$2000,AJ$4)</f>
        <v>0</v>
      </c>
      <c r="AK54" s="46">
        <f>SUMIFS(台帳!$I$2:$I$2000,台帳!$A$2:$A$2000,$A54,台帳!$F$2:$F$2000,AK$4)</f>
        <v>0</v>
      </c>
      <c r="AL54" s="46">
        <f>SUMIFS(台帳!$I$2:$I$2000,台帳!$A$2:$A$2000,$A54,台帳!$F$2:$F$2000,AL$4)</f>
        <v>0</v>
      </c>
      <c r="AM54" s="46">
        <f>SUMIFS(台帳!$I$2:$I$2000,台帳!$A$2:$A$2000,$A54,台帳!$F$2:$F$2000,AM$4)</f>
        <v>0</v>
      </c>
      <c r="AN54" s="46">
        <f>SUMIFS(台帳!$I$2:$I$2000,台帳!$A$2:$A$2000,$A54,台帳!$F$2:$F$2000,AN$4)</f>
        <v>0</v>
      </c>
      <c r="AO54" s="46">
        <f>SUMIFS(台帳!$I$2:$I$2000,台帳!$A$2:$A$2000,$A54,台帳!$F$2:$F$2000,AO$4)</f>
        <v>0</v>
      </c>
      <c r="AP54" s="46">
        <f>SUMIFS(台帳!$I$2:$I$2000,台帳!$A$2:$A$2000,$A54,台帳!$F$2:$F$2000,AP$4)</f>
        <v>0</v>
      </c>
      <c r="AQ54" s="46">
        <f>SUMIFS(台帳!$I$2:$I$2000,台帳!$A$2:$A$2000,$A54,台帳!$F$2:$F$2000,AQ$4)</f>
        <v>0</v>
      </c>
      <c r="AR54" s="46">
        <f>SUM(C54:AQ54)</f>
        <v>0</v>
      </c>
    </row>
    <row r="55" spans="1:44" ht="17.25" x14ac:dyDescent="0.35">
      <c r="A55" s="44">
        <v>46182</v>
      </c>
      <c r="B55" s="45" t="str">
        <f>CHOOSE(WEEKDAY(A55),"日","月","火","水","木","金","土")</f>
        <v>火</v>
      </c>
      <c r="C55" s="46">
        <f>SUMIFS(台帳!$I$2:$I$2000,台帳!$A$2:$A$2000,$A55,台帳!$F$2:$F$2000,C$4)</f>
        <v>0</v>
      </c>
      <c r="D55" s="46">
        <f>SUMIFS(台帳!$I$2:$I$2000,台帳!$A$2:$A$2000,$A55,台帳!$F$2:$F$2000,D$4)</f>
        <v>0</v>
      </c>
      <c r="E55" s="46">
        <f>SUMIFS(台帳!$I$2:$I$2000,台帳!$A$2:$A$2000,$A55,台帳!$F$2:$F$2000,E$4)</f>
        <v>0</v>
      </c>
      <c r="F55" s="46">
        <f>SUMIFS(台帳!$I$2:$I$2000,台帳!$A$2:$A$2000,$A55,台帳!$F$2:$F$2000,F$4)</f>
        <v>0</v>
      </c>
      <c r="G55" s="46">
        <f>SUMIFS(台帳!$I$2:$I$2000,台帳!$A$2:$A$2000,$A55,台帳!$F$2:$F$2000,G$4)</f>
        <v>0</v>
      </c>
      <c r="H55" s="46">
        <f>SUMIFS(台帳!$I$2:$I$2000,台帳!$A$2:$A$2000,$A55,台帳!$F$2:$F$2000,H$4)</f>
        <v>0</v>
      </c>
      <c r="I55" s="46">
        <f>SUMIFS(台帳!$I$2:$I$2000,台帳!$A$2:$A$2000,$A55,台帳!$F$2:$F$2000,I$4)</f>
        <v>0</v>
      </c>
      <c r="J55" s="46">
        <f>SUMIFS(台帳!$I$2:$I$2000,台帳!$A$2:$A$2000,$A55,台帳!$F$2:$F$2000,J$4)</f>
        <v>0</v>
      </c>
      <c r="K55" s="46">
        <f>SUMIFS(台帳!$I$2:$I$2000,台帳!$A$2:$A$2000,$A55,台帳!$F$2:$F$2000,K$4)</f>
        <v>0</v>
      </c>
      <c r="L55" s="46">
        <f>SUMIFS(台帳!$I$2:$I$2000,台帳!$A$2:$A$2000,$A55,台帳!$F$2:$F$2000,L$4)</f>
        <v>0</v>
      </c>
      <c r="M55" s="46">
        <f>SUMIFS(台帳!$I$2:$I$2000,台帳!$A$2:$A$2000,$A55,台帳!$F$2:$F$2000,M$4)</f>
        <v>0</v>
      </c>
      <c r="N55" s="46">
        <f>SUMIFS(台帳!$I$2:$I$2000,台帳!$A$2:$A$2000,$A55,台帳!$F$2:$F$2000,N$4)</f>
        <v>0</v>
      </c>
      <c r="O55" s="46">
        <f>SUMIFS(台帳!$I$2:$I$2000,台帳!$A$2:$A$2000,$A55,台帳!$F$2:$F$2000,O$4)</f>
        <v>0</v>
      </c>
      <c r="P55" s="46">
        <f>SUMIFS(台帳!$I$2:$I$2000,台帳!$A$2:$A$2000,$A55,台帳!$F$2:$F$2000,P$4)</f>
        <v>0</v>
      </c>
      <c r="Q55" s="46">
        <f>SUMIFS(台帳!$I$2:$I$2000,台帳!$A$2:$A$2000,$A55,台帳!$F$2:$F$2000,Q$4)</f>
        <v>0</v>
      </c>
      <c r="R55" s="46">
        <f>SUMIFS(台帳!$I$2:$I$2000,台帳!$A$2:$A$2000,$A55,台帳!$F$2:$F$2000,R$4)</f>
        <v>0</v>
      </c>
      <c r="S55" s="46">
        <f>SUMIFS(台帳!$I$2:$I$2000,台帳!$A$2:$A$2000,$A55,台帳!$F$2:$F$2000,S$4)</f>
        <v>0</v>
      </c>
      <c r="T55" s="46">
        <f>SUMIFS(台帳!$I$2:$I$2000,台帳!$A$2:$A$2000,$A55,台帳!$F$2:$F$2000,T$4)</f>
        <v>0</v>
      </c>
      <c r="U55" s="46">
        <f>SUMIFS(台帳!$I$2:$I$2000,台帳!$A$2:$A$2000,$A55,台帳!$F$2:$F$2000,U$4)</f>
        <v>0</v>
      </c>
      <c r="V55" s="46">
        <f>SUMIFS(台帳!$I$2:$I$2000,台帳!$A$2:$A$2000,$A55,台帳!$F$2:$F$2000,V$4)</f>
        <v>0</v>
      </c>
      <c r="W55" s="46">
        <f>SUMIFS(台帳!$I$2:$I$2000,台帳!$A$2:$A$2000,$A55,台帳!$F$2:$F$2000,W$4)</f>
        <v>0</v>
      </c>
      <c r="X55" s="46">
        <f>SUMIFS(台帳!$I$2:$I$2000,台帳!$A$2:$A$2000,$A55,台帳!$F$2:$F$2000,X$4)</f>
        <v>0</v>
      </c>
      <c r="Y55" s="46">
        <f>SUMIFS(台帳!$I$2:$I$2000,台帳!$A$2:$A$2000,$A55,台帳!$F$2:$F$2000,Y$4)</f>
        <v>0</v>
      </c>
      <c r="Z55" s="46">
        <f>SUMIFS(台帳!$I$2:$I$2000,台帳!$A$2:$A$2000,$A55,台帳!$F$2:$F$2000,Z$4)</f>
        <v>0</v>
      </c>
      <c r="AA55" s="46">
        <f>SUMIFS(台帳!$I$2:$I$2000,台帳!$A$2:$A$2000,$A55,台帳!$F$2:$F$2000,AA$4)</f>
        <v>0</v>
      </c>
      <c r="AB55" s="46">
        <f>SUMIFS(台帳!$I$2:$I$2000,台帳!$A$2:$A$2000,$A55,台帳!$F$2:$F$2000,AB$4)</f>
        <v>0</v>
      </c>
      <c r="AC55" s="46">
        <f>SUMIFS(台帳!$I$2:$I$2000,台帳!$A$2:$A$2000,$A55,台帳!$F$2:$F$2000,AC$4)</f>
        <v>0</v>
      </c>
      <c r="AD55" s="46">
        <f>SUMIFS(台帳!$I$2:$I$2000,台帳!$A$2:$A$2000,$A55,台帳!$F$2:$F$2000,AD$4)</f>
        <v>0</v>
      </c>
      <c r="AE55" s="46">
        <f>SUMIFS(台帳!$I$2:$I$2000,台帳!$A$2:$A$2000,$A55,台帳!$F$2:$F$2000,AE$4)</f>
        <v>0</v>
      </c>
      <c r="AF55" s="46">
        <f>SUMIFS(台帳!$I$2:$I$2000,台帳!$A$2:$A$2000,$A55,台帳!$F$2:$F$2000,AF$4)</f>
        <v>0</v>
      </c>
      <c r="AG55" s="46">
        <f>SUMIFS(台帳!$I$2:$I$2000,台帳!$A$2:$A$2000,$A55,台帳!$F$2:$F$2000,AG$4)</f>
        <v>0</v>
      </c>
      <c r="AH55" s="46">
        <f>SUMIFS(台帳!$I$2:$I$2000,台帳!$A$2:$A$2000,$A55,台帳!$F$2:$F$2000,AH$4)</f>
        <v>0</v>
      </c>
      <c r="AI55" s="46">
        <f>SUMIFS(台帳!$I$2:$I$2000,台帳!$A$2:$A$2000,$A55,台帳!$F$2:$F$2000,AI$4)</f>
        <v>0</v>
      </c>
      <c r="AJ55" s="46">
        <f>SUMIFS(台帳!$I$2:$I$2000,台帳!$A$2:$A$2000,$A55,台帳!$F$2:$F$2000,AJ$4)</f>
        <v>0</v>
      </c>
      <c r="AK55" s="46">
        <f>SUMIFS(台帳!$I$2:$I$2000,台帳!$A$2:$A$2000,$A55,台帳!$F$2:$F$2000,AK$4)</f>
        <v>0</v>
      </c>
      <c r="AL55" s="46">
        <f>SUMIFS(台帳!$I$2:$I$2000,台帳!$A$2:$A$2000,$A55,台帳!$F$2:$F$2000,AL$4)</f>
        <v>0</v>
      </c>
      <c r="AM55" s="46">
        <f>SUMIFS(台帳!$I$2:$I$2000,台帳!$A$2:$A$2000,$A55,台帳!$F$2:$F$2000,AM$4)</f>
        <v>0</v>
      </c>
      <c r="AN55" s="46">
        <f>SUMIFS(台帳!$I$2:$I$2000,台帳!$A$2:$A$2000,$A55,台帳!$F$2:$F$2000,AN$4)</f>
        <v>0</v>
      </c>
      <c r="AO55" s="46">
        <f>SUMIFS(台帳!$I$2:$I$2000,台帳!$A$2:$A$2000,$A55,台帳!$F$2:$F$2000,AO$4)</f>
        <v>0</v>
      </c>
      <c r="AP55" s="46">
        <f>SUMIFS(台帳!$I$2:$I$2000,台帳!$A$2:$A$2000,$A55,台帳!$F$2:$F$2000,AP$4)</f>
        <v>0</v>
      </c>
      <c r="AQ55" s="46">
        <f>SUMIFS(台帳!$I$2:$I$2000,台帳!$A$2:$A$2000,$A55,台帳!$F$2:$F$2000,AQ$4)</f>
        <v>0</v>
      </c>
      <c r="AR55" s="46">
        <f>SUM(C55:AQ55)</f>
        <v>0</v>
      </c>
    </row>
    <row r="56" spans="1:44" ht="17.25" x14ac:dyDescent="0.35">
      <c r="A56" s="44">
        <v>46183</v>
      </c>
      <c r="B56" s="45" t="str">
        <f>CHOOSE(WEEKDAY(A56),"日","月","火","水","木","金","土")</f>
        <v>水</v>
      </c>
      <c r="C56" s="46">
        <f>SUMIFS(台帳!$I$2:$I$2000,台帳!$A$2:$A$2000,$A56,台帳!$F$2:$F$2000,C$4)</f>
        <v>0</v>
      </c>
      <c r="D56" s="46">
        <f>SUMIFS(台帳!$I$2:$I$2000,台帳!$A$2:$A$2000,$A56,台帳!$F$2:$F$2000,D$4)</f>
        <v>0</v>
      </c>
      <c r="E56" s="46">
        <f>SUMIFS(台帳!$I$2:$I$2000,台帳!$A$2:$A$2000,$A56,台帳!$F$2:$F$2000,E$4)</f>
        <v>0</v>
      </c>
      <c r="F56" s="46">
        <f>SUMIFS(台帳!$I$2:$I$2000,台帳!$A$2:$A$2000,$A56,台帳!$F$2:$F$2000,F$4)</f>
        <v>0</v>
      </c>
      <c r="G56" s="46">
        <f>SUMIFS(台帳!$I$2:$I$2000,台帳!$A$2:$A$2000,$A56,台帳!$F$2:$F$2000,G$4)</f>
        <v>0</v>
      </c>
      <c r="H56" s="46">
        <f>SUMIFS(台帳!$I$2:$I$2000,台帳!$A$2:$A$2000,$A56,台帳!$F$2:$F$2000,H$4)</f>
        <v>0</v>
      </c>
      <c r="I56" s="46">
        <f>SUMIFS(台帳!$I$2:$I$2000,台帳!$A$2:$A$2000,$A56,台帳!$F$2:$F$2000,I$4)</f>
        <v>0</v>
      </c>
      <c r="J56" s="46">
        <f>SUMIFS(台帳!$I$2:$I$2000,台帳!$A$2:$A$2000,$A56,台帳!$F$2:$F$2000,J$4)</f>
        <v>0</v>
      </c>
      <c r="K56" s="46">
        <f>SUMIFS(台帳!$I$2:$I$2000,台帳!$A$2:$A$2000,$A56,台帳!$F$2:$F$2000,K$4)</f>
        <v>0</v>
      </c>
      <c r="L56" s="46">
        <f>SUMIFS(台帳!$I$2:$I$2000,台帳!$A$2:$A$2000,$A56,台帳!$F$2:$F$2000,L$4)</f>
        <v>0</v>
      </c>
      <c r="M56" s="46">
        <f>SUMIFS(台帳!$I$2:$I$2000,台帳!$A$2:$A$2000,$A56,台帳!$F$2:$F$2000,M$4)</f>
        <v>0</v>
      </c>
      <c r="N56" s="46">
        <f>SUMIFS(台帳!$I$2:$I$2000,台帳!$A$2:$A$2000,$A56,台帳!$F$2:$F$2000,N$4)</f>
        <v>0</v>
      </c>
      <c r="O56" s="46">
        <f>SUMIFS(台帳!$I$2:$I$2000,台帳!$A$2:$A$2000,$A56,台帳!$F$2:$F$2000,O$4)</f>
        <v>0</v>
      </c>
      <c r="P56" s="46">
        <f>SUMIFS(台帳!$I$2:$I$2000,台帳!$A$2:$A$2000,$A56,台帳!$F$2:$F$2000,P$4)</f>
        <v>0</v>
      </c>
      <c r="Q56" s="46">
        <f>SUMIFS(台帳!$I$2:$I$2000,台帳!$A$2:$A$2000,$A56,台帳!$F$2:$F$2000,Q$4)</f>
        <v>0</v>
      </c>
      <c r="R56" s="46">
        <f>SUMIFS(台帳!$I$2:$I$2000,台帳!$A$2:$A$2000,$A56,台帳!$F$2:$F$2000,R$4)</f>
        <v>0</v>
      </c>
      <c r="S56" s="46">
        <f>SUMIFS(台帳!$I$2:$I$2000,台帳!$A$2:$A$2000,$A56,台帳!$F$2:$F$2000,S$4)</f>
        <v>0</v>
      </c>
      <c r="T56" s="46">
        <f>SUMIFS(台帳!$I$2:$I$2000,台帳!$A$2:$A$2000,$A56,台帳!$F$2:$F$2000,T$4)</f>
        <v>0</v>
      </c>
      <c r="U56" s="46">
        <f>SUMIFS(台帳!$I$2:$I$2000,台帳!$A$2:$A$2000,$A56,台帳!$F$2:$F$2000,U$4)</f>
        <v>0</v>
      </c>
      <c r="V56" s="46">
        <f>SUMIFS(台帳!$I$2:$I$2000,台帳!$A$2:$A$2000,$A56,台帳!$F$2:$F$2000,V$4)</f>
        <v>0</v>
      </c>
      <c r="W56" s="46">
        <f>SUMIFS(台帳!$I$2:$I$2000,台帳!$A$2:$A$2000,$A56,台帳!$F$2:$F$2000,W$4)</f>
        <v>0</v>
      </c>
      <c r="X56" s="46">
        <f>SUMIFS(台帳!$I$2:$I$2000,台帳!$A$2:$A$2000,$A56,台帳!$F$2:$F$2000,X$4)</f>
        <v>0</v>
      </c>
      <c r="Y56" s="46">
        <f>SUMIFS(台帳!$I$2:$I$2000,台帳!$A$2:$A$2000,$A56,台帳!$F$2:$F$2000,Y$4)</f>
        <v>0</v>
      </c>
      <c r="Z56" s="46">
        <f>SUMIFS(台帳!$I$2:$I$2000,台帳!$A$2:$A$2000,$A56,台帳!$F$2:$F$2000,Z$4)</f>
        <v>0</v>
      </c>
      <c r="AA56" s="46">
        <f>SUMIFS(台帳!$I$2:$I$2000,台帳!$A$2:$A$2000,$A56,台帳!$F$2:$F$2000,AA$4)</f>
        <v>0</v>
      </c>
      <c r="AB56" s="46">
        <f>SUMIFS(台帳!$I$2:$I$2000,台帳!$A$2:$A$2000,$A56,台帳!$F$2:$F$2000,AB$4)</f>
        <v>0</v>
      </c>
      <c r="AC56" s="46">
        <f>SUMIFS(台帳!$I$2:$I$2000,台帳!$A$2:$A$2000,$A56,台帳!$F$2:$F$2000,AC$4)</f>
        <v>0</v>
      </c>
      <c r="AD56" s="46">
        <f>SUMIFS(台帳!$I$2:$I$2000,台帳!$A$2:$A$2000,$A56,台帳!$F$2:$F$2000,AD$4)</f>
        <v>0</v>
      </c>
      <c r="AE56" s="46">
        <f>SUMIFS(台帳!$I$2:$I$2000,台帳!$A$2:$A$2000,$A56,台帳!$F$2:$F$2000,AE$4)</f>
        <v>0</v>
      </c>
      <c r="AF56" s="46">
        <f>SUMIFS(台帳!$I$2:$I$2000,台帳!$A$2:$A$2000,$A56,台帳!$F$2:$F$2000,AF$4)</f>
        <v>0</v>
      </c>
      <c r="AG56" s="46">
        <f>SUMIFS(台帳!$I$2:$I$2000,台帳!$A$2:$A$2000,$A56,台帳!$F$2:$F$2000,AG$4)</f>
        <v>0</v>
      </c>
      <c r="AH56" s="46">
        <f>SUMIFS(台帳!$I$2:$I$2000,台帳!$A$2:$A$2000,$A56,台帳!$F$2:$F$2000,AH$4)</f>
        <v>0</v>
      </c>
      <c r="AI56" s="46">
        <f>SUMIFS(台帳!$I$2:$I$2000,台帳!$A$2:$A$2000,$A56,台帳!$F$2:$F$2000,AI$4)</f>
        <v>0</v>
      </c>
      <c r="AJ56" s="46">
        <f>SUMIFS(台帳!$I$2:$I$2000,台帳!$A$2:$A$2000,$A56,台帳!$F$2:$F$2000,AJ$4)</f>
        <v>0</v>
      </c>
      <c r="AK56" s="46">
        <f>SUMIFS(台帳!$I$2:$I$2000,台帳!$A$2:$A$2000,$A56,台帳!$F$2:$F$2000,AK$4)</f>
        <v>0</v>
      </c>
      <c r="AL56" s="46">
        <f>SUMIFS(台帳!$I$2:$I$2000,台帳!$A$2:$A$2000,$A56,台帳!$F$2:$F$2000,AL$4)</f>
        <v>0</v>
      </c>
      <c r="AM56" s="46">
        <f>SUMIFS(台帳!$I$2:$I$2000,台帳!$A$2:$A$2000,$A56,台帳!$F$2:$F$2000,AM$4)</f>
        <v>0</v>
      </c>
      <c r="AN56" s="46">
        <f>SUMIFS(台帳!$I$2:$I$2000,台帳!$A$2:$A$2000,$A56,台帳!$F$2:$F$2000,AN$4)</f>
        <v>0</v>
      </c>
      <c r="AO56" s="46">
        <f>SUMIFS(台帳!$I$2:$I$2000,台帳!$A$2:$A$2000,$A56,台帳!$F$2:$F$2000,AO$4)</f>
        <v>0</v>
      </c>
      <c r="AP56" s="46">
        <f>SUMIFS(台帳!$I$2:$I$2000,台帳!$A$2:$A$2000,$A56,台帳!$F$2:$F$2000,AP$4)</f>
        <v>0</v>
      </c>
      <c r="AQ56" s="46">
        <f>SUMIFS(台帳!$I$2:$I$2000,台帳!$A$2:$A$2000,$A56,台帳!$F$2:$F$2000,AQ$4)</f>
        <v>0</v>
      </c>
      <c r="AR56" s="46">
        <f>SUM(C56:AQ56)</f>
        <v>0</v>
      </c>
    </row>
    <row r="57" spans="1:44" ht="17.25" x14ac:dyDescent="0.35">
      <c r="A57" s="44">
        <v>46184</v>
      </c>
      <c r="B57" s="45" t="str">
        <f>CHOOSE(WEEKDAY(A57),"日","月","火","水","木","金","土")</f>
        <v>木</v>
      </c>
      <c r="C57" s="46">
        <f>SUMIFS(台帳!$I$2:$I$2000,台帳!$A$2:$A$2000,$A57,台帳!$F$2:$F$2000,C$4)</f>
        <v>0</v>
      </c>
      <c r="D57" s="46">
        <f>SUMIFS(台帳!$I$2:$I$2000,台帳!$A$2:$A$2000,$A57,台帳!$F$2:$F$2000,D$4)</f>
        <v>0</v>
      </c>
      <c r="E57" s="46">
        <f>SUMIFS(台帳!$I$2:$I$2000,台帳!$A$2:$A$2000,$A57,台帳!$F$2:$F$2000,E$4)</f>
        <v>0</v>
      </c>
      <c r="F57" s="46">
        <f>SUMIFS(台帳!$I$2:$I$2000,台帳!$A$2:$A$2000,$A57,台帳!$F$2:$F$2000,F$4)</f>
        <v>0</v>
      </c>
      <c r="G57" s="46">
        <f>SUMIFS(台帳!$I$2:$I$2000,台帳!$A$2:$A$2000,$A57,台帳!$F$2:$F$2000,G$4)</f>
        <v>0</v>
      </c>
      <c r="H57" s="46">
        <f>SUMIFS(台帳!$I$2:$I$2000,台帳!$A$2:$A$2000,$A57,台帳!$F$2:$F$2000,H$4)</f>
        <v>0</v>
      </c>
      <c r="I57" s="46">
        <f>SUMIFS(台帳!$I$2:$I$2000,台帳!$A$2:$A$2000,$A57,台帳!$F$2:$F$2000,I$4)</f>
        <v>0</v>
      </c>
      <c r="J57" s="46">
        <f>SUMIFS(台帳!$I$2:$I$2000,台帳!$A$2:$A$2000,$A57,台帳!$F$2:$F$2000,J$4)</f>
        <v>0</v>
      </c>
      <c r="K57" s="46">
        <f>SUMIFS(台帳!$I$2:$I$2000,台帳!$A$2:$A$2000,$A57,台帳!$F$2:$F$2000,K$4)</f>
        <v>0</v>
      </c>
      <c r="L57" s="46">
        <f>SUMIFS(台帳!$I$2:$I$2000,台帳!$A$2:$A$2000,$A57,台帳!$F$2:$F$2000,L$4)</f>
        <v>0</v>
      </c>
      <c r="M57" s="46">
        <f>SUMIFS(台帳!$I$2:$I$2000,台帳!$A$2:$A$2000,$A57,台帳!$F$2:$F$2000,M$4)</f>
        <v>0</v>
      </c>
      <c r="N57" s="46">
        <f>SUMIFS(台帳!$I$2:$I$2000,台帳!$A$2:$A$2000,$A57,台帳!$F$2:$F$2000,N$4)</f>
        <v>0</v>
      </c>
      <c r="O57" s="46">
        <f>SUMIFS(台帳!$I$2:$I$2000,台帳!$A$2:$A$2000,$A57,台帳!$F$2:$F$2000,O$4)</f>
        <v>0</v>
      </c>
      <c r="P57" s="46">
        <f>SUMIFS(台帳!$I$2:$I$2000,台帳!$A$2:$A$2000,$A57,台帳!$F$2:$F$2000,P$4)</f>
        <v>0</v>
      </c>
      <c r="Q57" s="46">
        <f>SUMIFS(台帳!$I$2:$I$2000,台帳!$A$2:$A$2000,$A57,台帳!$F$2:$F$2000,Q$4)</f>
        <v>0</v>
      </c>
      <c r="R57" s="46">
        <f>SUMIFS(台帳!$I$2:$I$2000,台帳!$A$2:$A$2000,$A57,台帳!$F$2:$F$2000,R$4)</f>
        <v>0</v>
      </c>
      <c r="S57" s="46">
        <f>SUMIFS(台帳!$I$2:$I$2000,台帳!$A$2:$A$2000,$A57,台帳!$F$2:$F$2000,S$4)</f>
        <v>0</v>
      </c>
      <c r="T57" s="46">
        <f>SUMIFS(台帳!$I$2:$I$2000,台帳!$A$2:$A$2000,$A57,台帳!$F$2:$F$2000,T$4)</f>
        <v>0</v>
      </c>
      <c r="U57" s="46">
        <f>SUMIFS(台帳!$I$2:$I$2000,台帳!$A$2:$A$2000,$A57,台帳!$F$2:$F$2000,U$4)</f>
        <v>0</v>
      </c>
      <c r="V57" s="46">
        <f>SUMIFS(台帳!$I$2:$I$2000,台帳!$A$2:$A$2000,$A57,台帳!$F$2:$F$2000,V$4)</f>
        <v>0</v>
      </c>
      <c r="W57" s="46">
        <f>SUMIFS(台帳!$I$2:$I$2000,台帳!$A$2:$A$2000,$A57,台帳!$F$2:$F$2000,W$4)</f>
        <v>0</v>
      </c>
      <c r="X57" s="46">
        <f>SUMIFS(台帳!$I$2:$I$2000,台帳!$A$2:$A$2000,$A57,台帳!$F$2:$F$2000,X$4)</f>
        <v>0</v>
      </c>
      <c r="Y57" s="46">
        <f>SUMIFS(台帳!$I$2:$I$2000,台帳!$A$2:$A$2000,$A57,台帳!$F$2:$F$2000,Y$4)</f>
        <v>0</v>
      </c>
      <c r="Z57" s="46">
        <f>SUMIFS(台帳!$I$2:$I$2000,台帳!$A$2:$A$2000,$A57,台帳!$F$2:$F$2000,Z$4)</f>
        <v>0</v>
      </c>
      <c r="AA57" s="46">
        <f>SUMIFS(台帳!$I$2:$I$2000,台帳!$A$2:$A$2000,$A57,台帳!$F$2:$F$2000,AA$4)</f>
        <v>0</v>
      </c>
      <c r="AB57" s="46">
        <f>SUMIFS(台帳!$I$2:$I$2000,台帳!$A$2:$A$2000,$A57,台帳!$F$2:$F$2000,AB$4)</f>
        <v>0</v>
      </c>
      <c r="AC57" s="46">
        <f>SUMIFS(台帳!$I$2:$I$2000,台帳!$A$2:$A$2000,$A57,台帳!$F$2:$F$2000,AC$4)</f>
        <v>0</v>
      </c>
      <c r="AD57" s="46">
        <f>SUMIFS(台帳!$I$2:$I$2000,台帳!$A$2:$A$2000,$A57,台帳!$F$2:$F$2000,AD$4)</f>
        <v>0</v>
      </c>
      <c r="AE57" s="46">
        <f>SUMIFS(台帳!$I$2:$I$2000,台帳!$A$2:$A$2000,$A57,台帳!$F$2:$F$2000,AE$4)</f>
        <v>0</v>
      </c>
      <c r="AF57" s="46">
        <f>SUMIFS(台帳!$I$2:$I$2000,台帳!$A$2:$A$2000,$A57,台帳!$F$2:$F$2000,AF$4)</f>
        <v>0</v>
      </c>
      <c r="AG57" s="46">
        <f>SUMIFS(台帳!$I$2:$I$2000,台帳!$A$2:$A$2000,$A57,台帳!$F$2:$F$2000,AG$4)</f>
        <v>0</v>
      </c>
      <c r="AH57" s="46">
        <f>SUMIFS(台帳!$I$2:$I$2000,台帳!$A$2:$A$2000,$A57,台帳!$F$2:$F$2000,AH$4)</f>
        <v>0</v>
      </c>
      <c r="AI57" s="46">
        <f>SUMIFS(台帳!$I$2:$I$2000,台帳!$A$2:$A$2000,$A57,台帳!$F$2:$F$2000,AI$4)</f>
        <v>0</v>
      </c>
      <c r="AJ57" s="46">
        <f>SUMIFS(台帳!$I$2:$I$2000,台帳!$A$2:$A$2000,$A57,台帳!$F$2:$F$2000,AJ$4)</f>
        <v>0</v>
      </c>
      <c r="AK57" s="46">
        <f>SUMIFS(台帳!$I$2:$I$2000,台帳!$A$2:$A$2000,$A57,台帳!$F$2:$F$2000,AK$4)</f>
        <v>0</v>
      </c>
      <c r="AL57" s="46">
        <f>SUMIFS(台帳!$I$2:$I$2000,台帳!$A$2:$A$2000,$A57,台帳!$F$2:$F$2000,AL$4)</f>
        <v>0</v>
      </c>
      <c r="AM57" s="46">
        <f>SUMIFS(台帳!$I$2:$I$2000,台帳!$A$2:$A$2000,$A57,台帳!$F$2:$F$2000,AM$4)</f>
        <v>0</v>
      </c>
      <c r="AN57" s="46">
        <f>SUMIFS(台帳!$I$2:$I$2000,台帳!$A$2:$A$2000,$A57,台帳!$F$2:$F$2000,AN$4)</f>
        <v>0</v>
      </c>
      <c r="AO57" s="46">
        <f>SUMIFS(台帳!$I$2:$I$2000,台帳!$A$2:$A$2000,$A57,台帳!$F$2:$F$2000,AO$4)</f>
        <v>0</v>
      </c>
      <c r="AP57" s="46">
        <f>SUMIFS(台帳!$I$2:$I$2000,台帳!$A$2:$A$2000,$A57,台帳!$F$2:$F$2000,AP$4)</f>
        <v>0</v>
      </c>
      <c r="AQ57" s="46">
        <f>SUMIFS(台帳!$I$2:$I$2000,台帳!$A$2:$A$2000,$A57,台帳!$F$2:$F$2000,AQ$4)</f>
        <v>0</v>
      </c>
      <c r="AR57" s="46">
        <f>SUM(C57:AQ57)</f>
        <v>0</v>
      </c>
    </row>
    <row r="58" spans="1:44" ht="17.25" x14ac:dyDescent="0.35">
      <c r="A58" s="44">
        <v>46185</v>
      </c>
      <c r="B58" s="45" t="str">
        <f>CHOOSE(WEEKDAY(A58),"日","月","火","水","木","金","土")</f>
        <v>金</v>
      </c>
      <c r="C58" s="46">
        <f>SUMIFS(台帳!$I$2:$I$2000,台帳!$A$2:$A$2000,$A58,台帳!$F$2:$F$2000,C$4)</f>
        <v>0</v>
      </c>
      <c r="D58" s="46">
        <f>SUMIFS(台帳!$I$2:$I$2000,台帳!$A$2:$A$2000,$A58,台帳!$F$2:$F$2000,D$4)</f>
        <v>0</v>
      </c>
      <c r="E58" s="46">
        <f>SUMIFS(台帳!$I$2:$I$2000,台帳!$A$2:$A$2000,$A58,台帳!$F$2:$F$2000,E$4)</f>
        <v>0</v>
      </c>
      <c r="F58" s="46">
        <f>SUMIFS(台帳!$I$2:$I$2000,台帳!$A$2:$A$2000,$A58,台帳!$F$2:$F$2000,F$4)</f>
        <v>0</v>
      </c>
      <c r="G58" s="46">
        <f>SUMIFS(台帳!$I$2:$I$2000,台帳!$A$2:$A$2000,$A58,台帳!$F$2:$F$2000,G$4)</f>
        <v>0</v>
      </c>
      <c r="H58" s="46">
        <f>SUMIFS(台帳!$I$2:$I$2000,台帳!$A$2:$A$2000,$A58,台帳!$F$2:$F$2000,H$4)</f>
        <v>4</v>
      </c>
      <c r="I58" s="46">
        <f>SUMIFS(台帳!$I$2:$I$2000,台帳!$A$2:$A$2000,$A58,台帳!$F$2:$F$2000,I$4)</f>
        <v>0</v>
      </c>
      <c r="J58" s="46">
        <f>SUMIFS(台帳!$I$2:$I$2000,台帳!$A$2:$A$2000,$A58,台帳!$F$2:$F$2000,J$4)</f>
        <v>0</v>
      </c>
      <c r="K58" s="46">
        <f>SUMIFS(台帳!$I$2:$I$2000,台帳!$A$2:$A$2000,$A58,台帳!$F$2:$F$2000,K$4)</f>
        <v>0</v>
      </c>
      <c r="L58" s="46">
        <f>SUMIFS(台帳!$I$2:$I$2000,台帳!$A$2:$A$2000,$A58,台帳!$F$2:$F$2000,L$4)</f>
        <v>0</v>
      </c>
      <c r="M58" s="46">
        <f>SUMIFS(台帳!$I$2:$I$2000,台帳!$A$2:$A$2000,$A58,台帳!$F$2:$F$2000,M$4)</f>
        <v>0</v>
      </c>
      <c r="N58" s="46">
        <f>SUMIFS(台帳!$I$2:$I$2000,台帳!$A$2:$A$2000,$A58,台帳!$F$2:$F$2000,N$4)</f>
        <v>0</v>
      </c>
      <c r="O58" s="46">
        <f>SUMIFS(台帳!$I$2:$I$2000,台帳!$A$2:$A$2000,$A58,台帳!$F$2:$F$2000,O$4)</f>
        <v>0</v>
      </c>
      <c r="P58" s="46">
        <f>SUMIFS(台帳!$I$2:$I$2000,台帳!$A$2:$A$2000,$A58,台帳!$F$2:$F$2000,P$4)</f>
        <v>0</v>
      </c>
      <c r="Q58" s="46">
        <f>SUMIFS(台帳!$I$2:$I$2000,台帳!$A$2:$A$2000,$A58,台帳!$F$2:$F$2000,Q$4)</f>
        <v>0</v>
      </c>
      <c r="R58" s="46">
        <f>SUMIFS(台帳!$I$2:$I$2000,台帳!$A$2:$A$2000,$A58,台帳!$F$2:$F$2000,R$4)</f>
        <v>0</v>
      </c>
      <c r="S58" s="46">
        <f>SUMIFS(台帳!$I$2:$I$2000,台帳!$A$2:$A$2000,$A58,台帳!$F$2:$F$2000,S$4)</f>
        <v>0</v>
      </c>
      <c r="T58" s="46">
        <f>SUMIFS(台帳!$I$2:$I$2000,台帳!$A$2:$A$2000,$A58,台帳!$F$2:$F$2000,T$4)</f>
        <v>0</v>
      </c>
      <c r="U58" s="46">
        <f>SUMIFS(台帳!$I$2:$I$2000,台帳!$A$2:$A$2000,$A58,台帳!$F$2:$F$2000,U$4)</f>
        <v>0</v>
      </c>
      <c r="V58" s="46">
        <f>SUMIFS(台帳!$I$2:$I$2000,台帳!$A$2:$A$2000,$A58,台帳!$F$2:$F$2000,V$4)</f>
        <v>0</v>
      </c>
      <c r="W58" s="46">
        <f>SUMIFS(台帳!$I$2:$I$2000,台帳!$A$2:$A$2000,$A58,台帳!$F$2:$F$2000,W$4)</f>
        <v>0</v>
      </c>
      <c r="X58" s="46">
        <f>SUMIFS(台帳!$I$2:$I$2000,台帳!$A$2:$A$2000,$A58,台帳!$F$2:$F$2000,X$4)</f>
        <v>0</v>
      </c>
      <c r="Y58" s="46">
        <f>SUMIFS(台帳!$I$2:$I$2000,台帳!$A$2:$A$2000,$A58,台帳!$F$2:$F$2000,Y$4)</f>
        <v>0</v>
      </c>
      <c r="Z58" s="46">
        <f>SUMIFS(台帳!$I$2:$I$2000,台帳!$A$2:$A$2000,$A58,台帳!$F$2:$F$2000,Z$4)</f>
        <v>0</v>
      </c>
      <c r="AA58" s="46">
        <f>SUMIFS(台帳!$I$2:$I$2000,台帳!$A$2:$A$2000,$A58,台帳!$F$2:$F$2000,AA$4)</f>
        <v>0</v>
      </c>
      <c r="AB58" s="46">
        <f>SUMIFS(台帳!$I$2:$I$2000,台帳!$A$2:$A$2000,$A58,台帳!$F$2:$F$2000,AB$4)</f>
        <v>0</v>
      </c>
      <c r="AC58" s="46">
        <f>SUMIFS(台帳!$I$2:$I$2000,台帳!$A$2:$A$2000,$A58,台帳!$F$2:$F$2000,AC$4)</f>
        <v>0</v>
      </c>
      <c r="AD58" s="46">
        <f>SUMIFS(台帳!$I$2:$I$2000,台帳!$A$2:$A$2000,$A58,台帳!$F$2:$F$2000,AD$4)</f>
        <v>0</v>
      </c>
      <c r="AE58" s="46">
        <f>SUMIFS(台帳!$I$2:$I$2000,台帳!$A$2:$A$2000,$A58,台帳!$F$2:$F$2000,AE$4)</f>
        <v>0</v>
      </c>
      <c r="AF58" s="46">
        <f>SUMIFS(台帳!$I$2:$I$2000,台帳!$A$2:$A$2000,$A58,台帳!$F$2:$F$2000,AF$4)</f>
        <v>0</v>
      </c>
      <c r="AG58" s="46">
        <f>SUMIFS(台帳!$I$2:$I$2000,台帳!$A$2:$A$2000,$A58,台帳!$F$2:$F$2000,AG$4)</f>
        <v>0</v>
      </c>
      <c r="AH58" s="46">
        <f>SUMIFS(台帳!$I$2:$I$2000,台帳!$A$2:$A$2000,$A58,台帳!$F$2:$F$2000,AH$4)</f>
        <v>0</v>
      </c>
      <c r="AI58" s="46">
        <f>SUMIFS(台帳!$I$2:$I$2000,台帳!$A$2:$A$2000,$A58,台帳!$F$2:$F$2000,AI$4)</f>
        <v>0</v>
      </c>
      <c r="AJ58" s="46">
        <f>SUMIFS(台帳!$I$2:$I$2000,台帳!$A$2:$A$2000,$A58,台帳!$F$2:$F$2000,AJ$4)</f>
        <v>0</v>
      </c>
      <c r="AK58" s="46">
        <f>SUMIFS(台帳!$I$2:$I$2000,台帳!$A$2:$A$2000,$A58,台帳!$F$2:$F$2000,AK$4)</f>
        <v>0</v>
      </c>
      <c r="AL58" s="46">
        <f>SUMIFS(台帳!$I$2:$I$2000,台帳!$A$2:$A$2000,$A58,台帳!$F$2:$F$2000,AL$4)</f>
        <v>0</v>
      </c>
      <c r="AM58" s="46">
        <f>SUMIFS(台帳!$I$2:$I$2000,台帳!$A$2:$A$2000,$A58,台帳!$F$2:$F$2000,AM$4)</f>
        <v>0</v>
      </c>
      <c r="AN58" s="46">
        <f>SUMIFS(台帳!$I$2:$I$2000,台帳!$A$2:$A$2000,$A58,台帳!$F$2:$F$2000,AN$4)</f>
        <v>0</v>
      </c>
      <c r="AO58" s="46">
        <f>SUMIFS(台帳!$I$2:$I$2000,台帳!$A$2:$A$2000,$A58,台帳!$F$2:$F$2000,AO$4)</f>
        <v>0</v>
      </c>
      <c r="AP58" s="46">
        <f>SUMIFS(台帳!$I$2:$I$2000,台帳!$A$2:$A$2000,$A58,台帳!$F$2:$F$2000,AP$4)</f>
        <v>0</v>
      </c>
      <c r="AQ58" s="46">
        <f>SUMIFS(台帳!$I$2:$I$2000,台帳!$A$2:$A$2000,$A58,台帳!$F$2:$F$2000,AQ$4)</f>
        <v>0</v>
      </c>
      <c r="AR58" s="46">
        <f>SUM(C58:AQ58)</f>
        <v>4</v>
      </c>
    </row>
    <row r="59" spans="1:44" ht="17.25" x14ac:dyDescent="0.35">
      <c r="A59" s="44">
        <v>46186</v>
      </c>
      <c r="B59" s="45" t="str">
        <f>CHOOSE(WEEKDAY(A59),"日","月","火","水","木","金","土")</f>
        <v>土</v>
      </c>
      <c r="C59" s="46">
        <f>SUMIFS(台帳!$I$2:$I$2000,台帳!$A$2:$A$2000,$A59,台帳!$F$2:$F$2000,C$4)</f>
        <v>0</v>
      </c>
      <c r="D59" s="46">
        <f>SUMIFS(台帳!$I$2:$I$2000,台帳!$A$2:$A$2000,$A59,台帳!$F$2:$F$2000,D$4)</f>
        <v>0</v>
      </c>
      <c r="E59" s="46">
        <f>SUMIFS(台帳!$I$2:$I$2000,台帳!$A$2:$A$2000,$A59,台帳!$F$2:$F$2000,E$4)</f>
        <v>0</v>
      </c>
      <c r="F59" s="46">
        <f>SUMIFS(台帳!$I$2:$I$2000,台帳!$A$2:$A$2000,$A59,台帳!$F$2:$F$2000,F$4)</f>
        <v>0</v>
      </c>
      <c r="G59" s="46">
        <f>SUMIFS(台帳!$I$2:$I$2000,台帳!$A$2:$A$2000,$A59,台帳!$F$2:$F$2000,G$4)</f>
        <v>0</v>
      </c>
      <c r="H59" s="46">
        <f>SUMIFS(台帳!$I$2:$I$2000,台帳!$A$2:$A$2000,$A59,台帳!$F$2:$F$2000,H$4)</f>
        <v>4</v>
      </c>
      <c r="I59" s="46">
        <f>SUMIFS(台帳!$I$2:$I$2000,台帳!$A$2:$A$2000,$A59,台帳!$F$2:$F$2000,I$4)</f>
        <v>0</v>
      </c>
      <c r="J59" s="46">
        <f>SUMIFS(台帳!$I$2:$I$2000,台帳!$A$2:$A$2000,$A59,台帳!$F$2:$F$2000,J$4)</f>
        <v>0</v>
      </c>
      <c r="K59" s="46">
        <f>SUMIFS(台帳!$I$2:$I$2000,台帳!$A$2:$A$2000,$A59,台帳!$F$2:$F$2000,K$4)</f>
        <v>0</v>
      </c>
      <c r="L59" s="46">
        <f>SUMIFS(台帳!$I$2:$I$2000,台帳!$A$2:$A$2000,$A59,台帳!$F$2:$F$2000,L$4)</f>
        <v>0</v>
      </c>
      <c r="M59" s="46">
        <f>SUMIFS(台帳!$I$2:$I$2000,台帳!$A$2:$A$2000,$A59,台帳!$F$2:$F$2000,M$4)</f>
        <v>0</v>
      </c>
      <c r="N59" s="46">
        <f>SUMIFS(台帳!$I$2:$I$2000,台帳!$A$2:$A$2000,$A59,台帳!$F$2:$F$2000,N$4)</f>
        <v>0</v>
      </c>
      <c r="O59" s="46">
        <f>SUMIFS(台帳!$I$2:$I$2000,台帳!$A$2:$A$2000,$A59,台帳!$F$2:$F$2000,O$4)</f>
        <v>0</v>
      </c>
      <c r="P59" s="46">
        <f>SUMIFS(台帳!$I$2:$I$2000,台帳!$A$2:$A$2000,$A59,台帳!$F$2:$F$2000,P$4)</f>
        <v>0</v>
      </c>
      <c r="Q59" s="46">
        <f>SUMIFS(台帳!$I$2:$I$2000,台帳!$A$2:$A$2000,$A59,台帳!$F$2:$F$2000,Q$4)</f>
        <v>0</v>
      </c>
      <c r="R59" s="46">
        <f>SUMIFS(台帳!$I$2:$I$2000,台帳!$A$2:$A$2000,$A59,台帳!$F$2:$F$2000,R$4)</f>
        <v>0</v>
      </c>
      <c r="S59" s="46">
        <f>SUMIFS(台帳!$I$2:$I$2000,台帳!$A$2:$A$2000,$A59,台帳!$F$2:$F$2000,S$4)</f>
        <v>0</v>
      </c>
      <c r="T59" s="46">
        <f>SUMIFS(台帳!$I$2:$I$2000,台帳!$A$2:$A$2000,$A59,台帳!$F$2:$F$2000,T$4)</f>
        <v>0</v>
      </c>
      <c r="U59" s="46">
        <f>SUMIFS(台帳!$I$2:$I$2000,台帳!$A$2:$A$2000,$A59,台帳!$F$2:$F$2000,U$4)</f>
        <v>0</v>
      </c>
      <c r="V59" s="46">
        <f>SUMIFS(台帳!$I$2:$I$2000,台帳!$A$2:$A$2000,$A59,台帳!$F$2:$F$2000,V$4)</f>
        <v>0</v>
      </c>
      <c r="W59" s="46">
        <f>SUMIFS(台帳!$I$2:$I$2000,台帳!$A$2:$A$2000,$A59,台帳!$F$2:$F$2000,W$4)</f>
        <v>0</v>
      </c>
      <c r="X59" s="46">
        <f>SUMIFS(台帳!$I$2:$I$2000,台帳!$A$2:$A$2000,$A59,台帳!$F$2:$F$2000,X$4)</f>
        <v>0</v>
      </c>
      <c r="Y59" s="46">
        <f>SUMIFS(台帳!$I$2:$I$2000,台帳!$A$2:$A$2000,$A59,台帳!$F$2:$F$2000,Y$4)</f>
        <v>0</v>
      </c>
      <c r="Z59" s="46">
        <f>SUMIFS(台帳!$I$2:$I$2000,台帳!$A$2:$A$2000,$A59,台帳!$F$2:$F$2000,Z$4)</f>
        <v>0</v>
      </c>
      <c r="AA59" s="46">
        <f>SUMIFS(台帳!$I$2:$I$2000,台帳!$A$2:$A$2000,$A59,台帳!$F$2:$F$2000,AA$4)</f>
        <v>0</v>
      </c>
      <c r="AB59" s="46">
        <f>SUMIFS(台帳!$I$2:$I$2000,台帳!$A$2:$A$2000,$A59,台帳!$F$2:$F$2000,AB$4)</f>
        <v>0</v>
      </c>
      <c r="AC59" s="46">
        <f>SUMIFS(台帳!$I$2:$I$2000,台帳!$A$2:$A$2000,$A59,台帳!$F$2:$F$2000,AC$4)</f>
        <v>0</v>
      </c>
      <c r="AD59" s="46">
        <f>SUMIFS(台帳!$I$2:$I$2000,台帳!$A$2:$A$2000,$A59,台帳!$F$2:$F$2000,AD$4)</f>
        <v>0</v>
      </c>
      <c r="AE59" s="46">
        <f>SUMIFS(台帳!$I$2:$I$2000,台帳!$A$2:$A$2000,$A59,台帳!$F$2:$F$2000,AE$4)</f>
        <v>0</v>
      </c>
      <c r="AF59" s="46">
        <f>SUMIFS(台帳!$I$2:$I$2000,台帳!$A$2:$A$2000,$A59,台帳!$F$2:$F$2000,AF$4)</f>
        <v>0</v>
      </c>
      <c r="AG59" s="46">
        <f>SUMIFS(台帳!$I$2:$I$2000,台帳!$A$2:$A$2000,$A59,台帳!$F$2:$F$2000,AG$4)</f>
        <v>0</v>
      </c>
      <c r="AH59" s="46">
        <f>SUMIFS(台帳!$I$2:$I$2000,台帳!$A$2:$A$2000,$A59,台帳!$F$2:$F$2000,AH$4)</f>
        <v>0</v>
      </c>
      <c r="AI59" s="46">
        <f>SUMIFS(台帳!$I$2:$I$2000,台帳!$A$2:$A$2000,$A59,台帳!$F$2:$F$2000,AI$4)</f>
        <v>0</v>
      </c>
      <c r="AJ59" s="46">
        <f>SUMIFS(台帳!$I$2:$I$2000,台帳!$A$2:$A$2000,$A59,台帳!$F$2:$F$2000,AJ$4)</f>
        <v>0</v>
      </c>
      <c r="AK59" s="46">
        <f>SUMIFS(台帳!$I$2:$I$2000,台帳!$A$2:$A$2000,$A59,台帳!$F$2:$F$2000,AK$4)</f>
        <v>0</v>
      </c>
      <c r="AL59" s="46">
        <f>SUMIFS(台帳!$I$2:$I$2000,台帳!$A$2:$A$2000,$A59,台帳!$F$2:$F$2000,AL$4)</f>
        <v>0</v>
      </c>
      <c r="AM59" s="46">
        <f>SUMIFS(台帳!$I$2:$I$2000,台帳!$A$2:$A$2000,$A59,台帳!$F$2:$F$2000,AM$4)</f>
        <v>0</v>
      </c>
      <c r="AN59" s="46">
        <f>SUMIFS(台帳!$I$2:$I$2000,台帳!$A$2:$A$2000,$A59,台帳!$F$2:$F$2000,AN$4)</f>
        <v>0</v>
      </c>
      <c r="AO59" s="46">
        <f>SUMIFS(台帳!$I$2:$I$2000,台帳!$A$2:$A$2000,$A59,台帳!$F$2:$F$2000,AO$4)</f>
        <v>0</v>
      </c>
      <c r="AP59" s="46">
        <f>SUMIFS(台帳!$I$2:$I$2000,台帳!$A$2:$A$2000,$A59,台帳!$F$2:$F$2000,AP$4)</f>
        <v>0</v>
      </c>
      <c r="AQ59" s="46">
        <f>SUMIFS(台帳!$I$2:$I$2000,台帳!$A$2:$A$2000,$A59,台帳!$F$2:$F$2000,AQ$4)</f>
        <v>0</v>
      </c>
      <c r="AR59" s="46">
        <f>SUM(C59:AQ59)</f>
        <v>4</v>
      </c>
    </row>
    <row r="60" spans="1:44" ht="17.25" x14ac:dyDescent="0.35">
      <c r="A60" s="44">
        <v>46187</v>
      </c>
      <c r="B60" s="45" t="str">
        <f>CHOOSE(WEEKDAY(A60),"日","月","火","水","木","金","土")</f>
        <v>日</v>
      </c>
      <c r="C60" s="46">
        <f>SUMIFS(台帳!$I$2:$I$2000,台帳!$A$2:$A$2000,$A60,台帳!$F$2:$F$2000,C$4)</f>
        <v>0</v>
      </c>
      <c r="D60" s="46">
        <f>SUMIFS(台帳!$I$2:$I$2000,台帳!$A$2:$A$2000,$A60,台帳!$F$2:$F$2000,D$4)</f>
        <v>0</v>
      </c>
      <c r="E60" s="46">
        <f>SUMIFS(台帳!$I$2:$I$2000,台帳!$A$2:$A$2000,$A60,台帳!$F$2:$F$2000,E$4)</f>
        <v>0</v>
      </c>
      <c r="F60" s="46">
        <f>SUMIFS(台帳!$I$2:$I$2000,台帳!$A$2:$A$2000,$A60,台帳!$F$2:$F$2000,F$4)</f>
        <v>0</v>
      </c>
      <c r="G60" s="46">
        <f>SUMIFS(台帳!$I$2:$I$2000,台帳!$A$2:$A$2000,$A60,台帳!$F$2:$F$2000,G$4)</f>
        <v>0</v>
      </c>
      <c r="H60" s="46">
        <f>SUMIFS(台帳!$I$2:$I$2000,台帳!$A$2:$A$2000,$A60,台帳!$F$2:$F$2000,H$4)</f>
        <v>0</v>
      </c>
      <c r="I60" s="46">
        <f>SUMIFS(台帳!$I$2:$I$2000,台帳!$A$2:$A$2000,$A60,台帳!$F$2:$F$2000,I$4)</f>
        <v>0</v>
      </c>
      <c r="J60" s="46">
        <f>SUMIFS(台帳!$I$2:$I$2000,台帳!$A$2:$A$2000,$A60,台帳!$F$2:$F$2000,J$4)</f>
        <v>0</v>
      </c>
      <c r="K60" s="46">
        <f>SUMIFS(台帳!$I$2:$I$2000,台帳!$A$2:$A$2000,$A60,台帳!$F$2:$F$2000,K$4)</f>
        <v>0</v>
      </c>
      <c r="L60" s="46">
        <f>SUMIFS(台帳!$I$2:$I$2000,台帳!$A$2:$A$2000,$A60,台帳!$F$2:$F$2000,L$4)</f>
        <v>0</v>
      </c>
      <c r="M60" s="46">
        <f>SUMIFS(台帳!$I$2:$I$2000,台帳!$A$2:$A$2000,$A60,台帳!$F$2:$F$2000,M$4)</f>
        <v>0</v>
      </c>
      <c r="N60" s="46">
        <f>SUMIFS(台帳!$I$2:$I$2000,台帳!$A$2:$A$2000,$A60,台帳!$F$2:$F$2000,N$4)</f>
        <v>0</v>
      </c>
      <c r="O60" s="46">
        <f>SUMIFS(台帳!$I$2:$I$2000,台帳!$A$2:$A$2000,$A60,台帳!$F$2:$F$2000,O$4)</f>
        <v>0</v>
      </c>
      <c r="P60" s="46">
        <f>SUMIFS(台帳!$I$2:$I$2000,台帳!$A$2:$A$2000,$A60,台帳!$F$2:$F$2000,P$4)</f>
        <v>0</v>
      </c>
      <c r="Q60" s="46">
        <f>SUMIFS(台帳!$I$2:$I$2000,台帳!$A$2:$A$2000,$A60,台帳!$F$2:$F$2000,Q$4)</f>
        <v>0</v>
      </c>
      <c r="R60" s="46">
        <f>SUMIFS(台帳!$I$2:$I$2000,台帳!$A$2:$A$2000,$A60,台帳!$F$2:$F$2000,R$4)</f>
        <v>0</v>
      </c>
      <c r="S60" s="46">
        <f>SUMIFS(台帳!$I$2:$I$2000,台帳!$A$2:$A$2000,$A60,台帳!$F$2:$F$2000,S$4)</f>
        <v>0</v>
      </c>
      <c r="T60" s="46">
        <f>SUMIFS(台帳!$I$2:$I$2000,台帳!$A$2:$A$2000,$A60,台帳!$F$2:$F$2000,T$4)</f>
        <v>0</v>
      </c>
      <c r="U60" s="46">
        <f>SUMIFS(台帳!$I$2:$I$2000,台帳!$A$2:$A$2000,$A60,台帳!$F$2:$F$2000,U$4)</f>
        <v>0</v>
      </c>
      <c r="V60" s="46">
        <f>SUMIFS(台帳!$I$2:$I$2000,台帳!$A$2:$A$2000,$A60,台帳!$F$2:$F$2000,V$4)</f>
        <v>0</v>
      </c>
      <c r="W60" s="46">
        <f>SUMIFS(台帳!$I$2:$I$2000,台帳!$A$2:$A$2000,$A60,台帳!$F$2:$F$2000,W$4)</f>
        <v>0</v>
      </c>
      <c r="X60" s="46">
        <f>SUMIFS(台帳!$I$2:$I$2000,台帳!$A$2:$A$2000,$A60,台帳!$F$2:$F$2000,X$4)</f>
        <v>0</v>
      </c>
      <c r="Y60" s="46">
        <f>SUMIFS(台帳!$I$2:$I$2000,台帳!$A$2:$A$2000,$A60,台帳!$F$2:$F$2000,Y$4)</f>
        <v>0</v>
      </c>
      <c r="Z60" s="46">
        <f>SUMIFS(台帳!$I$2:$I$2000,台帳!$A$2:$A$2000,$A60,台帳!$F$2:$F$2000,Z$4)</f>
        <v>0</v>
      </c>
      <c r="AA60" s="46">
        <f>SUMIFS(台帳!$I$2:$I$2000,台帳!$A$2:$A$2000,$A60,台帳!$F$2:$F$2000,AA$4)</f>
        <v>0</v>
      </c>
      <c r="AB60" s="46">
        <f>SUMIFS(台帳!$I$2:$I$2000,台帳!$A$2:$A$2000,$A60,台帳!$F$2:$F$2000,AB$4)</f>
        <v>0</v>
      </c>
      <c r="AC60" s="46">
        <f>SUMIFS(台帳!$I$2:$I$2000,台帳!$A$2:$A$2000,$A60,台帳!$F$2:$F$2000,AC$4)</f>
        <v>0</v>
      </c>
      <c r="AD60" s="46">
        <f>SUMIFS(台帳!$I$2:$I$2000,台帳!$A$2:$A$2000,$A60,台帳!$F$2:$F$2000,AD$4)</f>
        <v>0</v>
      </c>
      <c r="AE60" s="46">
        <f>SUMIFS(台帳!$I$2:$I$2000,台帳!$A$2:$A$2000,$A60,台帳!$F$2:$F$2000,AE$4)</f>
        <v>0</v>
      </c>
      <c r="AF60" s="46">
        <f>SUMIFS(台帳!$I$2:$I$2000,台帳!$A$2:$A$2000,$A60,台帳!$F$2:$F$2000,AF$4)</f>
        <v>0</v>
      </c>
      <c r="AG60" s="46">
        <f>SUMIFS(台帳!$I$2:$I$2000,台帳!$A$2:$A$2000,$A60,台帳!$F$2:$F$2000,AG$4)</f>
        <v>0</v>
      </c>
      <c r="AH60" s="46">
        <f>SUMIFS(台帳!$I$2:$I$2000,台帳!$A$2:$A$2000,$A60,台帳!$F$2:$F$2000,AH$4)</f>
        <v>0</v>
      </c>
      <c r="AI60" s="46">
        <f>SUMIFS(台帳!$I$2:$I$2000,台帳!$A$2:$A$2000,$A60,台帳!$F$2:$F$2000,AI$4)</f>
        <v>0</v>
      </c>
      <c r="AJ60" s="46">
        <f>SUMIFS(台帳!$I$2:$I$2000,台帳!$A$2:$A$2000,$A60,台帳!$F$2:$F$2000,AJ$4)</f>
        <v>0</v>
      </c>
      <c r="AK60" s="46">
        <f>SUMIFS(台帳!$I$2:$I$2000,台帳!$A$2:$A$2000,$A60,台帳!$F$2:$F$2000,AK$4)</f>
        <v>0</v>
      </c>
      <c r="AL60" s="46">
        <f>SUMIFS(台帳!$I$2:$I$2000,台帳!$A$2:$A$2000,$A60,台帳!$F$2:$F$2000,AL$4)</f>
        <v>0</v>
      </c>
      <c r="AM60" s="46">
        <f>SUMIFS(台帳!$I$2:$I$2000,台帳!$A$2:$A$2000,$A60,台帳!$F$2:$F$2000,AM$4)</f>
        <v>0</v>
      </c>
      <c r="AN60" s="46">
        <f>SUMIFS(台帳!$I$2:$I$2000,台帳!$A$2:$A$2000,$A60,台帳!$F$2:$F$2000,AN$4)</f>
        <v>0</v>
      </c>
      <c r="AO60" s="46">
        <f>SUMIFS(台帳!$I$2:$I$2000,台帳!$A$2:$A$2000,$A60,台帳!$F$2:$F$2000,AO$4)</f>
        <v>0</v>
      </c>
      <c r="AP60" s="46">
        <f>SUMIFS(台帳!$I$2:$I$2000,台帳!$A$2:$A$2000,$A60,台帳!$F$2:$F$2000,AP$4)</f>
        <v>0</v>
      </c>
      <c r="AQ60" s="46">
        <f>SUMIFS(台帳!$I$2:$I$2000,台帳!$A$2:$A$2000,$A60,台帳!$F$2:$F$2000,AQ$4)</f>
        <v>0</v>
      </c>
      <c r="AR60" s="46">
        <f>SUM(C60:AQ60)</f>
        <v>0</v>
      </c>
    </row>
    <row r="61" spans="1:44" ht="17.25" x14ac:dyDescent="0.35">
      <c r="A61" s="44">
        <v>46188</v>
      </c>
      <c r="B61" s="45" t="str">
        <f>CHOOSE(WEEKDAY(A61),"日","月","火","水","木","金","土")</f>
        <v>月</v>
      </c>
      <c r="C61" s="46">
        <f>SUMIFS(台帳!$I$2:$I$2000,台帳!$A$2:$A$2000,$A61,台帳!$F$2:$F$2000,C$4)</f>
        <v>0</v>
      </c>
      <c r="D61" s="46">
        <f>SUMIFS(台帳!$I$2:$I$2000,台帳!$A$2:$A$2000,$A61,台帳!$F$2:$F$2000,D$4)</f>
        <v>0</v>
      </c>
      <c r="E61" s="46">
        <f>SUMIFS(台帳!$I$2:$I$2000,台帳!$A$2:$A$2000,$A61,台帳!$F$2:$F$2000,E$4)</f>
        <v>0</v>
      </c>
      <c r="F61" s="46">
        <f>SUMIFS(台帳!$I$2:$I$2000,台帳!$A$2:$A$2000,$A61,台帳!$F$2:$F$2000,F$4)</f>
        <v>0</v>
      </c>
      <c r="G61" s="46">
        <f>SUMIFS(台帳!$I$2:$I$2000,台帳!$A$2:$A$2000,$A61,台帳!$F$2:$F$2000,G$4)</f>
        <v>0</v>
      </c>
      <c r="H61" s="46">
        <f>SUMIFS(台帳!$I$2:$I$2000,台帳!$A$2:$A$2000,$A61,台帳!$F$2:$F$2000,H$4)</f>
        <v>4</v>
      </c>
      <c r="I61" s="46">
        <f>SUMIFS(台帳!$I$2:$I$2000,台帳!$A$2:$A$2000,$A61,台帳!$F$2:$F$2000,I$4)</f>
        <v>0</v>
      </c>
      <c r="J61" s="46">
        <f>SUMIFS(台帳!$I$2:$I$2000,台帳!$A$2:$A$2000,$A61,台帳!$F$2:$F$2000,J$4)</f>
        <v>0</v>
      </c>
      <c r="K61" s="46">
        <f>SUMIFS(台帳!$I$2:$I$2000,台帳!$A$2:$A$2000,$A61,台帳!$F$2:$F$2000,K$4)</f>
        <v>0</v>
      </c>
      <c r="L61" s="46">
        <f>SUMIFS(台帳!$I$2:$I$2000,台帳!$A$2:$A$2000,$A61,台帳!$F$2:$F$2000,L$4)</f>
        <v>0</v>
      </c>
      <c r="M61" s="46">
        <f>SUMIFS(台帳!$I$2:$I$2000,台帳!$A$2:$A$2000,$A61,台帳!$F$2:$F$2000,M$4)</f>
        <v>0</v>
      </c>
      <c r="N61" s="46">
        <f>SUMIFS(台帳!$I$2:$I$2000,台帳!$A$2:$A$2000,$A61,台帳!$F$2:$F$2000,N$4)</f>
        <v>0</v>
      </c>
      <c r="O61" s="46">
        <f>SUMIFS(台帳!$I$2:$I$2000,台帳!$A$2:$A$2000,$A61,台帳!$F$2:$F$2000,O$4)</f>
        <v>0</v>
      </c>
      <c r="P61" s="46">
        <f>SUMIFS(台帳!$I$2:$I$2000,台帳!$A$2:$A$2000,$A61,台帳!$F$2:$F$2000,P$4)</f>
        <v>0</v>
      </c>
      <c r="Q61" s="46">
        <f>SUMIFS(台帳!$I$2:$I$2000,台帳!$A$2:$A$2000,$A61,台帳!$F$2:$F$2000,Q$4)</f>
        <v>0</v>
      </c>
      <c r="R61" s="46">
        <f>SUMIFS(台帳!$I$2:$I$2000,台帳!$A$2:$A$2000,$A61,台帳!$F$2:$F$2000,R$4)</f>
        <v>0</v>
      </c>
      <c r="S61" s="46">
        <f>SUMIFS(台帳!$I$2:$I$2000,台帳!$A$2:$A$2000,$A61,台帳!$F$2:$F$2000,S$4)</f>
        <v>0</v>
      </c>
      <c r="T61" s="46">
        <f>SUMIFS(台帳!$I$2:$I$2000,台帳!$A$2:$A$2000,$A61,台帳!$F$2:$F$2000,T$4)</f>
        <v>0</v>
      </c>
      <c r="U61" s="46">
        <f>SUMIFS(台帳!$I$2:$I$2000,台帳!$A$2:$A$2000,$A61,台帳!$F$2:$F$2000,U$4)</f>
        <v>0</v>
      </c>
      <c r="V61" s="46">
        <f>SUMIFS(台帳!$I$2:$I$2000,台帳!$A$2:$A$2000,$A61,台帳!$F$2:$F$2000,V$4)</f>
        <v>0</v>
      </c>
      <c r="W61" s="46">
        <f>SUMIFS(台帳!$I$2:$I$2000,台帳!$A$2:$A$2000,$A61,台帳!$F$2:$F$2000,W$4)</f>
        <v>0</v>
      </c>
      <c r="X61" s="46">
        <f>SUMIFS(台帳!$I$2:$I$2000,台帳!$A$2:$A$2000,$A61,台帳!$F$2:$F$2000,X$4)</f>
        <v>0</v>
      </c>
      <c r="Y61" s="46">
        <f>SUMIFS(台帳!$I$2:$I$2000,台帳!$A$2:$A$2000,$A61,台帳!$F$2:$F$2000,Y$4)</f>
        <v>0</v>
      </c>
      <c r="Z61" s="46">
        <f>SUMIFS(台帳!$I$2:$I$2000,台帳!$A$2:$A$2000,$A61,台帳!$F$2:$F$2000,Z$4)</f>
        <v>0</v>
      </c>
      <c r="AA61" s="46">
        <f>SUMIFS(台帳!$I$2:$I$2000,台帳!$A$2:$A$2000,$A61,台帳!$F$2:$F$2000,AA$4)</f>
        <v>0</v>
      </c>
      <c r="AB61" s="46">
        <f>SUMIFS(台帳!$I$2:$I$2000,台帳!$A$2:$A$2000,$A61,台帳!$F$2:$F$2000,AB$4)</f>
        <v>0</v>
      </c>
      <c r="AC61" s="46">
        <f>SUMIFS(台帳!$I$2:$I$2000,台帳!$A$2:$A$2000,$A61,台帳!$F$2:$F$2000,AC$4)</f>
        <v>0</v>
      </c>
      <c r="AD61" s="46">
        <f>SUMIFS(台帳!$I$2:$I$2000,台帳!$A$2:$A$2000,$A61,台帳!$F$2:$F$2000,AD$4)</f>
        <v>0</v>
      </c>
      <c r="AE61" s="46">
        <f>SUMIFS(台帳!$I$2:$I$2000,台帳!$A$2:$A$2000,$A61,台帳!$F$2:$F$2000,AE$4)</f>
        <v>0</v>
      </c>
      <c r="AF61" s="46">
        <f>SUMIFS(台帳!$I$2:$I$2000,台帳!$A$2:$A$2000,$A61,台帳!$F$2:$F$2000,AF$4)</f>
        <v>0</v>
      </c>
      <c r="AG61" s="46">
        <f>SUMIFS(台帳!$I$2:$I$2000,台帳!$A$2:$A$2000,$A61,台帳!$F$2:$F$2000,AG$4)</f>
        <v>0</v>
      </c>
      <c r="AH61" s="46">
        <f>SUMIFS(台帳!$I$2:$I$2000,台帳!$A$2:$A$2000,$A61,台帳!$F$2:$F$2000,AH$4)</f>
        <v>0</v>
      </c>
      <c r="AI61" s="46">
        <f>SUMIFS(台帳!$I$2:$I$2000,台帳!$A$2:$A$2000,$A61,台帳!$F$2:$F$2000,AI$4)</f>
        <v>0</v>
      </c>
      <c r="AJ61" s="46">
        <f>SUMIFS(台帳!$I$2:$I$2000,台帳!$A$2:$A$2000,$A61,台帳!$F$2:$F$2000,AJ$4)</f>
        <v>0</v>
      </c>
      <c r="AK61" s="46">
        <f>SUMIFS(台帳!$I$2:$I$2000,台帳!$A$2:$A$2000,$A61,台帳!$F$2:$F$2000,AK$4)</f>
        <v>0</v>
      </c>
      <c r="AL61" s="46">
        <f>SUMIFS(台帳!$I$2:$I$2000,台帳!$A$2:$A$2000,$A61,台帳!$F$2:$F$2000,AL$4)</f>
        <v>0</v>
      </c>
      <c r="AM61" s="46">
        <f>SUMIFS(台帳!$I$2:$I$2000,台帳!$A$2:$A$2000,$A61,台帳!$F$2:$F$2000,AM$4)</f>
        <v>0</v>
      </c>
      <c r="AN61" s="46">
        <f>SUMIFS(台帳!$I$2:$I$2000,台帳!$A$2:$A$2000,$A61,台帳!$F$2:$F$2000,AN$4)</f>
        <v>0</v>
      </c>
      <c r="AO61" s="46">
        <f>SUMIFS(台帳!$I$2:$I$2000,台帳!$A$2:$A$2000,$A61,台帳!$F$2:$F$2000,AO$4)</f>
        <v>0</v>
      </c>
      <c r="AP61" s="46">
        <f>SUMIFS(台帳!$I$2:$I$2000,台帳!$A$2:$A$2000,$A61,台帳!$F$2:$F$2000,AP$4)</f>
        <v>0</v>
      </c>
      <c r="AQ61" s="46">
        <f>SUMIFS(台帳!$I$2:$I$2000,台帳!$A$2:$A$2000,$A61,台帳!$F$2:$F$2000,AQ$4)</f>
        <v>0</v>
      </c>
      <c r="AR61" s="46">
        <f>SUM(C61:AQ61)</f>
        <v>4</v>
      </c>
    </row>
    <row r="62" spans="1:44" ht="17.25" x14ac:dyDescent="0.35">
      <c r="A62" s="44">
        <v>46189</v>
      </c>
      <c r="B62" s="45" t="str">
        <f>CHOOSE(WEEKDAY(A62),"日","月","火","水","木","金","土")</f>
        <v>火</v>
      </c>
      <c r="C62" s="46">
        <f>SUMIFS(台帳!$I$2:$I$2000,台帳!$A$2:$A$2000,$A62,台帳!$F$2:$F$2000,C$4)</f>
        <v>0</v>
      </c>
      <c r="D62" s="46">
        <f>SUMIFS(台帳!$I$2:$I$2000,台帳!$A$2:$A$2000,$A62,台帳!$F$2:$F$2000,D$4)</f>
        <v>0</v>
      </c>
      <c r="E62" s="46">
        <f>SUMIFS(台帳!$I$2:$I$2000,台帳!$A$2:$A$2000,$A62,台帳!$F$2:$F$2000,E$4)</f>
        <v>0</v>
      </c>
      <c r="F62" s="46">
        <f>SUMIFS(台帳!$I$2:$I$2000,台帳!$A$2:$A$2000,$A62,台帳!$F$2:$F$2000,F$4)</f>
        <v>0</v>
      </c>
      <c r="G62" s="46">
        <f>SUMIFS(台帳!$I$2:$I$2000,台帳!$A$2:$A$2000,$A62,台帳!$F$2:$F$2000,G$4)</f>
        <v>0</v>
      </c>
      <c r="H62" s="46">
        <f>SUMIFS(台帳!$I$2:$I$2000,台帳!$A$2:$A$2000,$A62,台帳!$F$2:$F$2000,H$4)</f>
        <v>3</v>
      </c>
      <c r="I62" s="46">
        <f>SUMIFS(台帳!$I$2:$I$2000,台帳!$A$2:$A$2000,$A62,台帳!$F$2:$F$2000,I$4)</f>
        <v>0</v>
      </c>
      <c r="J62" s="46">
        <f>SUMIFS(台帳!$I$2:$I$2000,台帳!$A$2:$A$2000,$A62,台帳!$F$2:$F$2000,J$4)</f>
        <v>0</v>
      </c>
      <c r="K62" s="46">
        <f>SUMIFS(台帳!$I$2:$I$2000,台帳!$A$2:$A$2000,$A62,台帳!$F$2:$F$2000,K$4)</f>
        <v>0</v>
      </c>
      <c r="L62" s="46">
        <f>SUMIFS(台帳!$I$2:$I$2000,台帳!$A$2:$A$2000,$A62,台帳!$F$2:$F$2000,L$4)</f>
        <v>0</v>
      </c>
      <c r="M62" s="46">
        <f>SUMIFS(台帳!$I$2:$I$2000,台帳!$A$2:$A$2000,$A62,台帳!$F$2:$F$2000,M$4)</f>
        <v>0</v>
      </c>
      <c r="N62" s="46">
        <f>SUMIFS(台帳!$I$2:$I$2000,台帳!$A$2:$A$2000,$A62,台帳!$F$2:$F$2000,N$4)</f>
        <v>0</v>
      </c>
      <c r="O62" s="46">
        <f>SUMIFS(台帳!$I$2:$I$2000,台帳!$A$2:$A$2000,$A62,台帳!$F$2:$F$2000,O$4)</f>
        <v>0</v>
      </c>
      <c r="P62" s="46">
        <f>SUMIFS(台帳!$I$2:$I$2000,台帳!$A$2:$A$2000,$A62,台帳!$F$2:$F$2000,P$4)</f>
        <v>0</v>
      </c>
      <c r="Q62" s="46">
        <f>SUMIFS(台帳!$I$2:$I$2000,台帳!$A$2:$A$2000,$A62,台帳!$F$2:$F$2000,Q$4)</f>
        <v>0</v>
      </c>
      <c r="R62" s="46">
        <f>SUMIFS(台帳!$I$2:$I$2000,台帳!$A$2:$A$2000,$A62,台帳!$F$2:$F$2000,R$4)</f>
        <v>0</v>
      </c>
      <c r="S62" s="46">
        <f>SUMIFS(台帳!$I$2:$I$2000,台帳!$A$2:$A$2000,$A62,台帳!$F$2:$F$2000,S$4)</f>
        <v>0</v>
      </c>
      <c r="T62" s="46">
        <f>SUMIFS(台帳!$I$2:$I$2000,台帳!$A$2:$A$2000,$A62,台帳!$F$2:$F$2000,T$4)</f>
        <v>0</v>
      </c>
      <c r="U62" s="46">
        <f>SUMIFS(台帳!$I$2:$I$2000,台帳!$A$2:$A$2000,$A62,台帳!$F$2:$F$2000,U$4)</f>
        <v>0</v>
      </c>
      <c r="V62" s="46">
        <f>SUMIFS(台帳!$I$2:$I$2000,台帳!$A$2:$A$2000,$A62,台帳!$F$2:$F$2000,V$4)</f>
        <v>0</v>
      </c>
      <c r="W62" s="46">
        <f>SUMIFS(台帳!$I$2:$I$2000,台帳!$A$2:$A$2000,$A62,台帳!$F$2:$F$2000,W$4)</f>
        <v>0</v>
      </c>
      <c r="X62" s="46">
        <f>SUMIFS(台帳!$I$2:$I$2000,台帳!$A$2:$A$2000,$A62,台帳!$F$2:$F$2000,X$4)</f>
        <v>0</v>
      </c>
      <c r="Y62" s="46">
        <f>SUMIFS(台帳!$I$2:$I$2000,台帳!$A$2:$A$2000,$A62,台帳!$F$2:$F$2000,Y$4)</f>
        <v>0</v>
      </c>
      <c r="Z62" s="46">
        <f>SUMIFS(台帳!$I$2:$I$2000,台帳!$A$2:$A$2000,$A62,台帳!$F$2:$F$2000,Z$4)</f>
        <v>0</v>
      </c>
      <c r="AA62" s="46">
        <f>SUMIFS(台帳!$I$2:$I$2000,台帳!$A$2:$A$2000,$A62,台帳!$F$2:$F$2000,AA$4)</f>
        <v>0</v>
      </c>
      <c r="AB62" s="46">
        <f>SUMIFS(台帳!$I$2:$I$2000,台帳!$A$2:$A$2000,$A62,台帳!$F$2:$F$2000,AB$4)</f>
        <v>0</v>
      </c>
      <c r="AC62" s="46">
        <f>SUMIFS(台帳!$I$2:$I$2000,台帳!$A$2:$A$2000,$A62,台帳!$F$2:$F$2000,AC$4)</f>
        <v>0</v>
      </c>
      <c r="AD62" s="46">
        <f>SUMIFS(台帳!$I$2:$I$2000,台帳!$A$2:$A$2000,$A62,台帳!$F$2:$F$2000,AD$4)</f>
        <v>0</v>
      </c>
      <c r="AE62" s="46">
        <f>SUMIFS(台帳!$I$2:$I$2000,台帳!$A$2:$A$2000,$A62,台帳!$F$2:$F$2000,AE$4)</f>
        <v>0</v>
      </c>
      <c r="AF62" s="46">
        <f>SUMIFS(台帳!$I$2:$I$2000,台帳!$A$2:$A$2000,$A62,台帳!$F$2:$F$2000,AF$4)</f>
        <v>0</v>
      </c>
      <c r="AG62" s="46">
        <f>SUMIFS(台帳!$I$2:$I$2000,台帳!$A$2:$A$2000,$A62,台帳!$F$2:$F$2000,AG$4)</f>
        <v>0</v>
      </c>
      <c r="AH62" s="46">
        <f>SUMIFS(台帳!$I$2:$I$2000,台帳!$A$2:$A$2000,$A62,台帳!$F$2:$F$2000,AH$4)</f>
        <v>0</v>
      </c>
      <c r="AI62" s="46">
        <f>SUMIFS(台帳!$I$2:$I$2000,台帳!$A$2:$A$2000,$A62,台帳!$F$2:$F$2000,AI$4)</f>
        <v>0</v>
      </c>
      <c r="AJ62" s="46">
        <f>SUMIFS(台帳!$I$2:$I$2000,台帳!$A$2:$A$2000,$A62,台帳!$F$2:$F$2000,AJ$4)</f>
        <v>0</v>
      </c>
      <c r="AK62" s="46">
        <f>SUMIFS(台帳!$I$2:$I$2000,台帳!$A$2:$A$2000,$A62,台帳!$F$2:$F$2000,AK$4)</f>
        <v>0</v>
      </c>
      <c r="AL62" s="46">
        <f>SUMIFS(台帳!$I$2:$I$2000,台帳!$A$2:$A$2000,$A62,台帳!$F$2:$F$2000,AL$4)</f>
        <v>0</v>
      </c>
      <c r="AM62" s="46">
        <f>SUMIFS(台帳!$I$2:$I$2000,台帳!$A$2:$A$2000,$A62,台帳!$F$2:$F$2000,AM$4)</f>
        <v>0</v>
      </c>
      <c r="AN62" s="46">
        <f>SUMIFS(台帳!$I$2:$I$2000,台帳!$A$2:$A$2000,$A62,台帳!$F$2:$F$2000,AN$4)</f>
        <v>0</v>
      </c>
      <c r="AO62" s="46">
        <f>SUMIFS(台帳!$I$2:$I$2000,台帳!$A$2:$A$2000,$A62,台帳!$F$2:$F$2000,AO$4)</f>
        <v>0</v>
      </c>
      <c r="AP62" s="46">
        <f>SUMIFS(台帳!$I$2:$I$2000,台帳!$A$2:$A$2000,$A62,台帳!$F$2:$F$2000,AP$4)</f>
        <v>0</v>
      </c>
      <c r="AQ62" s="46">
        <f>SUMIFS(台帳!$I$2:$I$2000,台帳!$A$2:$A$2000,$A62,台帳!$F$2:$F$2000,AQ$4)</f>
        <v>0</v>
      </c>
      <c r="AR62" s="46">
        <f>SUM(C62:AQ62)</f>
        <v>3</v>
      </c>
    </row>
    <row r="63" spans="1:44" ht="17.25" x14ac:dyDescent="0.35">
      <c r="A63" s="44">
        <v>46190</v>
      </c>
      <c r="B63" s="45" t="str">
        <f>CHOOSE(WEEKDAY(A63),"日","月","火","水","木","金","土")</f>
        <v>水</v>
      </c>
      <c r="C63" s="46">
        <f>SUMIFS(台帳!$I$2:$I$2000,台帳!$A$2:$A$2000,$A63,台帳!$F$2:$F$2000,C$4)</f>
        <v>0</v>
      </c>
      <c r="D63" s="46">
        <f>SUMIFS(台帳!$I$2:$I$2000,台帳!$A$2:$A$2000,$A63,台帳!$F$2:$F$2000,D$4)</f>
        <v>0</v>
      </c>
      <c r="E63" s="46">
        <f>SUMIFS(台帳!$I$2:$I$2000,台帳!$A$2:$A$2000,$A63,台帳!$F$2:$F$2000,E$4)</f>
        <v>0</v>
      </c>
      <c r="F63" s="46">
        <f>SUMIFS(台帳!$I$2:$I$2000,台帳!$A$2:$A$2000,$A63,台帳!$F$2:$F$2000,F$4)</f>
        <v>0</v>
      </c>
      <c r="G63" s="46">
        <f>SUMIFS(台帳!$I$2:$I$2000,台帳!$A$2:$A$2000,$A63,台帳!$F$2:$F$2000,G$4)</f>
        <v>0</v>
      </c>
      <c r="H63" s="46">
        <f>SUMIFS(台帳!$I$2:$I$2000,台帳!$A$2:$A$2000,$A63,台帳!$F$2:$F$2000,H$4)</f>
        <v>3</v>
      </c>
      <c r="I63" s="46">
        <f>SUMIFS(台帳!$I$2:$I$2000,台帳!$A$2:$A$2000,$A63,台帳!$F$2:$F$2000,I$4)</f>
        <v>0</v>
      </c>
      <c r="J63" s="46">
        <f>SUMIFS(台帳!$I$2:$I$2000,台帳!$A$2:$A$2000,$A63,台帳!$F$2:$F$2000,J$4)</f>
        <v>0</v>
      </c>
      <c r="K63" s="46">
        <f>SUMIFS(台帳!$I$2:$I$2000,台帳!$A$2:$A$2000,$A63,台帳!$F$2:$F$2000,K$4)</f>
        <v>0</v>
      </c>
      <c r="L63" s="46">
        <f>SUMIFS(台帳!$I$2:$I$2000,台帳!$A$2:$A$2000,$A63,台帳!$F$2:$F$2000,L$4)</f>
        <v>0</v>
      </c>
      <c r="M63" s="46">
        <f>SUMIFS(台帳!$I$2:$I$2000,台帳!$A$2:$A$2000,$A63,台帳!$F$2:$F$2000,M$4)</f>
        <v>0</v>
      </c>
      <c r="N63" s="46">
        <f>SUMIFS(台帳!$I$2:$I$2000,台帳!$A$2:$A$2000,$A63,台帳!$F$2:$F$2000,N$4)</f>
        <v>0</v>
      </c>
      <c r="O63" s="46">
        <f>SUMIFS(台帳!$I$2:$I$2000,台帳!$A$2:$A$2000,$A63,台帳!$F$2:$F$2000,O$4)</f>
        <v>0</v>
      </c>
      <c r="P63" s="46">
        <f>SUMIFS(台帳!$I$2:$I$2000,台帳!$A$2:$A$2000,$A63,台帳!$F$2:$F$2000,P$4)</f>
        <v>0</v>
      </c>
      <c r="Q63" s="46">
        <f>SUMIFS(台帳!$I$2:$I$2000,台帳!$A$2:$A$2000,$A63,台帳!$F$2:$F$2000,Q$4)</f>
        <v>0</v>
      </c>
      <c r="R63" s="46">
        <f>SUMIFS(台帳!$I$2:$I$2000,台帳!$A$2:$A$2000,$A63,台帳!$F$2:$F$2000,R$4)</f>
        <v>0</v>
      </c>
      <c r="S63" s="46">
        <f>SUMIFS(台帳!$I$2:$I$2000,台帳!$A$2:$A$2000,$A63,台帳!$F$2:$F$2000,S$4)</f>
        <v>0</v>
      </c>
      <c r="T63" s="46">
        <f>SUMIFS(台帳!$I$2:$I$2000,台帳!$A$2:$A$2000,$A63,台帳!$F$2:$F$2000,T$4)</f>
        <v>0</v>
      </c>
      <c r="U63" s="46">
        <f>SUMIFS(台帳!$I$2:$I$2000,台帳!$A$2:$A$2000,$A63,台帳!$F$2:$F$2000,U$4)</f>
        <v>0</v>
      </c>
      <c r="V63" s="46">
        <f>SUMIFS(台帳!$I$2:$I$2000,台帳!$A$2:$A$2000,$A63,台帳!$F$2:$F$2000,V$4)</f>
        <v>0</v>
      </c>
      <c r="W63" s="46">
        <f>SUMIFS(台帳!$I$2:$I$2000,台帳!$A$2:$A$2000,$A63,台帳!$F$2:$F$2000,W$4)</f>
        <v>0</v>
      </c>
      <c r="X63" s="46">
        <f>SUMIFS(台帳!$I$2:$I$2000,台帳!$A$2:$A$2000,$A63,台帳!$F$2:$F$2000,X$4)</f>
        <v>0</v>
      </c>
      <c r="Y63" s="46">
        <f>SUMIFS(台帳!$I$2:$I$2000,台帳!$A$2:$A$2000,$A63,台帳!$F$2:$F$2000,Y$4)</f>
        <v>0</v>
      </c>
      <c r="Z63" s="46">
        <f>SUMIFS(台帳!$I$2:$I$2000,台帳!$A$2:$A$2000,$A63,台帳!$F$2:$F$2000,Z$4)</f>
        <v>0</v>
      </c>
      <c r="AA63" s="46">
        <f>SUMIFS(台帳!$I$2:$I$2000,台帳!$A$2:$A$2000,$A63,台帳!$F$2:$F$2000,AA$4)</f>
        <v>0</v>
      </c>
      <c r="AB63" s="46">
        <f>SUMIFS(台帳!$I$2:$I$2000,台帳!$A$2:$A$2000,$A63,台帳!$F$2:$F$2000,AB$4)</f>
        <v>0</v>
      </c>
      <c r="AC63" s="46">
        <f>SUMIFS(台帳!$I$2:$I$2000,台帳!$A$2:$A$2000,$A63,台帳!$F$2:$F$2000,AC$4)</f>
        <v>0</v>
      </c>
      <c r="AD63" s="46">
        <f>SUMIFS(台帳!$I$2:$I$2000,台帳!$A$2:$A$2000,$A63,台帳!$F$2:$F$2000,AD$4)</f>
        <v>0</v>
      </c>
      <c r="AE63" s="46">
        <f>SUMIFS(台帳!$I$2:$I$2000,台帳!$A$2:$A$2000,$A63,台帳!$F$2:$F$2000,AE$4)</f>
        <v>0</v>
      </c>
      <c r="AF63" s="46">
        <f>SUMIFS(台帳!$I$2:$I$2000,台帳!$A$2:$A$2000,$A63,台帳!$F$2:$F$2000,AF$4)</f>
        <v>0</v>
      </c>
      <c r="AG63" s="46">
        <f>SUMIFS(台帳!$I$2:$I$2000,台帳!$A$2:$A$2000,$A63,台帳!$F$2:$F$2000,AG$4)</f>
        <v>0</v>
      </c>
      <c r="AH63" s="46">
        <f>SUMIFS(台帳!$I$2:$I$2000,台帳!$A$2:$A$2000,$A63,台帳!$F$2:$F$2000,AH$4)</f>
        <v>0</v>
      </c>
      <c r="AI63" s="46">
        <f>SUMIFS(台帳!$I$2:$I$2000,台帳!$A$2:$A$2000,$A63,台帳!$F$2:$F$2000,AI$4)</f>
        <v>0</v>
      </c>
      <c r="AJ63" s="46">
        <f>SUMIFS(台帳!$I$2:$I$2000,台帳!$A$2:$A$2000,$A63,台帳!$F$2:$F$2000,AJ$4)</f>
        <v>0</v>
      </c>
      <c r="AK63" s="46">
        <f>SUMIFS(台帳!$I$2:$I$2000,台帳!$A$2:$A$2000,$A63,台帳!$F$2:$F$2000,AK$4)</f>
        <v>0</v>
      </c>
      <c r="AL63" s="46">
        <f>SUMIFS(台帳!$I$2:$I$2000,台帳!$A$2:$A$2000,$A63,台帳!$F$2:$F$2000,AL$4)</f>
        <v>0</v>
      </c>
      <c r="AM63" s="46">
        <f>SUMIFS(台帳!$I$2:$I$2000,台帳!$A$2:$A$2000,$A63,台帳!$F$2:$F$2000,AM$4)</f>
        <v>0</v>
      </c>
      <c r="AN63" s="46">
        <f>SUMIFS(台帳!$I$2:$I$2000,台帳!$A$2:$A$2000,$A63,台帳!$F$2:$F$2000,AN$4)</f>
        <v>0</v>
      </c>
      <c r="AO63" s="46">
        <f>SUMIFS(台帳!$I$2:$I$2000,台帳!$A$2:$A$2000,$A63,台帳!$F$2:$F$2000,AO$4)</f>
        <v>0</v>
      </c>
      <c r="AP63" s="46">
        <f>SUMIFS(台帳!$I$2:$I$2000,台帳!$A$2:$A$2000,$A63,台帳!$F$2:$F$2000,AP$4)</f>
        <v>0</v>
      </c>
      <c r="AQ63" s="46">
        <f>SUMIFS(台帳!$I$2:$I$2000,台帳!$A$2:$A$2000,$A63,台帳!$F$2:$F$2000,AQ$4)</f>
        <v>0</v>
      </c>
      <c r="AR63" s="46">
        <f>SUM(C63:AQ63)</f>
        <v>3</v>
      </c>
    </row>
    <row r="64" spans="1:44" ht="17.25" x14ac:dyDescent="0.35">
      <c r="A64" s="44">
        <v>46191</v>
      </c>
      <c r="B64" s="45" t="str">
        <f>CHOOSE(WEEKDAY(A64),"日","月","火","水","木","金","土")</f>
        <v>木</v>
      </c>
      <c r="C64" s="46">
        <f>SUMIFS(台帳!$I$2:$I$2000,台帳!$A$2:$A$2000,$A64,台帳!$F$2:$F$2000,C$4)</f>
        <v>0</v>
      </c>
      <c r="D64" s="46">
        <f>SUMIFS(台帳!$I$2:$I$2000,台帳!$A$2:$A$2000,$A64,台帳!$F$2:$F$2000,D$4)</f>
        <v>0</v>
      </c>
      <c r="E64" s="46">
        <f>SUMIFS(台帳!$I$2:$I$2000,台帳!$A$2:$A$2000,$A64,台帳!$F$2:$F$2000,E$4)</f>
        <v>0</v>
      </c>
      <c r="F64" s="46">
        <f>SUMIFS(台帳!$I$2:$I$2000,台帳!$A$2:$A$2000,$A64,台帳!$F$2:$F$2000,F$4)</f>
        <v>0</v>
      </c>
      <c r="G64" s="46">
        <f>SUMIFS(台帳!$I$2:$I$2000,台帳!$A$2:$A$2000,$A64,台帳!$F$2:$F$2000,G$4)</f>
        <v>0</v>
      </c>
      <c r="H64" s="46">
        <f>SUMIFS(台帳!$I$2:$I$2000,台帳!$A$2:$A$2000,$A64,台帳!$F$2:$F$2000,H$4)</f>
        <v>3</v>
      </c>
      <c r="I64" s="46">
        <f>SUMIFS(台帳!$I$2:$I$2000,台帳!$A$2:$A$2000,$A64,台帳!$F$2:$F$2000,I$4)</f>
        <v>0</v>
      </c>
      <c r="J64" s="46">
        <f>SUMIFS(台帳!$I$2:$I$2000,台帳!$A$2:$A$2000,$A64,台帳!$F$2:$F$2000,J$4)</f>
        <v>0</v>
      </c>
      <c r="K64" s="46">
        <f>SUMIFS(台帳!$I$2:$I$2000,台帳!$A$2:$A$2000,$A64,台帳!$F$2:$F$2000,K$4)</f>
        <v>0</v>
      </c>
      <c r="L64" s="46">
        <f>SUMIFS(台帳!$I$2:$I$2000,台帳!$A$2:$A$2000,$A64,台帳!$F$2:$F$2000,L$4)</f>
        <v>0</v>
      </c>
      <c r="M64" s="46">
        <f>SUMIFS(台帳!$I$2:$I$2000,台帳!$A$2:$A$2000,$A64,台帳!$F$2:$F$2000,M$4)</f>
        <v>0</v>
      </c>
      <c r="N64" s="46">
        <f>SUMIFS(台帳!$I$2:$I$2000,台帳!$A$2:$A$2000,$A64,台帳!$F$2:$F$2000,N$4)</f>
        <v>0</v>
      </c>
      <c r="O64" s="46">
        <f>SUMIFS(台帳!$I$2:$I$2000,台帳!$A$2:$A$2000,$A64,台帳!$F$2:$F$2000,O$4)</f>
        <v>0</v>
      </c>
      <c r="P64" s="46">
        <f>SUMIFS(台帳!$I$2:$I$2000,台帳!$A$2:$A$2000,$A64,台帳!$F$2:$F$2000,P$4)</f>
        <v>0</v>
      </c>
      <c r="Q64" s="46">
        <f>SUMIFS(台帳!$I$2:$I$2000,台帳!$A$2:$A$2000,$A64,台帳!$F$2:$F$2000,Q$4)</f>
        <v>0</v>
      </c>
      <c r="R64" s="46">
        <f>SUMIFS(台帳!$I$2:$I$2000,台帳!$A$2:$A$2000,$A64,台帳!$F$2:$F$2000,R$4)</f>
        <v>0</v>
      </c>
      <c r="S64" s="46">
        <f>SUMIFS(台帳!$I$2:$I$2000,台帳!$A$2:$A$2000,$A64,台帳!$F$2:$F$2000,S$4)</f>
        <v>0</v>
      </c>
      <c r="T64" s="46">
        <f>SUMIFS(台帳!$I$2:$I$2000,台帳!$A$2:$A$2000,$A64,台帳!$F$2:$F$2000,T$4)</f>
        <v>0</v>
      </c>
      <c r="U64" s="46">
        <f>SUMIFS(台帳!$I$2:$I$2000,台帳!$A$2:$A$2000,$A64,台帳!$F$2:$F$2000,U$4)</f>
        <v>0</v>
      </c>
      <c r="V64" s="46">
        <f>SUMIFS(台帳!$I$2:$I$2000,台帳!$A$2:$A$2000,$A64,台帳!$F$2:$F$2000,V$4)</f>
        <v>0</v>
      </c>
      <c r="W64" s="46">
        <f>SUMIFS(台帳!$I$2:$I$2000,台帳!$A$2:$A$2000,$A64,台帳!$F$2:$F$2000,W$4)</f>
        <v>0</v>
      </c>
      <c r="X64" s="46">
        <f>SUMIFS(台帳!$I$2:$I$2000,台帳!$A$2:$A$2000,$A64,台帳!$F$2:$F$2000,X$4)</f>
        <v>0</v>
      </c>
      <c r="Y64" s="46">
        <f>SUMIFS(台帳!$I$2:$I$2000,台帳!$A$2:$A$2000,$A64,台帳!$F$2:$F$2000,Y$4)</f>
        <v>0</v>
      </c>
      <c r="Z64" s="46">
        <f>SUMIFS(台帳!$I$2:$I$2000,台帳!$A$2:$A$2000,$A64,台帳!$F$2:$F$2000,Z$4)</f>
        <v>0</v>
      </c>
      <c r="AA64" s="46">
        <f>SUMIFS(台帳!$I$2:$I$2000,台帳!$A$2:$A$2000,$A64,台帳!$F$2:$F$2000,AA$4)</f>
        <v>0</v>
      </c>
      <c r="AB64" s="46">
        <f>SUMIFS(台帳!$I$2:$I$2000,台帳!$A$2:$A$2000,$A64,台帳!$F$2:$F$2000,AB$4)</f>
        <v>0</v>
      </c>
      <c r="AC64" s="46">
        <f>SUMIFS(台帳!$I$2:$I$2000,台帳!$A$2:$A$2000,$A64,台帳!$F$2:$F$2000,AC$4)</f>
        <v>0</v>
      </c>
      <c r="AD64" s="46">
        <f>SUMIFS(台帳!$I$2:$I$2000,台帳!$A$2:$A$2000,$A64,台帳!$F$2:$F$2000,AD$4)</f>
        <v>0</v>
      </c>
      <c r="AE64" s="46">
        <f>SUMIFS(台帳!$I$2:$I$2000,台帳!$A$2:$A$2000,$A64,台帳!$F$2:$F$2000,AE$4)</f>
        <v>0</v>
      </c>
      <c r="AF64" s="46">
        <f>SUMIFS(台帳!$I$2:$I$2000,台帳!$A$2:$A$2000,$A64,台帳!$F$2:$F$2000,AF$4)</f>
        <v>0</v>
      </c>
      <c r="AG64" s="46">
        <f>SUMIFS(台帳!$I$2:$I$2000,台帳!$A$2:$A$2000,$A64,台帳!$F$2:$F$2000,AG$4)</f>
        <v>0</v>
      </c>
      <c r="AH64" s="46">
        <f>SUMIFS(台帳!$I$2:$I$2000,台帳!$A$2:$A$2000,$A64,台帳!$F$2:$F$2000,AH$4)</f>
        <v>0</v>
      </c>
      <c r="AI64" s="46">
        <f>SUMIFS(台帳!$I$2:$I$2000,台帳!$A$2:$A$2000,$A64,台帳!$F$2:$F$2000,AI$4)</f>
        <v>0</v>
      </c>
      <c r="AJ64" s="46">
        <f>SUMIFS(台帳!$I$2:$I$2000,台帳!$A$2:$A$2000,$A64,台帳!$F$2:$F$2000,AJ$4)</f>
        <v>0</v>
      </c>
      <c r="AK64" s="46">
        <f>SUMIFS(台帳!$I$2:$I$2000,台帳!$A$2:$A$2000,$A64,台帳!$F$2:$F$2000,AK$4)</f>
        <v>0</v>
      </c>
      <c r="AL64" s="46">
        <f>SUMIFS(台帳!$I$2:$I$2000,台帳!$A$2:$A$2000,$A64,台帳!$F$2:$F$2000,AL$4)</f>
        <v>0</v>
      </c>
      <c r="AM64" s="46">
        <f>SUMIFS(台帳!$I$2:$I$2000,台帳!$A$2:$A$2000,$A64,台帳!$F$2:$F$2000,AM$4)</f>
        <v>0</v>
      </c>
      <c r="AN64" s="46">
        <f>SUMIFS(台帳!$I$2:$I$2000,台帳!$A$2:$A$2000,$A64,台帳!$F$2:$F$2000,AN$4)</f>
        <v>0</v>
      </c>
      <c r="AO64" s="46">
        <f>SUMIFS(台帳!$I$2:$I$2000,台帳!$A$2:$A$2000,$A64,台帳!$F$2:$F$2000,AO$4)</f>
        <v>0</v>
      </c>
      <c r="AP64" s="46">
        <f>SUMIFS(台帳!$I$2:$I$2000,台帳!$A$2:$A$2000,$A64,台帳!$F$2:$F$2000,AP$4)</f>
        <v>0</v>
      </c>
      <c r="AQ64" s="46">
        <f>SUMIFS(台帳!$I$2:$I$2000,台帳!$A$2:$A$2000,$A64,台帳!$F$2:$F$2000,AQ$4)</f>
        <v>0</v>
      </c>
      <c r="AR64" s="46">
        <f>SUM(C64:AQ64)</f>
        <v>3</v>
      </c>
    </row>
    <row r="65" spans="1:44" ht="17.25" x14ac:dyDescent="0.35">
      <c r="A65" s="44">
        <v>46192</v>
      </c>
      <c r="B65" s="45" t="str">
        <f>CHOOSE(WEEKDAY(A65),"日","月","火","水","木","金","土")</f>
        <v>金</v>
      </c>
      <c r="C65" s="46">
        <f>SUMIFS(台帳!$I$2:$I$2000,台帳!$A$2:$A$2000,$A65,台帳!$F$2:$F$2000,C$4)</f>
        <v>0</v>
      </c>
      <c r="D65" s="46">
        <f>SUMIFS(台帳!$I$2:$I$2000,台帳!$A$2:$A$2000,$A65,台帳!$F$2:$F$2000,D$4)</f>
        <v>0</v>
      </c>
      <c r="E65" s="46">
        <f>SUMIFS(台帳!$I$2:$I$2000,台帳!$A$2:$A$2000,$A65,台帳!$F$2:$F$2000,E$4)</f>
        <v>0</v>
      </c>
      <c r="F65" s="46">
        <f>SUMIFS(台帳!$I$2:$I$2000,台帳!$A$2:$A$2000,$A65,台帳!$F$2:$F$2000,F$4)</f>
        <v>0</v>
      </c>
      <c r="G65" s="46">
        <f>SUMIFS(台帳!$I$2:$I$2000,台帳!$A$2:$A$2000,$A65,台帳!$F$2:$F$2000,G$4)</f>
        <v>0</v>
      </c>
      <c r="H65" s="46">
        <f>SUMIFS(台帳!$I$2:$I$2000,台帳!$A$2:$A$2000,$A65,台帳!$F$2:$F$2000,H$4)</f>
        <v>3</v>
      </c>
      <c r="I65" s="46">
        <f>SUMIFS(台帳!$I$2:$I$2000,台帳!$A$2:$A$2000,$A65,台帳!$F$2:$F$2000,I$4)</f>
        <v>0</v>
      </c>
      <c r="J65" s="46">
        <f>SUMIFS(台帳!$I$2:$I$2000,台帳!$A$2:$A$2000,$A65,台帳!$F$2:$F$2000,J$4)</f>
        <v>0</v>
      </c>
      <c r="K65" s="46">
        <f>SUMIFS(台帳!$I$2:$I$2000,台帳!$A$2:$A$2000,$A65,台帳!$F$2:$F$2000,K$4)</f>
        <v>0</v>
      </c>
      <c r="L65" s="46">
        <f>SUMIFS(台帳!$I$2:$I$2000,台帳!$A$2:$A$2000,$A65,台帳!$F$2:$F$2000,L$4)</f>
        <v>0</v>
      </c>
      <c r="M65" s="46">
        <f>SUMIFS(台帳!$I$2:$I$2000,台帳!$A$2:$A$2000,$A65,台帳!$F$2:$F$2000,M$4)</f>
        <v>0</v>
      </c>
      <c r="N65" s="46">
        <f>SUMIFS(台帳!$I$2:$I$2000,台帳!$A$2:$A$2000,$A65,台帳!$F$2:$F$2000,N$4)</f>
        <v>0</v>
      </c>
      <c r="O65" s="46">
        <f>SUMIFS(台帳!$I$2:$I$2000,台帳!$A$2:$A$2000,$A65,台帳!$F$2:$F$2000,O$4)</f>
        <v>0</v>
      </c>
      <c r="P65" s="46">
        <f>SUMIFS(台帳!$I$2:$I$2000,台帳!$A$2:$A$2000,$A65,台帳!$F$2:$F$2000,P$4)</f>
        <v>0</v>
      </c>
      <c r="Q65" s="46">
        <f>SUMIFS(台帳!$I$2:$I$2000,台帳!$A$2:$A$2000,$A65,台帳!$F$2:$F$2000,Q$4)</f>
        <v>0</v>
      </c>
      <c r="R65" s="46">
        <f>SUMIFS(台帳!$I$2:$I$2000,台帳!$A$2:$A$2000,$A65,台帳!$F$2:$F$2000,R$4)</f>
        <v>0</v>
      </c>
      <c r="S65" s="46">
        <f>SUMIFS(台帳!$I$2:$I$2000,台帳!$A$2:$A$2000,$A65,台帳!$F$2:$F$2000,S$4)</f>
        <v>0</v>
      </c>
      <c r="T65" s="46">
        <f>SUMIFS(台帳!$I$2:$I$2000,台帳!$A$2:$A$2000,$A65,台帳!$F$2:$F$2000,T$4)</f>
        <v>0</v>
      </c>
      <c r="U65" s="46">
        <f>SUMIFS(台帳!$I$2:$I$2000,台帳!$A$2:$A$2000,$A65,台帳!$F$2:$F$2000,U$4)</f>
        <v>0</v>
      </c>
      <c r="V65" s="46">
        <f>SUMIFS(台帳!$I$2:$I$2000,台帳!$A$2:$A$2000,$A65,台帳!$F$2:$F$2000,V$4)</f>
        <v>0</v>
      </c>
      <c r="W65" s="46">
        <f>SUMIFS(台帳!$I$2:$I$2000,台帳!$A$2:$A$2000,$A65,台帳!$F$2:$F$2000,W$4)</f>
        <v>0</v>
      </c>
      <c r="X65" s="46">
        <f>SUMIFS(台帳!$I$2:$I$2000,台帳!$A$2:$A$2000,$A65,台帳!$F$2:$F$2000,X$4)</f>
        <v>0</v>
      </c>
      <c r="Y65" s="46">
        <f>SUMIFS(台帳!$I$2:$I$2000,台帳!$A$2:$A$2000,$A65,台帳!$F$2:$F$2000,Y$4)</f>
        <v>0</v>
      </c>
      <c r="Z65" s="46">
        <f>SUMIFS(台帳!$I$2:$I$2000,台帳!$A$2:$A$2000,$A65,台帳!$F$2:$F$2000,Z$4)</f>
        <v>0</v>
      </c>
      <c r="AA65" s="46">
        <f>SUMIFS(台帳!$I$2:$I$2000,台帳!$A$2:$A$2000,$A65,台帳!$F$2:$F$2000,AA$4)</f>
        <v>0</v>
      </c>
      <c r="AB65" s="46">
        <f>SUMIFS(台帳!$I$2:$I$2000,台帳!$A$2:$A$2000,$A65,台帳!$F$2:$F$2000,AB$4)</f>
        <v>0</v>
      </c>
      <c r="AC65" s="46">
        <f>SUMIFS(台帳!$I$2:$I$2000,台帳!$A$2:$A$2000,$A65,台帳!$F$2:$F$2000,AC$4)</f>
        <v>0</v>
      </c>
      <c r="AD65" s="46">
        <f>SUMIFS(台帳!$I$2:$I$2000,台帳!$A$2:$A$2000,$A65,台帳!$F$2:$F$2000,AD$4)</f>
        <v>0</v>
      </c>
      <c r="AE65" s="46">
        <f>SUMIFS(台帳!$I$2:$I$2000,台帳!$A$2:$A$2000,$A65,台帳!$F$2:$F$2000,AE$4)</f>
        <v>0</v>
      </c>
      <c r="AF65" s="46">
        <f>SUMIFS(台帳!$I$2:$I$2000,台帳!$A$2:$A$2000,$A65,台帳!$F$2:$F$2000,AF$4)</f>
        <v>0</v>
      </c>
      <c r="AG65" s="46">
        <f>SUMIFS(台帳!$I$2:$I$2000,台帳!$A$2:$A$2000,$A65,台帳!$F$2:$F$2000,AG$4)</f>
        <v>0</v>
      </c>
      <c r="AH65" s="46">
        <f>SUMIFS(台帳!$I$2:$I$2000,台帳!$A$2:$A$2000,$A65,台帳!$F$2:$F$2000,AH$4)</f>
        <v>0</v>
      </c>
      <c r="AI65" s="46">
        <f>SUMIFS(台帳!$I$2:$I$2000,台帳!$A$2:$A$2000,$A65,台帳!$F$2:$F$2000,AI$4)</f>
        <v>0</v>
      </c>
      <c r="AJ65" s="46">
        <f>SUMIFS(台帳!$I$2:$I$2000,台帳!$A$2:$A$2000,$A65,台帳!$F$2:$F$2000,AJ$4)</f>
        <v>0</v>
      </c>
      <c r="AK65" s="46">
        <f>SUMIFS(台帳!$I$2:$I$2000,台帳!$A$2:$A$2000,$A65,台帳!$F$2:$F$2000,AK$4)</f>
        <v>0</v>
      </c>
      <c r="AL65" s="46">
        <f>SUMIFS(台帳!$I$2:$I$2000,台帳!$A$2:$A$2000,$A65,台帳!$F$2:$F$2000,AL$4)</f>
        <v>0</v>
      </c>
      <c r="AM65" s="46">
        <f>SUMIFS(台帳!$I$2:$I$2000,台帳!$A$2:$A$2000,$A65,台帳!$F$2:$F$2000,AM$4)</f>
        <v>0</v>
      </c>
      <c r="AN65" s="46">
        <f>SUMIFS(台帳!$I$2:$I$2000,台帳!$A$2:$A$2000,$A65,台帳!$F$2:$F$2000,AN$4)</f>
        <v>0</v>
      </c>
      <c r="AO65" s="46">
        <f>SUMIFS(台帳!$I$2:$I$2000,台帳!$A$2:$A$2000,$A65,台帳!$F$2:$F$2000,AO$4)</f>
        <v>0</v>
      </c>
      <c r="AP65" s="46">
        <f>SUMIFS(台帳!$I$2:$I$2000,台帳!$A$2:$A$2000,$A65,台帳!$F$2:$F$2000,AP$4)</f>
        <v>0</v>
      </c>
      <c r="AQ65" s="46">
        <f>SUMIFS(台帳!$I$2:$I$2000,台帳!$A$2:$A$2000,$A65,台帳!$F$2:$F$2000,AQ$4)</f>
        <v>0</v>
      </c>
      <c r="AR65" s="46">
        <f>SUM(C65:AQ65)</f>
        <v>3</v>
      </c>
    </row>
    <row r="66" spans="1:44" ht="17.25" x14ac:dyDescent="0.35">
      <c r="A66" s="44">
        <v>46193</v>
      </c>
      <c r="B66" s="45" t="str">
        <f>CHOOSE(WEEKDAY(A66),"日","月","火","水","木","金","土")</f>
        <v>土</v>
      </c>
      <c r="C66" s="46">
        <f>SUMIFS(台帳!$I$2:$I$2000,台帳!$A$2:$A$2000,$A66,台帳!$F$2:$F$2000,C$4)</f>
        <v>0</v>
      </c>
      <c r="D66" s="46">
        <f>SUMIFS(台帳!$I$2:$I$2000,台帳!$A$2:$A$2000,$A66,台帳!$F$2:$F$2000,D$4)</f>
        <v>0</v>
      </c>
      <c r="E66" s="46">
        <f>SUMIFS(台帳!$I$2:$I$2000,台帳!$A$2:$A$2000,$A66,台帳!$F$2:$F$2000,E$4)</f>
        <v>0</v>
      </c>
      <c r="F66" s="46">
        <f>SUMIFS(台帳!$I$2:$I$2000,台帳!$A$2:$A$2000,$A66,台帳!$F$2:$F$2000,F$4)</f>
        <v>0</v>
      </c>
      <c r="G66" s="46">
        <f>SUMIFS(台帳!$I$2:$I$2000,台帳!$A$2:$A$2000,$A66,台帳!$F$2:$F$2000,G$4)</f>
        <v>0</v>
      </c>
      <c r="H66" s="46">
        <f>SUMIFS(台帳!$I$2:$I$2000,台帳!$A$2:$A$2000,$A66,台帳!$F$2:$F$2000,H$4)</f>
        <v>0</v>
      </c>
      <c r="I66" s="46">
        <f>SUMIFS(台帳!$I$2:$I$2000,台帳!$A$2:$A$2000,$A66,台帳!$F$2:$F$2000,I$4)</f>
        <v>0</v>
      </c>
      <c r="J66" s="46">
        <f>SUMIFS(台帳!$I$2:$I$2000,台帳!$A$2:$A$2000,$A66,台帳!$F$2:$F$2000,J$4)</f>
        <v>0</v>
      </c>
      <c r="K66" s="46">
        <f>SUMIFS(台帳!$I$2:$I$2000,台帳!$A$2:$A$2000,$A66,台帳!$F$2:$F$2000,K$4)</f>
        <v>0</v>
      </c>
      <c r="L66" s="46">
        <f>SUMIFS(台帳!$I$2:$I$2000,台帳!$A$2:$A$2000,$A66,台帳!$F$2:$F$2000,L$4)</f>
        <v>0</v>
      </c>
      <c r="M66" s="46">
        <f>SUMIFS(台帳!$I$2:$I$2000,台帳!$A$2:$A$2000,$A66,台帳!$F$2:$F$2000,M$4)</f>
        <v>0</v>
      </c>
      <c r="N66" s="46">
        <f>SUMIFS(台帳!$I$2:$I$2000,台帳!$A$2:$A$2000,$A66,台帳!$F$2:$F$2000,N$4)</f>
        <v>0</v>
      </c>
      <c r="O66" s="46">
        <f>SUMIFS(台帳!$I$2:$I$2000,台帳!$A$2:$A$2000,$A66,台帳!$F$2:$F$2000,O$4)</f>
        <v>0</v>
      </c>
      <c r="P66" s="46">
        <f>SUMIFS(台帳!$I$2:$I$2000,台帳!$A$2:$A$2000,$A66,台帳!$F$2:$F$2000,P$4)</f>
        <v>0</v>
      </c>
      <c r="Q66" s="46">
        <f>SUMIFS(台帳!$I$2:$I$2000,台帳!$A$2:$A$2000,$A66,台帳!$F$2:$F$2000,Q$4)</f>
        <v>0</v>
      </c>
      <c r="R66" s="46">
        <f>SUMIFS(台帳!$I$2:$I$2000,台帳!$A$2:$A$2000,$A66,台帳!$F$2:$F$2000,R$4)</f>
        <v>0</v>
      </c>
      <c r="S66" s="46">
        <f>SUMIFS(台帳!$I$2:$I$2000,台帳!$A$2:$A$2000,$A66,台帳!$F$2:$F$2000,S$4)</f>
        <v>0</v>
      </c>
      <c r="T66" s="46">
        <f>SUMIFS(台帳!$I$2:$I$2000,台帳!$A$2:$A$2000,$A66,台帳!$F$2:$F$2000,T$4)</f>
        <v>0</v>
      </c>
      <c r="U66" s="46">
        <f>SUMIFS(台帳!$I$2:$I$2000,台帳!$A$2:$A$2000,$A66,台帳!$F$2:$F$2000,U$4)</f>
        <v>0</v>
      </c>
      <c r="V66" s="46">
        <f>SUMIFS(台帳!$I$2:$I$2000,台帳!$A$2:$A$2000,$A66,台帳!$F$2:$F$2000,V$4)</f>
        <v>0</v>
      </c>
      <c r="W66" s="46">
        <f>SUMIFS(台帳!$I$2:$I$2000,台帳!$A$2:$A$2000,$A66,台帳!$F$2:$F$2000,W$4)</f>
        <v>0</v>
      </c>
      <c r="X66" s="46">
        <f>SUMIFS(台帳!$I$2:$I$2000,台帳!$A$2:$A$2000,$A66,台帳!$F$2:$F$2000,X$4)</f>
        <v>0</v>
      </c>
      <c r="Y66" s="46">
        <f>SUMIFS(台帳!$I$2:$I$2000,台帳!$A$2:$A$2000,$A66,台帳!$F$2:$F$2000,Y$4)</f>
        <v>0</v>
      </c>
      <c r="Z66" s="46">
        <f>SUMIFS(台帳!$I$2:$I$2000,台帳!$A$2:$A$2000,$A66,台帳!$F$2:$F$2000,Z$4)</f>
        <v>0</v>
      </c>
      <c r="AA66" s="46">
        <f>SUMIFS(台帳!$I$2:$I$2000,台帳!$A$2:$A$2000,$A66,台帳!$F$2:$F$2000,AA$4)</f>
        <v>0</v>
      </c>
      <c r="AB66" s="46">
        <f>SUMIFS(台帳!$I$2:$I$2000,台帳!$A$2:$A$2000,$A66,台帳!$F$2:$F$2000,AB$4)</f>
        <v>0</v>
      </c>
      <c r="AC66" s="46">
        <f>SUMIFS(台帳!$I$2:$I$2000,台帳!$A$2:$A$2000,$A66,台帳!$F$2:$F$2000,AC$4)</f>
        <v>0</v>
      </c>
      <c r="AD66" s="46">
        <f>SUMIFS(台帳!$I$2:$I$2000,台帳!$A$2:$A$2000,$A66,台帳!$F$2:$F$2000,AD$4)</f>
        <v>0</v>
      </c>
      <c r="AE66" s="46">
        <f>SUMIFS(台帳!$I$2:$I$2000,台帳!$A$2:$A$2000,$A66,台帳!$F$2:$F$2000,AE$4)</f>
        <v>0</v>
      </c>
      <c r="AF66" s="46">
        <f>SUMIFS(台帳!$I$2:$I$2000,台帳!$A$2:$A$2000,$A66,台帳!$F$2:$F$2000,AF$4)</f>
        <v>0</v>
      </c>
      <c r="AG66" s="46">
        <f>SUMIFS(台帳!$I$2:$I$2000,台帳!$A$2:$A$2000,$A66,台帳!$F$2:$F$2000,AG$4)</f>
        <v>0</v>
      </c>
      <c r="AH66" s="46">
        <f>SUMIFS(台帳!$I$2:$I$2000,台帳!$A$2:$A$2000,$A66,台帳!$F$2:$F$2000,AH$4)</f>
        <v>0</v>
      </c>
      <c r="AI66" s="46">
        <f>SUMIFS(台帳!$I$2:$I$2000,台帳!$A$2:$A$2000,$A66,台帳!$F$2:$F$2000,AI$4)</f>
        <v>0</v>
      </c>
      <c r="AJ66" s="46">
        <f>SUMIFS(台帳!$I$2:$I$2000,台帳!$A$2:$A$2000,$A66,台帳!$F$2:$F$2000,AJ$4)</f>
        <v>0</v>
      </c>
      <c r="AK66" s="46">
        <f>SUMIFS(台帳!$I$2:$I$2000,台帳!$A$2:$A$2000,$A66,台帳!$F$2:$F$2000,AK$4)</f>
        <v>0</v>
      </c>
      <c r="AL66" s="46">
        <f>SUMIFS(台帳!$I$2:$I$2000,台帳!$A$2:$A$2000,$A66,台帳!$F$2:$F$2000,AL$4)</f>
        <v>0</v>
      </c>
      <c r="AM66" s="46">
        <f>SUMIFS(台帳!$I$2:$I$2000,台帳!$A$2:$A$2000,$A66,台帳!$F$2:$F$2000,AM$4)</f>
        <v>0</v>
      </c>
      <c r="AN66" s="46">
        <f>SUMIFS(台帳!$I$2:$I$2000,台帳!$A$2:$A$2000,$A66,台帳!$F$2:$F$2000,AN$4)</f>
        <v>0</v>
      </c>
      <c r="AO66" s="46">
        <f>SUMIFS(台帳!$I$2:$I$2000,台帳!$A$2:$A$2000,$A66,台帳!$F$2:$F$2000,AO$4)</f>
        <v>0</v>
      </c>
      <c r="AP66" s="46">
        <f>SUMIFS(台帳!$I$2:$I$2000,台帳!$A$2:$A$2000,$A66,台帳!$F$2:$F$2000,AP$4)</f>
        <v>0</v>
      </c>
      <c r="AQ66" s="46">
        <f>SUMIFS(台帳!$I$2:$I$2000,台帳!$A$2:$A$2000,$A66,台帳!$F$2:$F$2000,AQ$4)</f>
        <v>0</v>
      </c>
      <c r="AR66" s="46">
        <f>SUM(C66:AQ66)</f>
        <v>0</v>
      </c>
    </row>
    <row r="67" spans="1:44" ht="17.25" x14ac:dyDescent="0.35">
      <c r="A67" s="44">
        <v>46194</v>
      </c>
      <c r="B67" s="45" t="str">
        <f>CHOOSE(WEEKDAY(A67),"日","月","火","水","木","金","土")</f>
        <v>日</v>
      </c>
      <c r="C67" s="46">
        <f>SUMIFS(台帳!$I$2:$I$2000,台帳!$A$2:$A$2000,$A67,台帳!$F$2:$F$2000,C$4)</f>
        <v>0</v>
      </c>
      <c r="D67" s="46">
        <f>SUMIFS(台帳!$I$2:$I$2000,台帳!$A$2:$A$2000,$A67,台帳!$F$2:$F$2000,D$4)</f>
        <v>0</v>
      </c>
      <c r="E67" s="46">
        <f>SUMIFS(台帳!$I$2:$I$2000,台帳!$A$2:$A$2000,$A67,台帳!$F$2:$F$2000,E$4)</f>
        <v>0</v>
      </c>
      <c r="F67" s="46">
        <f>SUMIFS(台帳!$I$2:$I$2000,台帳!$A$2:$A$2000,$A67,台帳!$F$2:$F$2000,F$4)</f>
        <v>0</v>
      </c>
      <c r="G67" s="46">
        <f>SUMIFS(台帳!$I$2:$I$2000,台帳!$A$2:$A$2000,$A67,台帳!$F$2:$F$2000,G$4)</f>
        <v>0</v>
      </c>
      <c r="H67" s="46">
        <f>SUMIFS(台帳!$I$2:$I$2000,台帳!$A$2:$A$2000,$A67,台帳!$F$2:$F$2000,H$4)</f>
        <v>0</v>
      </c>
      <c r="I67" s="46">
        <f>SUMIFS(台帳!$I$2:$I$2000,台帳!$A$2:$A$2000,$A67,台帳!$F$2:$F$2000,I$4)</f>
        <v>0</v>
      </c>
      <c r="J67" s="46">
        <f>SUMIFS(台帳!$I$2:$I$2000,台帳!$A$2:$A$2000,$A67,台帳!$F$2:$F$2000,J$4)</f>
        <v>0</v>
      </c>
      <c r="K67" s="46">
        <f>SUMIFS(台帳!$I$2:$I$2000,台帳!$A$2:$A$2000,$A67,台帳!$F$2:$F$2000,K$4)</f>
        <v>0</v>
      </c>
      <c r="L67" s="46">
        <f>SUMIFS(台帳!$I$2:$I$2000,台帳!$A$2:$A$2000,$A67,台帳!$F$2:$F$2000,L$4)</f>
        <v>0</v>
      </c>
      <c r="M67" s="46">
        <f>SUMIFS(台帳!$I$2:$I$2000,台帳!$A$2:$A$2000,$A67,台帳!$F$2:$F$2000,M$4)</f>
        <v>0</v>
      </c>
      <c r="N67" s="46">
        <f>SUMIFS(台帳!$I$2:$I$2000,台帳!$A$2:$A$2000,$A67,台帳!$F$2:$F$2000,N$4)</f>
        <v>0</v>
      </c>
      <c r="O67" s="46">
        <f>SUMIFS(台帳!$I$2:$I$2000,台帳!$A$2:$A$2000,$A67,台帳!$F$2:$F$2000,O$4)</f>
        <v>0</v>
      </c>
      <c r="P67" s="46">
        <f>SUMIFS(台帳!$I$2:$I$2000,台帳!$A$2:$A$2000,$A67,台帳!$F$2:$F$2000,P$4)</f>
        <v>0</v>
      </c>
      <c r="Q67" s="46">
        <f>SUMIFS(台帳!$I$2:$I$2000,台帳!$A$2:$A$2000,$A67,台帳!$F$2:$F$2000,Q$4)</f>
        <v>0</v>
      </c>
      <c r="R67" s="46">
        <f>SUMIFS(台帳!$I$2:$I$2000,台帳!$A$2:$A$2000,$A67,台帳!$F$2:$F$2000,R$4)</f>
        <v>0</v>
      </c>
      <c r="S67" s="46">
        <f>SUMIFS(台帳!$I$2:$I$2000,台帳!$A$2:$A$2000,$A67,台帳!$F$2:$F$2000,S$4)</f>
        <v>0</v>
      </c>
      <c r="T67" s="46">
        <f>SUMIFS(台帳!$I$2:$I$2000,台帳!$A$2:$A$2000,$A67,台帳!$F$2:$F$2000,T$4)</f>
        <v>0</v>
      </c>
      <c r="U67" s="46">
        <f>SUMIFS(台帳!$I$2:$I$2000,台帳!$A$2:$A$2000,$A67,台帳!$F$2:$F$2000,U$4)</f>
        <v>0</v>
      </c>
      <c r="V67" s="46">
        <f>SUMIFS(台帳!$I$2:$I$2000,台帳!$A$2:$A$2000,$A67,台帳!$F$2:$F$2000,V$4)</f>
        <v>0</v>
      </c>
      <c r="W67" s="46">
        <f>SUMIFS(台帳!$I$2:$I$2000,台帳!$A$2:$A$2000,$A67,台帳!$F$2:$F$2000,W$4)</f>
        <v>0</v>
      </c>
      <c r="X67" s="46">
        <f>SUMIFS(台帳!$I$2:$I$2000,台帳!$A$2:$A$2000,$A67,台帳!$F$2:$F$2000,X$4)</f>
        <v>0</v>
      </c>
      <c r="Y67" s="46">
        <f>SUMIFS(台帳!$I$2:$I$2000,台帳!$A$2:$A$2000,$A67,台帳!$F$2:$F$2000,Y$4)</f>
        <v>0</v>
      </c>
      <c r="Z67" s="46">
        <f>SUMIFS(台帳!$I$2:$I$2000,台帳!$A$2:$A$2000,$A67,台帳!$F$2:$F$2000,Z$4)</f>
        <v>0</v>
      </c>
      <c r="AA67" s="46">
        <f>SUMIFS(台帳!$I$2:$I$2000,台帳!$A$2:$A$2000,$A67,台帳!$F$2:$F$2000,AA$4)</f>
        <v>0</v>
      </c>
      <c r="AB67" s="46">
        <f>SUMIFS(台帳!$I$2:$I$2000,台帳!$A$2:$A$2000,$A67,台帳!$F$2:$F$2000,AB$4)</f>
        <v>0</v>
      </c>
      <c r="AC67" s="46">
        <f>SUMIFS(台帳!$I$2:$I$2000,台帳!$A$2:$A$2000,$A67,台帳!$F$2:$F$2000,AC$4)</f>
        <v>0</v>
      </c>
      <c r="AD67" s="46">
        <f>SUMIFS(台帳!$I$2:$I$2000,台帳!$A$2:$A$2000,$A67,台帳!$F$2:$F$2000,AD$4)</f>
        <v>0</v>
      </c>
      <c r="AE67" s="46">
        <f>SUMIFS(台帳!$I$2:$I$2000,台帳!$A$2:$A$2000,$A67,台帳!$F$2:$F$2000,AE$4)</f>
        <v>0</v>
      </c>
      <c r="AF67" s="46">
        <f>SUMIFS(台帳!$I$2:$I$2000,台帳!$A$2:$A$2000,$A67,台帳!$F$2:$F$2000,AF$4)</f>
        <v>0</v>
      </c>
      <c r="AG67" s="46">
        <f>SUMIFS(台帳!$I$2:$I$2000,台帳!$A$2:$A$2000,$A67,台帳!$F$2:$F$2000,AG$4)</f>
        <v>0</v>
      </c>
      <c r="AH67" s="46">
        <f>SUMIFS(台帳!$I$2:$I$2000,台帳!$A$2:$A$2000,$A67,台帳!$F$2:$F$2000,AH$4)</f>
        <v>0</v>
      </c>
      <c r="AI67" s="46">
        <f>SUMIFS(台帳!$I$2:$I$2000,台帳!$A$2:$A$2000,$A67,台帳!$F$2:$F$2000,AI$4)</f>
        <v>0</v>
      </c>
      <c r="AJ67" s="46">
        <f>SUMIFS(台帳!$I$2:$I$2000,台帳!$A$2:$A$2000,$A67,台帳!$F$2:$F$2000,AJ$4)</f>
        <v>0</v>
      </c>
      <c r="AK67" s="46">
        <f>SUMIFS(台帳!$I$2:$I$2000,台帳!$A$2:$A$2000,$A67,台帳!$F$2:$F$2000,AK$4)</f>
        <v>0</v>
      </c>
      <c r="AL67" s="46">
        <f>SUMIFS(台帳!$I$2:$I$2000,台帳!$A$2:$A$2000,$A67,台帳!$F$2:$F$2000,AL$4)</f>
        <v>0</v>
      </c>
      <c r="AM67" s="46">
        <f>SUMIFS(台帳!$I$2:$I$2000,台帳!$A$2:$A$2000,$A67,台帳!$F$2:$F$2000,AM$4)</f>
        <v>0</v>
      </c>
      <c r="AN67" s="46">
        <f>SUMIFS(台帳!$I$2:$I$2000,台帳!$A$2:$A$2000,$A67,台帳!$F$2:$F$2000,AN$4)</f>
        <v>0</v>
      </c>
      <c r="AO67" s="46">
        <f>SUMIFS(台帳!$I$2:$I$2000,台帳!$A$2:$A$2000,$A67,台帳!$F$2:$F$2000,AO$4)</f>
        <v>0</v>
      </c>
      <c r="AP67" s="46">
        <f>SUMIFS(台帳!$I$2:$I$2000,台帳!$A$2:$A$2000,$A67,台帳!$F$2:$F$2000,AP$4)</f>
        <v>0</v>
      </c>
      <c r="AQ67" s="46">
        <f>SUMIFS(台帳!$I$2:$I$2000,台帳!$A$2:$A$2000,$A67,台帳!$F$2:$F$2000,AQ$4)</f>
        <v>0</v>
      </c>
      <c r="AR67" s="46">
        <f>SUM(C67:AQ67)</f>
        <v>0</v>
      </c>
    </row>
    <row r="68" spans="1:44" ht="17.25" x14ac:dyDescent="0.35">
      <c r="A68" s="44">
        <v>46195</v>
      </c>
      <c r="B68" s="45" t="str">
        <f>CHOOSE(WEEKDAY(A68),"日","月","火","水","木","金","土")</f>
        <v>月</v>
      </c>
      <c r="C68" s="46">
        <f>SUMIFS(台帳!$I$2:$I$2000,台帳!$A$2:$A$2000,$A68,台帳!$F$2:$F$2000,C$4)</f>
        <v>0</v>
      </c>
      <c r="D68" s="46">
        <f>SUMIFS(台帳!$I$2:$I$2000,台帳!$A$2:$A$2000,$A68,台帳!$F$2:$F$2000,D$4)</f>
        <v>0</v>
      </c>
      <c r="E68" s="46">
        <f>SUMIFS(台帳!$I$2:$I$2000,台帳!$A$2:$A$2000,$A68,台帳!$F$2:$F$2000,E$4)</f>
        <v>0</v>
      </c>
      <c r="F68" s="46">
        <f>SUMIFS(台帳!$I$2:$I$2000,台帳!$A$2:$A$2000,$A68,台帳!$F$2:$F$2000,F$4)</f>
        <v>0</v>
      </c>
      <c r="G68" s="46">
        <f>SUMIFS(台帳!$I$2:$I$2000,台帳!$A$2:$A$2000,$A68,台帳!$F$2:$F$2000,G$4)</f>
        <v>0</v>
      </c>
      <c r="H68" s="46">
        <f>SUMIFS(台帳!$I$2:$I$2000,台帳!$A$2:$A$2000,$A68,台帳!$F$2:$F$2000,H$4)</f>
        <v>3</v>
      </c>
      <c r="I68" s="46">
        <f>SUMIFS(台帳!$I$2:$I$2000,台帳!$A$2:$A$2000,$A68,台帳!$F$2:$F$2000,I$4)</f>
        <v>0</v>
      </c>
      <c r="J68" s="46">
        <f>SUMIFS(台帳!$I$2:$I$2000,台帳!$A$2:$A$2000,$A68,台帳!$F$2:$F$2000,J$4)</f>
        <v>0</v>
      </c>
      <c r="K68" s="46">
        <f>SUMIFS(台帳!$I$2:$I$2000,台帳!$A$2:$A$2000,$A68,台帳!$F$2:$F$2000,K$4)</f>
        <v>0</v>
      </c>
      <c r="L68" s="46">
        <f>SUMIFS(台帳!$I$2:$I$2000,台帳!$A$2:$A$2000,$A68,台帳!$F$2:$F$2000,L$4)</f>
        <v>0</v>
      </c>
      <c r="M68" s="46">
        <f>SUMIFS(台帳!$I$2:$I$2000,台帳!$A$2:$A$2000,$A68,台帳!$F$2:$F$2000,M$4)</f>
        <v>0</v>
      </c>
      <c r="N68" s="46">
        <f>SUMIFS(台帳!$I$2:$I$2000,台帳!$A$2:$A$2000,$A68,台帳!$F$2:$F$2000,N$4)</f>
        <v>0</v>
      </c>
      <c r="O68" s="46">
        <f>SUMIFS(台帳!$I$2:$I$2000,台帳!$A$2:$A$2000,$A68,台帳!$F$2:$F$2000,O$4)</f>
        <v>0</v>
      </c>
      <c r="P68" s="46">
        <f>SUMIFS(台帳!$I$2:$I$2000,台帳!$A$2:$A$2000,$A68,台帳!$F$2:$F$2000,P$4)</f>
        <v>0</v>
      </c>
      <c r="Q68" s="46">
        <f>SUMIFS(台帳!$I$2:$I$2000,台帳!$A$2:$A$2000,$A68,台帳!$F$2:$F$2000,Q$4)</f>
        <v>0</v>
      </c>
      <c r="R68" s="46">
        <f>SUMIFS(台帳!$I$2:$I$2000,台帳!$A$2:$A$2000,$A68,台帳!$F$2:$F$2000,R$4)</f>
        <v>0</v>
      </c>
      <c r="S68" s="46">
        <f>SUMIFS(台帳!$I$2:$I$2000,台帳!$A$2:$A$2000,$A68,台帳!$F$2:$F$2000,S$4)</f>
        <v>0</v>
      </c>
      <c r="T68" s="46">
        <f>SUMIFS(台帳!$I$2:$I$2000,台帳!$A$2:$A$2000,$A68,台帳!$F$2:$F$2000,T$4)</f>
        <v>0</v>
      </c>
      <c r="U68" s="46">
        <f>SUMIFS(台帳!$I$2:$I$2000,台帳!$A$2:$A$2000,$A68,台帳!$F$2:$F$2000,U$4)</f>
        <v>0</v>
      </c>
      <c r="V68" s="46">
        <f>SUMIFS(台帳!$I$2:$I$2000,台帳!$A$2:$A$2000,$A68,台帳!$F$2:$F$2000,V$4)</f>
        <v>0</v>
      </c>
      <c r="W68" s="46">
        <f>SUMIFS(台帳!$I$2:$I$2000,台帳!$A$2:$A$2000,$A68,台帳!$F$2:$F$2000,W$4)</f>
        <v>0</v>
      </c>
      <c r="X68" s="46">
        <f>SUMIFS(台帳!$I$2:$I$2000,台帳!$A$2:$A$2000,$A68,台帳!$F$2:$F$2000,X$4)</f>
        <v>0</v>
      </c>
      <c r="Y68" s="46">
        <f>SUMIFS(台帳!$I$2:$I$2000,台帳!$A$2:$A$2000,$A68,台帳!$F$2:$F$2000,Y$4)</f>
        <v>0</v>
      </c>
      <c r="Z68" s="46">
        <f>SUMIFS(台帳!$I$2:$I$2000,台帳!$A$2:$A$2000,$A68,台帳!$F$2:$F$2000,Z$4)</f>
        <v>0</v>
      </c>
      <c r="AA68" s="46">
        <f>SUMIFS(台帳!$I$2:$I$2000,台帳!$A$2:$A$2000,$A68,台帳!$F$2:$F$2000,AA$4)</f>
        <v>0</v>
      </c>
      <c r="AB68" s="46">
        <f>SUMIFS(台帳!$I$2:$I$2000,台帳!$A$2:$A$2000,$A68,台帳!$F$2:$F$2000,AB$4)</f>
        <v>0</v>
      </c>
      <c r="AC68" s="46">
        <f>SUMIFS(台帳!$I$2:$I$2000,台帳!$A$2:$A$2000,$A68,台帳!$F$2:$F$2000,AC$4)</f>
        <v>0</v>
      </c>
      <c r="AD68" s="46">
        <f>SUMIFS(台帳!$I$2:$I$2000,台帳!$A$2:$A$2000,$A68,台帳!$F$2:$F$2000,AD$4)</f>
        <v>0</v>
      </c>
      <c r="AE68" s="46">
        <f>SUMIFS(台帳!$I$2:$I$2000,台帳!$A$2:$A$2000,$A68,台帳!$F$2:$F$2000,AE$4)</f>
        <v>0</v>
      </c>
      <c r="AF68" s="46">
        <f>SUMIFS(台帳!$I$2:$I$2000,台帳!$A$2:$A$2000,$A68,台帳!$F$2:$F$2000,AF$4)</f>
        <v>0</v>
      </c>
      <c r="AG68" s="46">
        <f>SUMIFS(台帳!$I$2:$I$2000,台帳!$A$2:$A$2000,$A68,台帳!$F$2:$F$2000,AG$4)</f>
        <v>0</v>
      </c>
      <c r="AH68" s="46">
        <f>SUMIFS(台帳!$I$2:$I$2000,台帳!$A$2:$A$2000,$A68,台帳!$F$2:$F$2000,AH$4)</f>
        <v>0</v>
      </c>
      <c r="AI68" s="46">
        <f>SUMIFS(台帳!$I$2:$I$2000,台帳!$A$2:$A$2000,$A68,台帳!$F$2:$F$2000,AI$4)</f>
        <v>0</v>
      </c>
      <c r="AJ68" s="46">
        <f>SUMIFS(台帳!$I$2:$I$2000,台帳!$A$2:$A$2000,$A68,台帳!$F$2:$F$2000,AJ$4)</f>
        <v>0</v>
      </c>
      <c r="AK68" s="46">
        <f>SUMIFS(台帳!$I$2:$I$2000,台帳!$A$2:$A$2000,$A68,台帳!$F$2:$F$2000,AK$4)</f>
        <v>0</v>
      </c>
      <c r="AL68" s="46">
        <f>SUMIFS(台帳!$I$2:$I$2000,台帳!$A$2:$A$2000,$A68,台帳!$F$2:$F$2000,AL$4)</f>
        <v>0</v>
      </c>
      <c r="AM68" s="46">
        <f>SUMIFS(台帳!$I$2:$I$2000,台帳!$A$2:$A$2000,$A68,台帳!$F$2:$F$2000,AM$4)</f>
        <v>0</v>
      </c>
      <c r="AN68" s="46">
        <f>SUMIFS(台帳!$I$2:$I$2000,台帳!$A$2:$A$2000,$A68,台帳!$F$2:$F$2000,AN$4)</f>
        <v>0</v>
      </c>
      <c r="AO68" s="46">
        <f>SUMIFS(台帳!$I$2:$I$2000,台帳!$A$2:$A$2000,$A68,台帳!$F$2:$F$2000,AO$4)</f>
        <v>0</v>
      </c>
      <c r="AP68" s="46">
        <f>SUMIFS(台帳!$I$2:$I$2000,台帳!$A$2:$A$2000,$A68,台帳!$F$2:$F$2000,AP$4)</f>
        <v>0</v>
      </c>
      <c r="AQ68" s="46">
        <f>SUMIFS(台帳!$I$2:$I$2000,台帳!$A$2:$A$2000,$A68,台帳!$F$2:$F$2000,AQ$4)</f>
        <v>0</v>
      </c>
      <c r="AR68" s="46">
        <f>SUM(C68:AQ68)</f>
        <v>3</v>
      </c>
    </row>
    <row r="69" spans="1:44" ht="17.25" x14ac:dyDescent="0.35">
      <c r="A69" s="44">
        <v>46196</v>
      </c>
      <c r="B69" s="45" t="str">
        <f>CHOOSE(WEEKDAY(A69),"日","月","火","水","木","金","土")</f>
        <v>火</v>
      </c>
      <c r="C69" s="46">
        <f>SUMIFS(台帳!$I$2:$I$2000,台帳!$A$2:$A$2000,$A69,台帳!$F$2:$F$2000,C$4)</f>
        <v>0</v>
      </c>
      <c r="D69" s="46">
        <f>SUMIFS(台帳!$I$2:$I$2000,台帳!$A$2:$A$2000,$A69,台帳!$F$2:$F$2000,D$4)</f>
        <v>0</v>
      </c>
      <c r="E69" s="46">
        <f>SUMIFS(台帳!$I$2:$I$2000,台帳!$A$2:$A$2000,$A69,台帳!$F$2:$F$2000,E$4)</f>
        <v>0</v>
      </c>
      <c r="F69" s="46">
        <f>SUMIFS(台帳!$I$2:$I$2000,台帳!$A$2:$A$2000,$A69,台帳!$F$2:$F$2000,F$4)</f>
        <v>0</v>
      </c>
      <c r="G69" s="46">
        <f>SUMIFS(台帳!$I$2:$I$2000,台帳!$A$2:$A$2000,$A69,台帳!$F$2:$F$2000,G$4)</f>
        <v>0</v>
      </c>
      <c r="H69" s="46">
        <f>SUMIFS(台帳!$I$2:$I$2000,台帳!$A$2:$A$2000,$A69,台帳!$F$2:$F$2000,H$4)</f>
        <v>3</v>
      </c>
      <c r="I69" s="46">
        <f>SUMIFS(台帳!$I$2:$I$2000,台帳!$A$2:$A$2000,$A69,台帳!$F$2:$F$2000,I$4)</f>
        <v>0</v>
      </c>
      <c r="J69" s="46">
        <f>SUMIFS(台帳!$I$2:$I$2000,台帳!$A$2:$A$2000,$A69,台帳!$F$2:$F$2000,J$4)</f>
        <v>0</v>
      </c>
      <c r="K69" s="46">
        <f>SUMIFS(台帳!$I$2:$I$2000,台帳!$A$2:$A$2000,$A69,台帳!$F$2:$F$2000,K$4)</f>
        <v>0</v>
      </c>
      <c r="L69" s="46">
        <f>SUMIFS(台帳!$I$2:$I$2000,台帳!$A$2:$A$2000,$A69,台帳!$F$2:$F$2000,L$4)</f>
        <v>0</v>
      </c>
      <c r="M69" s="46">
        <f>SUMIFS(台帳!$I$2:$I$2000,台帳!$A$2:$A$2000,$A69,台帳!$F$2:$F$2000,M$4)</f>
        <v>0</v>
      </c>
      <c r="N69" s="46">
        <f>SUMIFS(台帳!$I$2:$I$2000,台帳!$A$2:$A$2000,$A69,台帳!$F$2:$F$2000,N$4)</f>
        <v>0</v>
      </c>
      <c r="O69" s="46">
        <f>SUMIFS(台帳!$I$2:$I$2000,台帳!$A$2:$A$2000,$A69,台帳!$F$2:$F$2000,O$4)</f>
        <v>0</v>
      </c>
      <c r="P69" s="46">
        <f>SUMIFS(台帳!$I$2:$I$2000,台帳!$A$2:$A$2000,$A69,台帳!$F$2:$F$2000,P$4)</f>
        <v>0</v>
      </c>
      <c r="Q69" s="46">
        <f>SUMIFS(台帳!$I$2:$I$2000,台帳!$A$2:$A$2000,$A69,台帳!$F$2:$F$2000,Q$4)</f>
        <v>0</v>
      </c>
      <c r="R69" s="46">
        <f>SUMIFS(台帳!$I$2:$I$2000,台帳!$A$2:$A$2000,$A69,台帳!$F$2:$F$2000,R$4)</f>
        <v>0</v>
      </c>
      <c r="S69" s="46">
        <f>SUMIFS(台帳!$I$2:$I$2000,台帳!$A$2:$A$2000,$A69,台帳!$F$2:$F$2000,S$4)</f>
        <v>0</v>
      </c>
      <c r="T69" s="46">
        <f>SUMIFS(台帳!$I$2:$I$2000,台帳!$A$2:$A$2000,$A69,台帳!$F$2:$F$2000,T$4)</f>
        <v>0</v>
      </c>
      <c r="U69" s="46">
        <f>SUMIFS(台帳!$I$2:$I$2000,台帳!$A$2:$A$2000,$A69,台帳!$F$2:$F$2000,U$4)</f>
        <v>0</v>
      </c>
      <c r="V69" s="46">
        <f>SUMIFS(台帳!$I$2:$I$2000,台帳!$A$2:$A$2000,$A69,台帳!$F$2:$F$2000,V$4)</f>
        <v>0</v>
      </c>
      <c r="W69" s="46">
        <f>SUMIFS(台帳!$I$2:$I$2000,台帳!$A$2:$A$2000,$A69,台帳!$F$2:$F$2000,W$4)</f>
        <v>0</v>
      </c>
      <c r="X69" s="46">
        <f>SUMIFS(台帳!$I$2:$I$2000,台帳!$A$2:$A$2000,$A69,台帳!$F$2:$F$2000,X$4)</f>
        <v>0</v>
      </c>
      <c r="Y69" s="46">
        <f>SUMIFS(台帳!$I$2:$I$2000,台帳!$A$2:$A$2000,$A69,台帳!$F$2:$F$2000,Y$4)</f>
        <v>0</v>
      </c>
      <c r="Z69" s="46">
        <f>SUMIFS(台帳!$I$2:$I$2000,台帳!$A$2:$A$2000,$A69,台帳!$F$2:$F$2000,Z$4)</f>
        <v>0</v>
      </c>
      <c r="AA69" s="46">
        <f>SUMIFS(台帳!$I$2:$I$2000,台帳!$A$2:$A$2000,$A69,台帳!$F$2:$F$2000,AA$4)</f>
        <v>0</v>
      </c>
      <c r="AB69" s="46">
        <f>SUMIFS(台帳!$I$2:$I$2000,台帳!$A$2:$A$2000,$A69,台帳!$F$2:$F$2000,AB$4)</f>
        <v>0</v>
      </c>
      <c r="AC69" s="46">
        <f>SUMIFS(台帳!$I$2:$I$2000,台帳!$A$2:$A$2000,$A69,台帳!$F$2:$F$2000,AC$4)</f>
        <v>0</v>
      </c>
      <c r="AD69" s="46">
        <f>SUMIFS(台帳!$I$2:$I$2000,台帳!$A$2:$A$2000,$A69,台帳!$F$2:$F$2000,AD$4)</f>
        <v>0</v>
      </c>
      <c r="AE69" s="46">
        <f>SUMIFS(台帳!$I$2:$I$2000,台帳!$A$2:$A$2000,$A69,台帳!$F$2:$F$2000,AE$4)</f>
        <v>0</v>
      </c>
      <c r="AF69" s="46">
        <f>SUMIFS(台帳!$I$2:$I$2000,台帳!$A$2:$A$2000,$A69,台帳!$F$2:$F$2000,AF$4)</f>
        <v>0</v>
      </c>
      <c r="AG69" s="46">
        <f>SUMIFS(台帳!$I$2:$I$2000,台帳!$A$2:$A$2000,$A69,台帳!$F$2:$F$2000,AG$4)</f>
        <v>0</v>
      </c>
      <c r="AH69" s="46">
        <f>SUMIFS(台帳!$I$2:$I$2000,台帳!$A$2:$A$2000,$A69,台帳!$F$2:$F$2000,AH$4)</f>
        <v>0</v>
      </c>
      <c r="AI69" s="46">
        <f>SUMIFS(台帳!$I$2:$I$2000,台帳!$A$2:$A$2000,$A69,台帳!$F$2:$F$2000,AI$4)</f>
        <v>0</v>
      </c>
      <c r="AJ69" s="46">
        <f>SUMIFS(台帳!$I$2:$I$2000,台帳!$A$2:$A$2000,$A69,台帳!$F$2:$F$2000,AJ$4)</f>
        <v>0</v>
      </c>
      <c r="AK69" s="46">
        <f>SUMIFS(台帳!$I$2:$I$2000,台帳!$A$2:$A$2000,$A69,台帳!$F$2:$F$2000,AK$4)</f>
        <v>0</v>
      </c>
      <c r="AL69" s="46">
        <f>SUMIFS(台帳!$I$2:$I$2000,台帳!$A$2:$A$2000,$A69,台帳!$F$2:$F$2000,AL$4)</f>
        <v>0</v>
      </c>
      <c r="AM69" s="46">
        <f>SUMIFS(台帳!$I$2:$I$2000,台帳!$A$2:$A$2000,$A69,台帳!$F$2:$F$2000,AM$4)</f>
        <v>0</v>
      </c>
      <c r="AN69" s="46">
        <f>SUMIFS(台帳!$I$2:$I$2000,台帳!$A$2:$A$2000,$A69,台帳!$F$2:$F$2000,AN$4)</f>
        <v>0</v>
      </c>
      <c r="AO69" s="46">
        <f>SUMIFS(台帳!$I$2:$I$2000,台帳!$A$2:$A$2000,$A69,台帳!$F$2:$F$2000,AO$4)</f>
        <v>0</v>
      </c>
      <c r="AP69" s="46">
        <f>SUMIFS(台帳!$I$2:$I$2000,台帳!$A$2:$A$2000,$A69,台帳!$F$2:$F$2000,AP$4)</f>
        <v>0</v>
      </c>
      <c r="AQ69" s="46">
        <f>SUMIFS(台帳!$I$2:$I$2000,台帳!$A$2:$A$2000,$A69,台帳!$F$2:$F$2000,AQ$4)</f>
        <v>0</v>
      </c>
      <c r="AR69" s="46">
        <f>SUM(C69:AQ69)</f>
        <v>3</v>
      </c>
    </row>
    <row r="70" spans="1:44" ht="17.25" x14ac:dyDescent="0.35">
      <c r="A70" s="44">
        <v>46197</v>
      </c>
      <c r="B70" s="45" t="str">
        <f>CHOOSE(WEEKDAY(A70),"日","月","火","水","木","金","土")</f>
        <v>水</v>
      </c>
      <c r="C70" s="46">
        <f>SUMIFS(台帳!$I$2:$I$2000,台帳!$A$2:$A$2000,$A70,台帳!$F$2:$F$2000,C$4)</f>
        <v>0</v>
      </c>
      <c r="D70" s="46">
        <f>SUMIFS(台帳!$I$2:$I$2000,台帳!$A$2:$A$2000,$A70,台帳!$F$2:$F$2000,D$4)</f>
        <v>0</v>
      </c>
      <c r="E70" s="46">
        <f>SUMIFS(台帳!$I$2:$I$2000,台帳!$A$2:$A$2000,$A70,台帳!$F$2:$F$2000,E$4)</f>
        <v>0</v>
      </c>
      <c r="F70" s="46">
        <f>SUMIFS(台帳!$I$2:$I$2000,台帳!$A$2:$A$2000,$A70,台帳!$F$2:$F$2000,F$4)</f>
        <v>0</v>
      </c>
      <c r="G70" s="46">
        <f>SUMIFS(台帳!$I$2:$I$2000,台帳!$A$2:$A$2000,$A70,台帳!$F$2:$F$2000,G$4)</f>
        <v>0</v>
      </c>
      <c r="H70" s="46">
        <f>SUMIFS(台帳!$I$2:$I$2000,台帳!$A$2:$A$2000,$A70,台帳!$F$2:$F$2000,H$4)</f>
        <v>0</v>
      </c>
      <c r="I70" s="46">
        <f>SUMIFS(台帳!$I$2:$I$2000,台帳!$A$2:$A$2000,$A70,台帳!$F$2:$F$2000,I$4)</f>
        <v>3</v>
      </c>
      <c r="J70" s="46">
        <f>SUMIFS(台帳!$I$2:$I$2000,台帳!$A$2:$A$2000,$A70,台帳!$F$2:$F$2000,J$4)</f>
        <v>0</v>
      </c>
      <c r="K70" s="46">
        <f>SUMIFS(台帳!$I$2:$I$2000,台帳!$A$2:$A$2000,$A70,台帳!$F$2:$F$2000,K$4)</f>
        <v>0</v>
      </c>
      <c r="L70" s="46">
        <f>SUMIFS(台帳!$I$2:$I$2000,台帳!$A$2:$A$2000,$A70,台帳!$F$2:$F$2000,L$4)</f>
        <v>0</v>
      </c>
      <c r="M70" s="46">
        <f>SUMIFS(台帳!$I$2:$I$2000,台帳!$A$2:$A$2000,$A70,台帳!$F$2:$F$2000,M$4)</f>
        <v>0</v>
      </c>
      <c r="N70" s="46">
        <f>SUMIFS(台帳!$I$2:$I$2000,台帳!$A$2:$A$2000,$A70,台帳!$F$2:$F$2000,N$4)</f>
        <v>0</v>
      </c>
      <c r="O70" s="46">
        <f>SUMIFS(台帳!$I$2:$I$2000,台帳!$A$2:$A$2000,$A70,台帳!$F$2:$F$2000,O$4)</f>
        <v>0</v>
      </c>
      <c r="P70" s="46">
        <f>SUMIFS(台帳!$I$2:$I$2000,台帳!$A$2:$A$2000,$A70,台帳!$F$2:$F$2000,P$4)</f>
        <v>0</v>
      </c>
      <c r="Q70" s="46">
        <f>SUMIFS(台帳!$I$2:$I$2000,台帳!$A$2:$A$2000,$A70,台帳!$F$2:$F$2000,Q$4)</f>
        <v>0</v>
      </c>
      <c r="R70" s="46">
        <f>SUMIFS(台帳!$I$2:$I$2000,台帳!$A$2:$A$2000,$A70,台帳!$F$2:$F$2000,R$4)</f>
        <v>0</v>
      </c>
      <c r="S70" s="46">
        <f>SUMIFS(台帳!$I$2:$I$2000,台帳!$A$2:$A$2000,$A70,台帳!$F$2:$F$2000,S$4)</f>
        <v>0</v>
      </c>
      <c r="T70" s="46">
        <f>SUMIFS(台帳!$I$2:$I$2000,台帳!$A$2:$A$2000,$A70,台帳!$F$2:$F$2000,T$4)</f>
        <v>0</v>
      </c>
      <c r="U70" s="46">
        <f>SUMIFS(台帳!$I$2:$I$2000,台帳!$A$2:$A$2000,$A70,台帳!$F$2:$F$2000,U$4)</f>
        <v>0</v>
      </c>
      <c r="V70" s="46">
        <f>SUMIFS(台帳!$I$2:$I$2000,台帳!$A$2:$A$2000,$A70,台帳!$F$2:$F$2000,V$4)</f>
        <v>0</v>
      </c>
      <c r="W70" s="46">
        <f>SUMIFS(台帳!$I$2:$I$2000,台帳!$A$2:$A$2000,$A70,台帳!$F$2:$F$2000,W$4)</f>
        <v>0</v>
      </c>
      <c r="X70" s="46">
        <f>SUMIFS(台帳!$I$2:$I$2000,台帳!$A$2:$A$2000,$A70,台帳!$F$2:$F$2000,X$4)</f>
        <v>0</v>
      </c>
      <c r="Y70" s="46">
        <f>SUMIFS(台帳!$I$2:$I$2000,台帳!$A$2:$A$2000,$A70,台帳!$F$2:$F$2000,Y$4)</f>
        <v>0</v>
      </c>
      <c r="Z70" s="46">
        <f>SUMIFS(台帳!$I$2:$I$2000,台帳!$A$2:$A$2000,$A70,台帳!$F$2:$F$2000,Z$4)</f>
        <v>0</v>
      </c>
      <c r="AA70" s="46">
        <f>SUMIFS(台帳!$I$2:$I$2000,台帳!$A$2:$A$2000,$A70,台帳!$F$2:$F$2000,AA$4)</f>
        <v>0</v>
      </c>
      <c r="AB70" s="46">
        <f>SUMIFS(台帳!$I$2:$I$2000,台帳!$A$2:$A$2000,$A70,台帳!$F$2:$F$2000,AB$4)</f>
        <v>0</v>
      </c>
      <c r="AC70" s="46">
        <f>SUMIFS(台帳!$I$2:$I$2000,台帳!$A$2:$A$2000,$A70,台帳!$F$2:$F$2000,AC$4)</f>
        <v>0</v>
      </c>
      <c r="AD70" s="46">
        <f>SUMIFS(台帳!$I$2:$I$2000,台帳!$A$2:$A$2000,$A70,台帳!$F$2:$F$2000,AD$4)</f>
        <v>0</v>
      </c>
      <c r="AE70" s="46">
        <f>SUMIFS(台帳!$I$2:$I$2000,台帳!$A$2:$A$2000,$A70,台帳!$F$2:$F$2000,AE$4)</f>
        <v>0</v>
      </c>
      <c r="AF70" s="46">
        <f>SUMIFS(台帳!$I$2:$I$2000,台帳!$A$2:$A$2000,$A70,台帳!$F$2:$F$2000,AF$4)</f>
        <v>0</v>
      </c>
      <c r="AG70" s="46">
        <f>SUMIFS(台帳!$I$2:$I$2000,台帳!$A$2:$A$2000,$A70,台帳!$F$2:$F$2000,AG$4)</f>
        <v>0</v>
      </c>
      <c r="AH70" s="46">
        <f>SUMIFS(台帳!$I$2:$I$2000,台帳!$A$2:$A$2000,$A70,台帳!$F$2:$F$2000,AH$4)</f>
        <v>0</v>
      </c>
      <c r="AI70" s="46">
        <f>SUMIFS(台帳!$I$2:$I$2000,台帳!$A$2:$A$2000,$A70,台帳!$F$2:$F$2000,AI$4)</f>
        <v>0</v>
      </c>
      <c r="AJ70" s="46">
        <f>SUMIFS(台帳!$I$2:$I$2000,台帳!$A$2:$A$2000,$A70,台帳!$F$2:$F$2000,AJ$4)</f>
        <v>0</v>
      </c>
      <c r="AK70" s="46">
        <f>SUMIFS(台帳!$I$2:$I$2000,台帳!$A$2:$A$2000,$A70,台帳!$F$2:$F$2000,AK$4)</f>
        <v>0</v>
      </c>
      <c r="AL70" s="46">
        <f>SUMIFS(台帳!$I$2:$I$2000,台帳!$A$2:$A$2000,$A70,台帳!$F$2:$F$2000,AL$4)</f>
        <v>0</v>
      </c>
      <c r="AM70" s="46">
        <f>SUMIFS(台帳!$I$2:$I$2000,台帳!$A$2:$A$2000,$A70,台帳!$F$2:$F$2000,AM$4)</f>
        <v>0</v>
      </c>
      <c r="AN70" s="46">
        <f>SUMIFS(台帳!$I$2:$I$2000,台帳!$A$2:$A$2000,$A70,台帳!$F$2:$F$2000,AN$4)</f>
        <v>0</v>
      </c>
      <c r="AO70" s="46">
        <f>SUMIFS(台帳!$I$2:$I$2000,台帳!$A$2:$A$2000,$A70,台帳!$F$2:$F$2000,AO$4)</f>
        <v>0</v>
      </c>
      <c r="AP70" s="46">
        <f>SUMIFS(台帳!$I$2:$I$2000,台帳!$A$2:$A$2000,$A70,台帳!$F$2:$F$2000,AP$4)</f>
        <v>0</v>
      </c>
      <c r="AQ70" s="46">
        <f>SUMIFS(台帳!$I$2:$I$2000,台帳!$A$2:$A$2000,$A70,台帳!$F$2:$F$2000,AQ$4)</f>
        <v>0</v>
      </c>
      <c r="AR70" s="46">
        <f>SUM(C70:AQ70)</f>
        <v>3</v>
      </c>
    </row>
    <row r="71" spans="1:44" ht="17.25" x14ac:dyDescent="0.35">
      <c r="A71" s="44">
        <v>46198</v>
      </c>
      <c r="B71" s="45" t="str">
        <f>CHOOSE(WEEKDAY(A71),"日","月","火","水","木","金","土")</f>
        <v>木</v>
      </c>
      <c r="C71" s="46">
        <f>SUMIFS(台帳!$I$2:$I$2000,台帳!$A$2:$A$2000,$A71,台帳!$F$2:$F$2000,C$4)</f>
        <v>0</v>
      </c>
      <c r="D71" s="46">
        <f>SUMIFS(台帳!$I$2:$I$2000,台帳!$A$2:$A$2000,$A71,台帳!$F$2:$F$2000,D$4)</f>
        <v>0</v>
      </c>
      <c r="E71" s="46">
        <f>SUMIFS(台帳!$I$2:$I$2000,台帳!$A$2:$A$2000,$A71,台帳!$F$2:$F$2000,E$4)</f>
        <v>0</v>
      </c>
      <c r="F71" s="46">
        <f>SUMIFS(台帳!$I$2:$I$2000,台帳!$A$2:$A$2000,$A71,台帳!$F$2:$F$2000,F$4)</f>
        <v>0</v>
      </c>
      <c r="G71" s="46">
        <f>SUMIFS(台帳!$I$2:$I$2000,台帳!$A$2:$A$2000,$A71,台帳!$F$2:$F$2000,G$4)</f>
        <v>0</v>
      </c>
      <c r="H71" s="46">
        <f>SUMIFS(台帳!$I$2:$I$2000,台帳!$A$2:$A$2000,$A71,台帳!$F$2:$F$2000,H$4)</f>
        <v>0</v>
      </c>
      <c r="I71" s="46">
        <f>SUMIFS(台帳!$I$2:$I$2000,台帳!$A$2:$A$2000,$A71,台帳!$F$2:$F$2000,I$4)</f>
        <v>3</v>
      </c>
      <c r="J71" s="46">
        <f>SUMIFS(台帳!$I$2:$I$2000,台帳!$A$2:$A$2000,$A71,台帳!$F$2:$F$2000,J$4)</f>
        <v>0</v>
      </c>
      <c r="K71" s="46">
        <f>SUMIFS(台帳!$I$2:$I$2000,台帳!$A$2:$A$2000,$A71,台帳!$F$2:$F$2000,K$4)</f>
        <v>0</v>
      </c>
      <c r="L71" s="46">
        <f>SUMIFS(台帳!$I$2:$I$2000,台帳!$A$2:$A$2000,$A71,台帳!$F$2:$F$2000,L$4)</f>
        <v>0</v>
      </c>
      <c r="M71" s="46">
        <f>SUMIFS(台帳!$I$2:$I$2000,台帳!$A$2:$A$2000,$A71,台帳!$F$2:$F$2000,M$4)</f>
        <v>0</v>
      </c>
      <c r="N71" s="46">
        <f>SUMIFS(台帳!$I$2:$I$2000,台帳!$A$2:$A$2000,$A71,台帳!$F$2:$F$2000,N$4)</f>
        <v>0</v>
      </c>
      <c r="O71" s="46">
        <f>SUMIFS(台帳!$I$2:$I$2000,台帳!$A$2:$A$2000,$A71,台帳!$F$2:$F$2000,O$4)</f>
        <v>0</v>
      </c>
      <c r="P71" s="46">
        <f>SUMIFS(台帳!$I$2:$I$2000,台帳!$A$2:$A$2000,$A71,台帳!$F$2:$F$2000,P$4)</f>
        <v>0</v>
      </c>
      <c r="Q71" s="46">
        <f>SUMIFS(台帳!$I$2:$I$2000,台帳!$A$2:$A$2000,$A71,台帳!$F$2:$F$2000,Q$4)</f>
        <v>0</v>
      </c>
      <c r="R71" s="46">
        <f>SUMIFS(台帳!$I$2:$I$2000,台帳!$A$2:$A$2000,$A71,台帳!$F$2:$F$2000,R$4)</f>
        <v>0</v>
      </c>
      <c r="S71" s="46">
        <f>SUMIFS(台帳!$I$2:$I$2000,台帳!$A$2:$A$2000,$A71,台帳!$F$2:$F$2000,S$4)</f>
        <v>0</v>
      </c>
      <c r="T71" s="46">
        <f>SUMIFS(台帳!$I$2:$I$2000,台帳!$A$2:$A$2000,$A71,台帳!$F$2:$F$2000,T$4)</f>
        <v>0</v>
      </c>
      <c r="U71" s="46">
        <f>SUMIFS(台帳!$I$2:$I$2000,台帳!$A$2:$A$2000,$A71,台帳!$F$2:$F$2000,U$4)</f>
        <v>0</v>
      </c>
      <c r="V71" s="46">
        <f>SUMIFS(台帳!$I$2:$I$2000,台帳!$A$2:$A$2000,$A71,台帳!$F$2:$F$2000,V$4)</f>
        <v>0</v>
      </c>
      <c r="W71" s="46">
        <f>SUMIFS(台帳!$I$2:$I$2000,台帳!$A$2:$A$2000,$A71,台帳!$F$2:$F$2000,W$4)</f>
        <v>0</v>
      </c>
      <c r="X71" s="46">
        <f>SUMIFS(台帳!$I$2:$I$2000,台帳!$A$2:$A$2000,$A71,台帳!$F$2:$F$2000,X$4)</f>
        <v>0</v>
      </c>
      <c r="Y71" s="46">
        <f>SUMIFS(台帳!$I$2:$I$2000,台帳!$A$2:$A$2000,$A71,台帳!$F$2:$F$2000,Y$4)</f>
        <v>0</v>
      </c>
      <c r="Z71" s="46">
        <f>SUMIFS(台帳!$I$2:$I$2000,台帳!$A$2:$A$2000,$A71,台帳!$F$2:$F$2000,Z$4)</f>
        <v>0</v>
      </c>
      <c r="AA71" s="46">
        <f>SUMIFS(台帳!$I$2:$I$2000,台帳!$A$2:$A$2000,$A71,台帳!$F$2:$F$2000,AA$4)</f>
        <v>0</v>
      </c>
      <c r="AB71" s="46">
        <f>SUMIFS(台帳!$I$2:$I$2000,台帳!$A$2:$A$2000,$A71,台帳!$F$2:$F$2000,AB$4)</f>
        <v>0</v>
      </c>
      <c r="AC71" s="46">
        <f>SUMIFS(台帳!$I$2:$I$2000,台帳!$A$2:$A$2000,$A71,台帳!$F$2:$F$2000,AC$4)</f>
        <v>0</v>
      </c>
      <c r="AD71" s="46">
        <f>SUMIFS(台帳!$I$2:$I$2000,台帳!$A$2:$A$2000,$A71,台帳!$F$2:$F$2000,AD$4)</f>
        <v>0</v>
      </c>
      <c r="AE71" s="46">
        <f>SUMIFS(台帳!$I$2:$I$2000,台帳!$A$2:$A$2000,$A71,台帳!$F$2:$F$2000,AE$4)</f>
        <v>0</v>
      </c>
      <c r="AF71" s="46">
        <f>SUMIFS(台帳!$I$2:$I$2000,台帳!$A$2:$A$2000,$A71,台帳!$F$2:$F$2000,AF$4)</f>
        <v>0</v>
      </c>
      <c r="AG71" s="46">
        <f>SUMIFS(台帳!$I$2:$I$2000,台帳!$A$2:$A$2000,$A71,台帳!$F$2:$F$2000,AG$4)</f>
        <v>0</v>
      </c>
      <c r="AH71" s="46">
        <f>SUMIFS(台帳!$I$2:$I$2000,台帳!$A$2:$A$2000,$A71,台帳!$F$2:$F$2000,AH$4)</f>
        <v>0</v>
      </c>
      <c r="AI71" s="46">
        <f>SUMIFS(台帳!$I$2:$I$2000,台帳!$A$2:$A$2000,$A71,台帳!$F$2:$F$2000,AI$4)</f>
        <v>0</v>
      </c>
      <c r="AJ71" s="46">
        <f>SUMIFS(台帳!$I$2:$I$2000,台帳!$A$2:$A$2000,$A71,台帳!$F$2:$F$2000,AJ$4)</f>
        <v>0</v>
      </c>
      <c r="AK71" s="46">
        <f>SUMIFS(台帳!$I$2:$I$2000,台帳!$A$2:$A$2000,$A71,台帳!$F$2:$F$2000,AK$4)</f>
        <v>0</v>
      </c>
      <c r="AL71" s="46">
        <f>SUMIFS(台帳!$I$2:$I$2000,台帳!$A$2:$A$2000,$A71,台帳!$F$2:$F$2000,AL$4)</f>
        <v>0</v>
      </c>
      <c r="AM71" s="46">
        <f>SUMIFS(台帳!$I$2:$I$2000,台帳!$A$2:$A$2000,$A71,台帳!$F$2:$F$2000,AM$4)</f>
        <v>0</v>
      </c>
      <c r="AN71" s="46">
        <f>SUMIFS(台帳!$I$2:$I$2000,台帳!$A$2:$A$2000,$A71,台帳!$F$2:$F$2000,AN$4)</f>
        <v>0</v>
      </c>
      <c r="AO71" s="46">
        <f>SUMIFS(台帳!$I$2:$I$2000,台帳!$A$2:$A$2000,$A71,台帳!$F$2:$F$2000,AO$4)</f>
        <v>0</v>
      </c>
      <c r="AP71" s="46">
        <f>SUMIFS(台帳!$I$2:$I$2000,台帳!$A$2:$A$2000,$A71,台帳!$F$2:$F$2000,AP$4)</f>
        <v>0</v>
      </c>
      <c r="AQ71" s="46">
        <f>SUMIFS(台帳!$I$2:$I$2000,台帳!$A$2:$A$2000,$A71,台帳!$F$2:$F$2000,AQ$4)</f>
        <v>0</v>
      </c>
      <c r="AR71" s="46">
        <f>SUM(C71:AQ71)</f>
        <v>3</v>
      </c>
    </row>
    <row r="72" spans="1:44" ht="17.25" x14ac:dyDescent="0.35">
      <c r="A72" s="44">
        <v>46199</v>
      </c>
      <c r="B72" s="45" t="str">
        <f>CHOOSE(WEEKDAY(A72),"日","月","火","水","木","金","土")</f>
        <v>金</v>
      </c>
      <c r="C72" s="46">
        <f>SUMIFS(台帳!$I$2:$I$2000,台帳!$A$2:$A$2000,$A72,台帳!$F$2:$F$2000,C$4)</f>
        <v>0</v>
      </c>
      <c r="D72" s="46">
        <f>SUMIFS(台帳!$I$2:$I$2000,台帳!$A$2:$A$2000,$A72,台帳!$F$2:$F$2000,D$4)</f>
        <v>0</v>
      </c>
      <c r="E72" s="46">
        <f>SUMIFS(台帳!$I$2:$I$2000,台帳!$A$2:$A$2000,$A72,台帳!$F$2:$F$2000,E$4)</f>
        <v>0</v>
      </c>
      <c r="F72" s="46">
        <f>SUMIFS(台帳!$I$2:$I$2000,台帳!$A$2:$A$2000,$A72,台帳!$F$2:$F$2000,F$4)</f>
        <v>0</v>
      </c>
      <c r="G72" s="46">
        <f>SUMIFS(台帳!$I$2:$I$2000,台帳!$A$2:$A$2000,$A72,台帳!$F$2:$F$2000,G$4)</f>
        <v>0</v>
      </c>
      <c r="H72" s="46">
        <f>SUMIFS(台帳!$I$2:$I$2000,台帳!$A$2:$A$2000,$A72,台帳!$F$2:$F$2000,H$4)</f>
        <v>0</v>
      </c>
      <c r="I72" s="46">
        <f>SUMIFS(台帳!$I$2:$I$2000,台帳!$A$2:$A$2000,$A72,台帳!$F$2:$F$2000,I$4)</f>
        <v>2</v>
      </c>
      <c r="J72" s="46">
        <f>SUMIFS(台帳!$I$2:$I$2000,台帳!$A$2:$A$2000,$A72,台帳!$F$2:$F$2000,J$4)</f>
        <v>0</v>
      </c>
      <c r="K72" s="46">
        <f>SUMIFS(台帳!$I$2:$I$2000,台帳!$A$2:$A$2000,$A72,台帳!$F$2:$F$2000,K$4)</f>
        <v>0</v>
      </c>
      <c r="L72" s="46">
        <f>SUMIFS(台帳!$I$2:$I$2000,台帳!$A$2:$A$2000,$A72,台帳!$F$2:$F$2000,L$4)</f>
        <v>0</v>
      </c>
      <c r="M72" s="46">
        <f>SUMIFS(台帳!$I$2:$I$2000,台帳!$A$2:$A$2000,$A72,台帳!$F$2:$F$2000,M$4)</f>
        <v>0</v>
      </c>
      <c r="N72" s="46">
        <f>SUMIFS(台帳!$I$2:$I$2000,台帳!$A$2:$A$2000,$A72,台帳!$F$2:$F$2000,N$4)</f>
        <v>0</v>
      </c>
      <c r="O72" s="46">
        <f>SUMIFS(台帳!$I$2:$I$2000,台帳!$A$2:$A$2000,$A72,台帳!$F$2:$F$2000,O$4)</f>
        <v>0</v>
      </c>
      <c r="P72" s="46">
        <f>SUMIFS(台帳!$I$2:$I$2000,台帳!$A$2:$A$2000,$A72,台帳!$F$2:$F$2000,P$4)</f>
        <v>0</v>
      </c>
      <c r="Q72" s="46">
        <f>SUMIFS(台帳!$I$2:$I$2000,台帳!$A$2:$A$2000,$A72,台帳!$F$2:$F$2000,Q$4)</f>
        <v>0</v>
      </c>
      <c r="R72" s="46">
        <f>SUMIFS(台帳!$I$2:$I$2000,台帳!$A$2:$A$2000,$A72,台帳!$F$2:$F$2000,R$4)</f>
        <v>0</v>
      </c>
      <c r="S72" s="46">
        <f>SUMIFS(台帳!$I$2:$I$2000,台帳!$A$2:$A$2000,$A72,台帳!$F$2:$F$2000,S$4)</f>
        <v>0</v>
      </c>
      <c r="T72" s="46">
        <f>SUMIFS(台帳!$I$2:$I$2000,台帳!$A$2:$A$2000,$A72,台帳!$F$2:$F$2000,T$4)</f>
        <v>0</v>
      </c>
      <c r="U72" s="46">
        <f>SUMIFS(台帳!$I$2:$I$2000,台帳!$A$2:$A$2000,$A72,台帳!$F$2:$F$2000,U$4)</f>
        <v>0</v>
      </c>
      <c r="V72" s="46">
        <f>SUMIFS(台帳!$I$2:$I$2000,台帳!$A$2:$A$2000,$A72,台帳!$F$2:$F$2000,V$4)</f>
        <v>0</v>
      </c>
      <c r="W72" s="46">
        <f>SUMIFS(台帳!$I$2:$I$2000,台帳!$A$2:$A$2000,$A72,台帳!$F$2:$F$2000,W$4)</f>
        <v>0</v>
      </c>
      <c r="X72" s="46">
        <f>SUMIFS(台帳!$I$2:$I$2000,台帳!$A$2:$A$2000,$A72,台帳!$F$2:$F$2000,X$4)</f>
        <v>0</v>
      </c>
      <c r="Y72" s="46">
        <f>SUMIFS(台帳!$I$2:$I$2000,台帳!$A$2:$A$2000,$A72,台帳!$F$2:$F$2000,Y$4)</f>
        <v>0</v>
      </c>
      <c r="Z72" s="46">
        <f>SUMIFS(台帳!$I$2:$I$2000,台帳!$A$2:$A$2000,$A72,台帳!$F$2:$F$2000,Z$4)</f>
        <v>0</v>
      </c>
      <c r="AA72" s="46">
        <f>SUMIFS(台帳!$I$2:$I$2000,台帳!$A$2:$A$2000,$A72,台帳!$F$2:$F$2000,AA$4)</f>
        <v>0</v>
      </c>
      <c r="AB72" s="46">
        <f>SUMIFS(台帳!$I$2:$I$2000,台帳!$A$2:$A$2000,$A72,台帳!$F$2:$F$2000,AB$4)</f>
        <v>0</v>
      </c>
      <c r="AC72" s="46">
        <f>SUMIFS(台帳!$I$2:$I$2000,台帳!$A$2:$A$2000,$A72,台帳!$F$2:$F$2000,AC$4)</f>
        <v>0</v>
      </c>
      <c r="AD72" s="46">
        <f>SUMIFS(台帳!$I$2:$I$2000,台帳!$A$2:$A$2000,$A72,台帳!$F$2:$F$2000,AD$4)</f>
        <v>0</v>
      </c>
      <c r="AE72" s="46">
        <f>SUMIFS(台帳!$I$2:$I$2000,台帳!$A$2:$A$2000,$A72,台帳!$F$2:$F$2000,AE$4)</f>
        <v>0</v>
      </c>
      <c r="AF72" s="46">
        <f>SUMIFS(台帳!$I$2:$I$2000,台帳!$A$2:$A$2000,$A72,台帳!$F$2:$F$2000,AF$4)</f>
        <v>0</v>
      </c>
      <c r="AG72" s="46">
        <f>SUMIFS(台帳!$I$2:$I$2000,台帳!$A$2:$A$2000,$A72,台帳!$F$2:$F$2000,AG$4)</f>
        <v>0</v>
      </c>
      <c r="AH72" s="46">
        <f>SUMIFS(台帳!$I$2:$I$2000,台帳!$A$2:$A$2000,$A72,台帳!$F$2:$F$2000,AH$4)</f>
        <v>0</v>
      </c>
      <c r="AI72" s="46">
        <f>SUMIFS(台帳!$I$2:$I$2000,台帳!$A$2:$A$2000,$A72,台帳!$F$2:$F$2000,AI$4)</f>
        <v>0</v>
      </c>
      <c r="AJ72" s="46">
        <f>SUMIFS(台帳!$I$2:$I$2000,台帳!$A$2:$A$2000,$A72,台帳!$F$2:$F$2000,AJ$4)</f>
        <v>0</v>
      </c>
      <c r="AK72" s="46">
        <f>SUMIFS(台帳!$I$2:$I$2000,台帳!$A$2:$A$2000,$A72,台帳!$F$2:$F$2000,AK$4)</f>
        <v>0</v>
      </c>
      <c r="AL72" s="46">
        <f>SUMIFS(台帳!$I$2:$I$2000,台帳!$A$2:$A$2000,$A72,台帳!$F$2:$F$2000,AL$4)</f>
        <v>0</v>
      </c>
      <c r="AM72" s="46">
        <f>SUMIFS(台帳!$I$2:$I$2000,台帳!$A$2:$A$2000,$A72,台帳!$F$2:$F$2000,AM$4)</f>
        <v>0</v>
      </c>
      <c r="AN72" s="46">
        <f>SUMIFS(台帳!$I$2:$I$2000,台帳!$A$2:$A$2000,$A72,台帳!$F$2:$F$2000,AN$4)</f>
        <v>0</v>
      </c>
      <c r="AO72" s="46">
        <f>SUMIFS(台帳!$I$2:$I$2000,台帳!$A$2:$A$2000,$A72,台帳!$F$2:$F$2000,AO$4)</f>
        <v>0</v>
      </c>
      <c r="AP72" s="46">
        <f>SUMIFS(台帳!$I$2:$I$2000,台帳!$A$2:$A$2000,$A72,台帳!$F$2:$F$2000,AP$4)</f>
        <v>0</v>
      </c>
      <c r="AQ72" s="46">
        <f>SUMIFS(台帳!$I$2:$I$2000,台帳!$A$2:$A$2000,$A72,台帳!$F$2:$F$2000,AQ$4)</f>
        <v>0</v>
      </c>
      <c r="AR72" s="46">
        <f>SUM(C72:AQ72)</f>
        <v>2</v>
      </c>
    </row>
    <row r="73" spans="1:44" ht="17.25" x14ac:dyDescent="0.35">
      <c r="A73" s="44">
        <v>46200</v>
      </c>
      <c r="B73" s="45" t="str">
        <f>CHOOSE(WEEKDAY(A73),"日","月","火","水","木","金","土")</f>
        <v>土</v>
      </c>
      <c r="C73" s="46">
        <f>SUMIFS(台帳!$I$2:$I$2000,台帳!$A$2:$A$2000,$A73,台帳!$F$2:$F$2000,C$4)</f>
        <v>0</v>
      </c>
      <c r="D73" s="46">
        <f>SUMIFS(台帳!$I$2:$I$2000,台帳!$A$2:$A$2000,$A73,台帳!$F$2:$F$2000,D$4)</f>
        <v>0</v>
      </c>
      <c r="E73" s="46">
        <f>SUMIFS(台帳!$I$2:$I$2000,台帳!$A$2:$A$2000,$A73,台帳!$F$2:$F$2000,E$4)</f>
        <v>0</v>
      </c>
      <c r="F73" s="46">
        <f>SUMIFS(台帳!$I$2:$I$2000,台帳!$A$2:$A$2000,$A73,台帳!$F$2:$F$2000,F$4)</f>
        <v>0</v>
      </c>
      <c r="G73" s="46">
        <f>SUMIFS(台帳!$I$2:$I$2000,台帳!$A$2:$A$2000,$A73,台帳!$F$2:$F$2000,G$4)</f>
        <v>0</v>
      </c>
      <c r="H73" s="46">
        <f>SUMIFS(台帳!$I$2:$I$2000,台帳!$A$2:$A$2000,$A73,台帳!$F$2:$F$2000,H$4)</f>
        <v>0</v>
      </c>
      <c r="I73" s="46">
        <f>SUMIFS(台帳!$I$2:$I$2000,台帳!$A$2:$A$2000,$A73,台帳!$F$2:$F$2000,I$4)</f>
        <v>0</v>
      </c>
      <c r="J73" s="46">
        <f>SUMIFS(台帳!$I$2:$I$2000,台帳!$A$2:$A$2000,$A73,台帳!$F$2:$F$2000,J$4)</f>
        <v>0</v>
      </c>
      <c r="K73" s="46">
        <f>SUMIFS(台帳!$I$2:$I$2000,台帳!$A$2:$A$2000,$A73,台帳!$F$2:$F$2000,K$4)</f>
        <v>0</v>
      </c>
      <c r="L73" s="46">
        <f>SUMIFS(台帳!$I$2:$I$2000,台帳!$A$2:$A$2000,$A73,台帳!$F$2:$F$2000,L$4)</f>
        <v>0</v>
      </c>
      <c r="M73" s="46">
        <f>SUMIFS(台帳!$I$2:$I$2000,台帳!$A$2:$A$2000,$A73,台帳!$F$2:$F$2000,M$4)</f>
        <v>0</v>
      </c>
      <c r="N73" s="46">
        <f>SUMIFS(台帳!$I$2:$I$2000,台帳!$A$2:$A$2000,$A73,台帳!$F$2:$F$2000,N$4)</f>
        <v>0</v>
      </c>
      <c r="O73" s="46">
        <f>SUMIFS(台帳!$I$2:$I$2000,台帳!$A$2:$A$2000,$A73,台帳!$F$2:$F$2000,O$4)</f>
        <v>0</v>
      </c>
      <c r="P73" s="46">
        <f>SUMIFS(台帳!$I$2:$I$2000,台帳!$A$2:$A$2000,$A73,台帳!$F$2:$F$2000,P$4)</f>
        <v>0</v>
      </c>
      <c r="Q73" s="46">
        <f>SUMIFS(台帳!$I$2:$I$2000,台帳!$A$2:$A$2000,$A73,台帳!$F$2:$F$2000,Q$4)</f>
        <v>0</v>
      </c>
      <c r="R73" s="46">
        <f>SUMIFS(台帳!$I$2:$I$2000,台帳!$A$2:$A$2000,$A73,台帳!$F$2:$F$2000,R$4)</f>
        <v>0</v>
      </c>
      <c r="S73" s="46">
        <f>SUMIFS(台帳!$I$2:$I$2000,台帳!$A$2:$A$2000,$A73,台帳!$F$2:$F$2000,S$4)</f>
        <v>0</v>
      </c>
      <c r="T73" s="46">
        <f>SUMIFS(台帳!$I$2:$I$2000,台帳!$A$2:$A$2000,$A73,台帳!$F$2:$F$2000,T$4)</f>
        <v>0</v>
      </c>
      <c r="U73" s="46">
        <f>SUMIFS(台帳!$I$2:$I$2000,台帳!$A$2:$A$2000,$A73,台帳!$F$2:$F$2000,U$4)</f>
        <v>0</v>
      </c>
      <c r="V73" s="46">
        <f>SUMIFS(台帳!$I$2:$I$2000,台帳!$A$2:$A$2000,$A73,台帳!$F$2:$F$2000,V$4)</f>
        <v>0</v>
      </c>
      <c r="W73" s="46">
        <f>SUMIFS(台帳!$I$2:$I$2000,台帳!$A$2:$A$2000,$A73,台帳!$F$2:$F$2000,W$4)</f>
        <v>0</v>
      </c>
      <c r="X73" s="46">
        <f>SUMIFS(台帳!$I$2:$I$2000,台帳!$A$2:$A$2000,$A73,台帳!$F$2:$F$2000,X$4)</f>
        <v>0</v>
      </c>
      <c r="Y73" s="46">
        <f>SUMIFS(台帳!$I$2:$I$2000,台帳!$A$2:$A$2000,$A73,台帳!$F$2:$F$2000,Y$4)</f>
        <v>0</v>
      </c>
      <c r="Z73" s="46">
        <f>SUMIFS(台帳!$I$2:$I$2000,台帳!$A$2:$A$2000,$A73,台帳!$F$2:$F$2000,Z$4)</f>
        <v>0</v>
      </c>
      <c r="AA73" s="46">
        <f>SUMIFS(台帳!$I$2:$I$2000,台帳!$A$2:$A$2000,$A73,台帳!$F$2:$F$2000,AA$4)</f>
        <v>0</v>
      </c>
      <c r="AB73" s="46">
        <f>SUMIFS(台帳!$I$2:$I$2000,台帳!$A$2:$A$2000,$A73,台帳!$F$2:$F$2000,AB$4)</f>
        <v>0</v>
      </c>
      <c r="AC73" s="46">
        <f>SUMIFS(台帳!$I$2:$I$2000,台帳!$A$2:$A$2000,$A73,台帳!$F$2:$F$2000,AC$4)</f>
        <v>0</v>
      </c>
      <c r="AD73" s="46">
        <f>SUMIFS(台帳!$I$2:$I$2000,台帳!$A$2:$A$2000,$A73,台帳!$F$2:$F$2000,AD$4)</f>
        <v>0</v>
      </c>
      <c r="AE73" s="46">
        <f>SUMIFS(台帳!$I$2:$I$2000,台帳!$A$2:$A$2000,$A73,台帳!$F$2:$F$2000,AE$4)</f>
        <v>0</v>
      </c>
      <c r="AF73" s="46">
        <f>SUMIFS(台帳!$I$2:$I$2000,台帳!$A$2:$A$2000,$A73,台帳!$F$2:$F$2000,AF$4)</f>
        <v>0</v>
      </c>
      <c r="AG73" s="46">
        <f>SUMIFS(台帳!$I$2:$I$2000,台帳!$A$2:$A$2000,$A73,台帳!$F$2:$F$2000,AG$4)</f>
        <v>0</v>
      </c>
      <c r="AH73" s="46">
        <f>SUMIFS(台帳!$I$2:$I$2000,台帳!$A$2:$A$2000,$A73,台帳!$F$2:$F$2000,AH$4)</f>
        <v>0</v>
      </c>
      <c r="AI73" s="46">
        <f>SUMIFS(台帳!$I$2:$I$2000,台帳!$A$2:$A$2000,$A73,台帳!$F$2:$F$2000,AI$4)</f>
        <v>0</v>
      </c>
      <c r="AJ73" s="46">
        <f>SUMIFS(台帳!$I$2:$I$2000,台帳!$A$2:$A$2000,$A73,台帳!$F$2:$F$2000,AJ$4)</f>
        <v>0</v>
      </c>
      <c r="AK73" s="46">
        <f>SUMIFS(台帳!$I$2:$I$2000,台帳!$A$2:$A$2000,$A73,台帳!$F$2:$F$2000,AK$4)</f>
        <v>0</v>
      </c>
      <c r="AL73" s="46">
        <f>SUMIFS(台帳!$I$2:$I$2000,台帳!$A$2:$A$2000,$A73,台帳!$F$2:$F$2000,AL$4)</f>
        <v>0</v>
      </c>
      <c r="AM73" s="46">
        <f>SUMIFS(台帳!$I$2:$I$2000,台帳!$A$2:$A$2000,$A73,台帳!$F$2:$F$2000,AM$4)</f>
        <v>0</v>
      </c>
      <c r="AN73" s="46">
        <f>SUMIFS(台帳!$I$2:$I$2000,台帳!$A$2:$A$2000,$A73,台帳!$F$2:$F$2000,AN$4)</f>
        <v>0</v>
      </c>
      <c r="AO73" s="46">
        <f>SUMIFS(台帳!$I$2:$I$2000,台帳!$A$2:$A$2000,$A73,台帳!$F$2:$F$2000,AO$4)</f>
        <v>0</v>
      </c>
      <c r="AP73" s="46">
        <f>SUMIFS(台帳!$I$2:$I$2000,台帳!$A$2:$A$2000,$A73,台帳!$F$2:$F$2000,AP$4)</f>
        <v>0</v>
      </c>
      <c r="AQ73" s="46">
        <f>SUMIFS(台帳!$I$2:$I$2000,台帳!$A$2:$A$2000,$A73,台帳!$F$2:$F$2000,AQ$4)</f>
        <v>0</v>
      </c>
      <c r="AR73" s="46">
        <f>SUM(C73:AQ73)</f>
        <v>0</v>
      </c>
    </row>
    <row r="74" spans="1:44" ht="17.25" x14ac:dyDescent="0.35">
      <c r="A74" s="44">
        <v>46201</v>
      </c>
      <c r="B74" s="45" t="str">
        <f>CHOOSE(WEEKDAY(A74),"日","月","火","水","木","金","土")</f>
        <v>日</v>
      </c>
      <c r="C74" s="46">
        <f>SUMIFS(台帳!$I$2:$I$2000,台帳!$A$2:$A$2000,$A74,台帳!$F$2:$F$2000,C$4)</f>
        <v>0</v>
      </c>
      <c r="D74" s="46">
        <f>SUMIFS(台帳!$I$2:$I$2000,台帳!$A$2:$A$2000,$A74,台帳!$F$2:$F$2000,D$4)</f>
        <v>0</v>
      </c>
      <c r="E74" s="46">
        <f>SUMIFS(台帳!$I$2:$I$2000,台帳!$A$2:$A$2000,$A74,台帳!$F$2:$F$2000,E$4)</f>
        <v>0</v>
      </c>
      <c r="F74" s="46">
        <f>SUMIFS(台帳!$I$2:$I$2000,台帳!$A$2:$A$2000,$A74,台帳!$F$2:$F$2000,F$4)</f>
        <v>0</v>
      </c>
      <c r="G74" s="46">
        <f>SUMIFS(台帳!$I$2:$I$2000,台帳!$A$2:$A$2000,$A74,台帳!$F$2:$F$2000,G$4)</f>
        <v>0</v>
      </c>
      <c r="H74" s="46">
        <f>SUMIFS(台帳!$I$2:$I$2000,台帳!$A$2:$A$2000,$A74,台帳!$F$2:$F$2000,H$4)</f>
        <v>0</v>
      </c>
      <c r="I74" s="46">
        <f>SUMIFS(台帳!$I$2:$I$2000,台帳!$A$2:$A$2000,$A74,台帳!$F$2:$F$2000,I$4)</f>
        <v>0</v>
      </c>
      <c r="J74" s="46">
        <f>SUMIFS(台帳!$I$2:$I$2000,台帳!$A$2:$A$2000,$A74,台帳!$F$2:$F$2000,J$4)</f>
        <v>0</v>
      </c>
      <c r="K74" s="46">
        <f>SUMIFS(台帳!$I$2:$I$2000,台帳!$A$2:$A$2000,$A74,台帳!$F$2:$F$2000,K$4)</f>
        <v>0</v>
      </c>
      <c r="L74" s="46">
        <f>SUMIFS(台帳!$I$2:$I$2000,台帳!$A$2:$A$2000,$A74,台帳!$F$2:$F$2000,L$4)</f>
        <v>0</v>
      </c>
      <c r="M74" s="46">
        <f>SUMIFS(台帳!$I$2:$I$2000,台帳!$A$2:$A$2000,$A74,台帳!$F$2:$F$2000,M$4)</f>
        <v>0</v>
      </c>
      <c r="N74" s="46">
        <f>SUMIFS(台帳!$I$2:$I$2000,台帳!$A$2:$A$2000,$A74,台帳!$F$2:$F$2000,N$4)</f>
        <v>0</v>
      </c>
      <c r="O74" s="46">
        <f>SUMIFS(台帳!$I$2:$I$2000,台帳!$A$2:$A$2000,$A74,台帳!$F$2:$F$2000,O$4)</f>
        <v>0</v>
      </c>
      <c r="P74" s="46">
        <f>SUMIFS(台帳!$I$2:$I$2000,台帳!$A$2:$A$2000,$A74,台帳!$F$2:$F$2000,P$4)</f>
        <v>0</v>
      </c>
      <c r="Q74" s="46">
        <f>SUMIFS(台帳!$I$2:$I$2000,台帳!$A$2:$A$2000,$A74,台帳!$F$2:$F$2000,Q$4)</f>
        <v>0</v>
      </c>
      <c r="R74" s="46">
        <f>SUMIFS(台帳!$I$2:$I$2000,台帳!$A$2:$A$2000,$A74,台帳!$F$2:$F$2000,R$4)</f>
        <v>0</v>
      </c>
      <c r="S74" s="46">
        <f>SUMIFS(台帳!$I$2:$I$2000,台帳!$A$2:$A$2000,$A74,台帳!$F$2:$F$2000,S$4)</f>
        <v>0</v>
      </c>
      <c r="T74" s="46">
        <f>SUMIFS(台帳!$I$2:$I$2000,台帳!$A$2:$A$2000,$A74,台帳!$F$2:$F$2000,T$4)</f>
        <v>0</v>
      </c>
      <c r="U74" s="46">
        <f>SUMIFS(台帳!$I$2:$I$2000,台帳!$A$2:$A$2000,$A74,台帳!$F$2:$F$2000,U$4)</f>
        <v>0</v>
      </c>
      <c r="V74" s="46">
        <f>SUMIFS(台帳!$I$2:$I$2000,台帳!$A$2:$A$2000,$A74,台帳!$F$2:$F$2000,V$4)</f>
        <v>0</v>
      </c>
      <c r="W74" s="46">
        <f>SUMIFS(台帳!$I$2:$I$2000,台帳!$A$2:$A$2000,$A74,台帳!$F$2:$F$2000,W$4)</f>
        <v>0</v>
      </c>
      <c r="X74" s="46">
        <f>SUMIFS(台帳!$I$2:$I$2000,台帳!$A$2:$A$2000,$A74,台帳!$F$2:$F$2000,X$4)</f>
        <v>0</v>
      </c>
      <c r="Y74" s="46">
        <f>SUMIFS(台帳!$I$2:$I$2000,台帳!$A$2:$A$2000,$A74,台帳!$F$2:$F$2000,Y$4)</f>
        <v>0</v>
      </c>
      <c r="Z74" s="46">
        <f>SUMIFS(台帳!$I$2:$I$2000,台帳!$A$2:$A$2000,$A74,台帳!$F$2:$F$2000,Z$4)</f>
        <v>0</v>
      </c>
      <c r="AA74" s="46">
        <f>SUMIFS(台帳!$I$2:$I$2000,台帳!$A$2:$A$2000,$A74,台帳!$F$2:$F$2000,AA$4)</f>
        <v>0</v>
      </c>
      <c r="AB74" s="46">
        <f>SUMIFS(台帳!$I$2:$I$2000,台帳!$A$2:$A$2000,$A74,台帳!$F$2:$F$2000,AB$4)</f>
        <v>0</v>
      </c>
      <c r="AC74" s="46">
        <f>SUMIFS(台帳!$I$2:$I$2000,台帳!$A$2:$A$2000,$A74,台帳!$F$2:$F$2000,AC$4)</f>
        <v>0</v>
      </c>
      <c r="AD74" s="46">
        <f>SUMIFS(台帳!$I$2:$I$2000,台帳!$A$2:$A$2000,$A74,台帳!$F$2:$F$2000,AD$4)</f>
        <v>0</v>
      </c>
      <c r="AE74" s="46">
        <f>SUMIFS(台帳!$I$2:$I$2000,台帳!$A$2:$A$2000,$A74,台帳!$F$2:$F$2000,AE$4)</f>
        <v>0</v>
      </c>
      <c r="AF74" s="46">
        <f>SUMIFS(台帳!$I$2:$I$2000,台帳!$A$2:$A$2000,$A74,台帳!$F$2:$F$2000,AF$4)</f>
        <v>0</v>
      </c>
      <c r="AG74" s="46">
        <f>SUMIFS(台帳!$I$2:$I$2000,台帳!$A$2:$A$2000,$A74,台帳!$F$2:$F$2000,AG$4)</f>
        <v>0</v>
      </c>
      <c r="AH74" s="46">
        <f>SUMIFS(台帳!$I$2:$I$2000,台帳!$A$2:$A$2000,$A74,台帳!$F$2:$F$2000,AH$4)</f>
        <v>0</v>
      </c>
      <c r="AI74" s="46">
        <f>SUMIFS(台帳!$I$2:$I$2000,台帳!$A$2:$A$2000,$A74,台帳!$F$2:$F$2000,AI$4)</f>
        <v>0</v>
      </c>
      <c r="AJ74" s="46">
        <f>SUMIFS(台帳!$I$2:$I$2000,台帳!$A$2:$A$2000,$A74,台帳!$F$2:$F$2000,AJ$4)</f>
        <v>0</v>
      </c>
      <c r="AK74" s="46">
        <f>SUMIFS(台帳!$I$2:$I$2000,台帳!$A$2:$A$2000,$A74,台帳!$F$2:$F$2000,AK$4)</f>
        <v>0</v>
      </c>
      <c r="AL74" s="46">
        <f>SUMIFS(台帳!$I$2:$I$2000,台帳!$A$2:$A$2000,$A74,台帳!$F$2:$F$2000,AL$4)</f>
        <v>0</v>
      </c>
      <c r="AM74" s="46">
        <f>SUMIFS(台帳!$I$2:$I$2000,台帳!$A$2:$A$2000,$A74,台帳!$F$2:$F$2000,AM$4)</f>
        <v>0</v>
      </c>
      <c r="AN74" s="46">
        <f>SUMIFS(台帳!$I$2:$I$2000,台帳!$A$2:$A$2000,$A74,台帳!$F$2:$F$2000,AN$4)</f>
        <v>0</v>
      </c>
      <c r="AO74" s="46">
        <f>SUMIFS(台帳!$I$2:$I$2000,台帳!$A$2:$A$2000,$A74,台帳!$F$2:$F$2000,AO$4)</f>
        <v>0</v>
      </c>
      <c r="AP74" s="46">
        <f>SUMIFS(台帳!$I$2:$I$2000,台帳!$A$2:$A$2000,$A74,台帳!$F$2:$F$2000,AP$4)</f>
        <v>0</v>
      </c>
      <c r="AQ74" s="46">
        <f>SUMIFS(台帳!$I$2:$I$2000,台帳!$A$2:$A$2000,$A74,台帳!$F$2:$F$2000,AQ$4)</f>
        <v>0</v>
      </c>
      <c r="AR74" s="46">
        <f>SUM(C74:AQ74)</f>
        <v>0</v>
      </c>
    </row>
    <row r="75" spans="1:44" ht="17.25" x14ac:dyDescent="0.35">
      <c r="A75" s="44">
        <v>46202</v>
      </c>
      <c r="B75" s="45" t="str">
        <f>CHOOSE(WEEKDAY(A75),"日","月","火","水","木","金","土")</f>
        <v>月</v>
      </c>
      <c r="C75" s="46">
        <f>SUMIFS(台帳!$I$2:$I$2000,台帳!$A$2:$A$2000,$A75,台帳!$F$2:$F$2000,C$4)</f>
        <v>0</v>
      </c>
      <c r="D75" s="46">
        <f>SUMIFS(台帳!$I$2:$I$2000,台帳!$A$2:$A$2000,$A75,台帳!$F$2:$F$2000,D$4)</f>
        <v>0</v>
      </c>
      <c r="E75" s="46">
        <f>SUMIFS(台帳!$I$2:$I$2000,台帳!$A$2:$A$2000,$A75,台帳!$F$2:$F$2000,E$4)</f>
        <v>0</v>
      </c>
      <c r="F75" s="46">
        <f>SUMIFS(台帳!$I$2:$I$2000,台帳!$A$2:$A$2000,$A75,台帳!$F$2:$F$2000,F$4)</f>
        <v>0</v>
      </c>
      <c r="G75" s="46">
        <f>SUMIFS(台帳!$I$2:$I$2000,台帳!$A$2:$A$2000,$A75,台帳!$F$2:$F$2000,G$4)</f>
        <v>0</v>
      </c>
      <c r="H75" s="46">
        <f>SUMIFS(台帳!$I$2:$I$2000,台帳!$A$2:$A$2000,$A75,台帳!$F$2:$F$2000,H$4)</f>
        <v>0</v>
      </c>
      <c r="I75" s="46">
        <f>SUMIFS(台帳!$I$2:$I$2000,台帳!$A$2:$A$2000,$A75,台帳!$F$2:$F$2000,I$4)</f>
        <v>4</v>
      </c>
      <c r="J75" s="46">
        <f>SUMIFS(台帳!$I$2:$I$2000,台帳!$A$2:$A$2000,$A75,台帳!$F$2:$F$2000,J$4)</f>
        <v>0</v>
      </c>
      <c r="K75" s="46">
        <f>SUMIFS(台帳!$I$2:$I$2000,台帳!$A$2:$A$2000,$A75,台帳!$F$2:$F$2000,K$4)</f>
        <v>0</v>
      </c>
      <c r="L75" s="46">
        <f>SUMIFS(台帳!$I$2:$I$2000,台帳!$A$2:$A$2000,$A75,台帳!$F$2:$F$2000,L$4)</f>
        <v>0</v>
      </c>
      <c r="M75" s="46">
        <f>SUMIFS(台帳!$I$2:$I$2000,台帳!$A$2:$A$2000,$A75,台帳!$F$2:$F$2000,M$4)</f>
        <v>0</v>
      </c>
      <c r="N75" s="46">
        <f>SUMIFS(台帳!$I$2:$I$2000,台帳!$A$2:$A$2000,$A75,台帳!$F$2:$F$2000,N$4)</f>
        <v>0</v>
      </c>
      <c r="O75" s="46">
        <f>SUMIFS(台帳!$I$2:$I$2000,台帳!$A$2:$A$2000,$A75,台帳!$F$2:$F$2000,O$4)</f>
        <v>0</v>
      </c>
      <c r="P75" s="46">
        <f>SUMIFS(台帳!$I$2:$I$2000,台帳!$A$2:$A$2000,$A75,台帳!$F$2:$F$2000,P$4)</f>
        <v>0</v>
      </c>
      <c r="Q75" s="46">
        <f>SUMIFS(台帳!$I$2:$I$2000,台帳!$A$2:$A$2000,$A75,台帳!$F$2:$F$2000,Q$4)</f>
        <v>0</v>
      </c>
      <c r="R75" s="46">
        <f>SUMIFS(台帳!$I$2:$I$2000,台帳!$A$2:$A$2000,$A75,台帳!$F$2:$F$2000,R$4)</f>
        <v>0</v>
      </c>
      <c r="S75" s="46">
        <f>SUMIFS(台帳!$I$2:$I$2000,台帳!$A$2:$A$2000,$A75,台帳!$F$2:$F$2000,S$4)</f>
        <v>0</v>
      </c>
      <c r="T75" s="46">
        <f>SUMIFS(台帳!$I$2:$I$2000,台帳!$A$2:$A$2000,$A75,台帳!$F$2:$F$2000,T$4)</f>
        <v>0</v>
      </c>
      <c r="U75" s="46">
        <f>SUMIFS(台帳!$I$2:$I$2000,台帳!$A$2:$A$2000,$A75,台帳!$F$2:$F$2000,U$4)</f>
        <v>0</v>
      </c>
      <c r="V75" s="46">
        <f>SUMIFS(台帳!$I$2:$I$2000,台帳!$A$2:$A$2000,$A75,台帳!$F$2:$F$2000,V$4)</f>
        <v>0</v>
      </c>
      <c r="W75" s="46">
        <f>SUMIFS(台帳!$I$2:$I$2000,台帳!$A$2:$A$2000,$A75,台帳!$F$2:$F$2000,W$4)</f>
        <v>0</v>
      </c>
      <c r="X75" s="46">
        <f>SUMIFS(台帳!$I$2:$I$2000,台帳!$A$2:$A$2000,$A75,台帳!$F$2:$F$2000,X$4)</f>
        <v>0</v>
      </c>
      <c r="Y75" s="46">
        <f>SUMIFS(台帳!$I$2:$I$2000,台帳!$A$2:$A$2000,$A75,台帳!$F$2:$F$2000,Y$4)</f>
        <v>0</v>
      </c>
      <c r="Z75" s="46">
        <f>SUMIFS(台帳!$I$2:$I$2000,台帳!$A$2:$A$2000,$A75,台帳!$F$2:$F$2000,Z$4)</f>
        <v>0</v>
      </c>
      <c r="AA75" s="46">
        <f>SUMIFS(台帳!$I$2:$I$2000,台帳!$A$2:$A$2000,$A75,台帳!$F$2:$F$2000,AA$4)</f>
        <v>0</v>
      </c>
      <c r="AB75" s="46">
        <f>SUMIFS(台帳!$I$2:$I$2000,台帳!$A$2:$A$2000,$A75,台帳!$F$2:$F$2000,AB$4)</f>
        <v>0</v>
      </c>
      <c r="AC75" s="46">
        <f>SUMIFS(台帳!$I$2:$I$2000,台帳!$A$2:$A$2000,$A75,台帳!$F$2:$F$2000,AC$4)</f>
        <v>0</v>
      </c>
      <c r="AD75" s="46">
        <f>SUMIFS(台帳!$I$2:$I$2000,台帳!$A$2:$A$2000,$A75,台帳!$F$2:$F$2000,AD$4)</f>
        <v>0</v>
      </c>
      <c r="AE75" s="46">
        <f>SUMIFS(台帳!$I$2:$I$2000,台帳!$A$2:$A$2000,$A75,台帳!$F$2:$F$2000,AE$4)</f>
        <v>0</v>
      </c>
      <c r="AF75" s="46">
        <f>SUMIFS(台帳!$I$2:$I$2000,台帳!$A$2:$A$2000,$A75,台帳!$F$2:$F$2000,AF$4)</f>
        <v>0</v>
      </c>
      <c r="AG75" s="46">
        <f>SUMIFS(台帳!$I$2:$I$2000,台帳!$A$2:$A$2000,$A75,台帳!$F$2:$F$2000,AG$4)</f>
        <v>0</v>
      </c>
      <c r="AH75" s="46">
        <f>SUMIFS(台帳!$I$2:$I$2000,台帳!$A$2:$A$2000,$A75,台帳!$F$2:$F$2000,AH$4)</f>
        <v>0</v>
      </c>
      <c r="AI75" s="46">
        <f>SUMIFS(台帳!$I$2:$I$2000,台帳!$A$2:$A$2000,$A75,台帳!$F$2:$F$2000,AI$4)</f>
        <v>0</v>
      </c>
      <c r="AJ75" s="46">
        <f>SUMIFS(台帳!$I$2:$I$2000,台帳!$A$2:$A$2000,$A75,台帳!$F$2:$F$2000,AJ$4)</f>
        <v>0</v>
      </c>
      <c r="AK75" s="46">
        <f>SUMIFS(台帳!$I$2:$I$2000,台帳!$A$2:$A$2000,$A75,台帳!$F$2:$F$2000,AK$4)</f>
        <v>0</v>
      </c>
      <c r="AL75" s="46">
        <f>SUMIFS(台帳!$I$2:$I$2000,台帳!$A$2:$A$2000,$A75,台帳!$F$2:$F$2000,AL$4)</f>
        <v>0</v>
      </c>
      <c r="AM75" s="46">
        <f>SUMIFS(台帳!$I$2:$I$2000,台帳!$A$2:$A$2000,$A75,台帳!$F$2:$F$2000,AM$4)</f>
        <v>0</v>
      </c>
      <c r="AN75" s="46">
        <f>SUMIFS(台帳!$I$2:$I$2000,台帳!$A$2:$A$2000,$A75,台帳!$F$2:$F$2000,AN$4)</f>
        <v>0</v>
      </c>
      <c r="AO75" s="46">
        <f>SUMIFS(台帳!$I$2:$I$2000,台帳!$A$2:$A$2000,$A75,台帳!$F$2:$F$2000,AO$4)</f>
        <v>0</v>
      </c>
      <c r="AP75" s="46">
        <f>SUMIFS(台帳!$I$2:$I$2000,台帳!$A$2:$A$2000,$A75,台帳!$F$2:$F$2000,AP$4)</f>
        <v>0</v>
      </c>
      <c r="AQ75" s="46">
        <f>SUMIFS(台帳!$I$2:$I$2000,台帳!$A$2:$A$2000,$A75,台帳!$F$2:$F$2000,AQ$4)</f>
        <v>0</v>
      </c>
      <c r="AR75" s="46">
        <f>SUM(C75:AQ75)</f>
        <v>4</v>
      </c>
    </row>
    <row r="76" spans="1:44" ht="17.25" x14ac:dyDescent="0.35">
      <c r="A76" s="44">
        <v>46203</v>
      </c>
      <c r="B76" s="45" t="str">
        <f>CHOOSE(WEEKDAY(A76),"日","月","火","水","木","金","土")</f>
        <v>火</v>
      </c>
      <c r="C76" s="46">
        <f>SUMIFS(台帳!$I$2:$I$2000,台帳!$A$2:$A$2000,$A76,台帳!$F$2:$F$2000,C$4)</f>
        <v>0</v>
      </c>
      <c r="D76" s="46">
        <f>SUMIFS(台帳!$I$2:$I$2000,台帳!$A$2:$A$2000,$A76,台帳!$F$2:$F$2000,D$4)</f>
        <v>0</v>
      </c>
      <c r="E76" s="46">
        <f>SUMIFS(台帳!$I$2:$I$2000,台帳!$A$2:$A$2000,$A76,台帳!$F$2:$F$2000,E$4)</f>
        <v>0</v>
      </c>
      <c r="F76" s="46">
        <f>SUMIFS(台帳!$I$2:$I$2000,台帳!$A$2:$A$2000,$A76,台帳!$F$2:$F$2000,F$4)</f>
        <v>0</v>
      </c>
      <c r="G76" s="46">
        <f>SUMIFS(台帳!$I$2:$I$2000,台帳!$A$2:$A$2000,$A76,台帳!$F$2:$F$2000,G$4)</f>
        <v>0</v>
      </c>
      <c r="H76" s="46">
        <f>SUMIFS(台帳!$I$2:$I$2000,台帳!$A$2:$A$2000,$A76,台帳!$F$2:$F$2000,H$4)</f>
        <v>0</v>
      </c>
      <c r="I76" s="46">
        <f>SUMIFS(台帳!$I$2:$I$2000,台帳!$A$2:$A$2000,$A76,台帳!$F$2:$F$2000,I$4)</f>
        <v>0</v>
      </c>
      <c r="J76" s="46">
        <f>SUMIFS(台帳!$I$2:$I$2000,台帳!$A$2:$A$2000,$A76,台帳!$F$2:$F$2000,J$4)</f>
        <v>3</v>
      </c>
      <c r="K76" s="46">
        <f>SUMIFS(台帳!$I$2:$I$2000,台帳!$A$2:$A$2000,$A76,台帳!$F$2:$F$2000,K$4)</f>
        <v>0</v>
      </c>
      <c r="L76" s="46">
        <f>SUMIFS(台帳!$I$2:$I$2000,台帳!$A$2:$A$2000,$A76,台帳!$F$2:$F$2000,L$4)</f>
        <v>0</v>
      </c>
      <c r="M76" s="46">
        <f>SUMIFS(台帳!$I$2:$I$2000,台帳!$A$2:$A$2000,$A76,台帳!$F$2:$F$2000,M$4)</f>
        <v>0</v>
      </c>
      <c r="N76" s="46">
        <f>SUMIFS(台帳!$I$2:$I$2000,台帳!$A$2:$A$2000,$A76,台帳!$F$2:$F$2000,N$4)</f>
        <v>0</v>
      </c>
      <c r="O76" s="46">
        <f>SUMIFS(台帳!$I$2:$I$2000,台帳!$A$2:$A$2000,$A76,台帳!$F$2:$F$2000,O$4)</f>
        <v>0</v>
      </c>
      <c r="P76" s="46">
        <f>SUMIFS(台帳!$I$2:$I$2000,台帳!$A$2:$A$2000,$A76,台帳!$F$2:$F$2000,P$4)</f>
        <v>0</v>
      </c>
      <c r="Q76" s="46">
        <f>SUMIFS(台帳!$I$2:$I$2000,台帳!$A$2:$A$2000,$A76,台帳!$F$2:$F$2000,Q$4)</f>
        <v>0</v>
      </c>
      <c r="R76" s="46">
        <f>SUMIFS(台帳!$I$2:$I$2000,台帳!$A$2:$A$2000,$A76,台帳!$F$2:$F$2000,R$4)</f>
        <v>0</v>
      </c>
      <c r="S76" s="46">
        <f>SUMIFS(台帳!$I$2:$I$2000,台帳!$A$2:$A$2000,$A76,台帳!$F$2:$F$2000,S$4)</f>
        <v>0</v>
      </c>
      <c r="T76" s="46">
        <f>SUMIFS(台帳!$I$2:$I$2000,台帳!$A$2:$A$2000,$A76,台帳!$F$2:$F$2000,T$4)</f>
        <v>0</v>
      </c>
      <c r="U76" s="46">
        <f>SUMIFS(台帳!$I$2:$I$2000,台帳!$A$2:$A$2000,$A76,台帳!$F$2:$F$2000,U$4)</f>
        <v>0</v>
      </c>
      <c r="V76" s="46">
        <f>SUMIFS(台帳!$I$2:$I$2000,台帳!$A$2:$A$2000,$A76,台帳!$F$2:$F$2000,V$4)</f>
        <v>0</v>
      </c>
      <c r="W76" s="46">
        <f>SUMIFS(台帳!$I$2:$I$2000,台帳!$A$2:$A$2000,$A76,台帳!$F$2:$F$2000,W$4)</f>
        <v>0</v>
      </c>
      <c r="X76" s="46">
        <f>SUMIFS(台帳!$I$2:$I$2000,台帳!$A$2:$A$2000,$A76,台帳!$F$2:$F$2000,X$4)</f>
        <v>0</v>
      </c>
      <c r="Y76" s="46">
        <f>SUMIFS(台帳!$I$2:$I$2000,台帳!$A$2:$A$2000,$A76,台帳!$F$2:$F$2000,Y$4)</f>
        <v>0</v>
      </c>
      <c r="Z76" s="46">
        <f>SUMIFS(台帳!$I$2:$I$2000,台帳!$A$2:$A$2000,$A76,台帳!$F$2:$F$2000,Z$4)</f>
        <v>0</v>
      </c>
      <c r="AA76" s="46">
        <f>SUMIFS(台帳!$I$2:$I$2000,台帳!$A$2:$A$2000,$A76,台帳!$F$2:$F$2000,AA$4)</f>
        <v>0</v>
      </c>
      <c r="AB76" s="46">
        <f>SUMIFS(台帳!$I$2:$I$2000,台帳!$A$2:$A$2000,$A76,台帳!$F$2:$F$2000,AB$4)</f>
        <v>0</v>
      </c>
      <c r="AC76" s="46">
        <f>SUMIFS(台帳!$I$2:$I$2000,台帳!$A$2:$A$2000,$A76,台帳!$F$2:$F$2000,AC$4)</f>
        <v>0</v>
      </c>
      <c r="AD76" s="46">
        <f>SUMIFS(台帳!$I$2:$I$2000,台帳!$A$2:$A$2000,$A76,台帳!$F$2:$F$2000,AD$4)</f>
        <v>0</v>
      </c>
      <c r="AE76" s="46">
        <f>SUMIFS(台帳!$I$2:$I$2000,台帳!$A$2:$A$2000,$A76,台帳!$F$2:$F$2000,AE$4)</f>
        <v>0</v>
      </c>
      <c r="AF76" s="46">
        <f>SUMIFS(台帳!$I$2:$I$2000,台帳!$A$2:$A$2000,$A76,台帳!$F$2:$F$2000,AF$4)</f>
        <v>0</v>
      </c>
      <c r="AG76" s="46">
        <f>SUMIFS(台帳!$I$2:$I$2000,台帳!$A$2:$A$2000,$A76,台帳!$F$2:$F$2000,AG$4)</f>
        <v>0</v>
      </c>
      <c r="AH76" s="46">
        <f>SUMIFS(台帳!$I$2:$I$2000,台帳!$A$2:$A$2000,$A76,台帳!$F$2:$F$2000,AH$4)</f>
        <v>0</v>
      </c>
      <c r="AI76" s="46">
        <f>SUMIFS(台帳!$I$2:$I$2000,台帳!$A$2:$A$2000,$A76,台帳!$F$2:$F$2000,AI$4)</f>
        <v>0</v>
      </c>
      <c r="AJ76" s="46">
        <f>SUMIFS(台帳!$I$2:$I$2000,台帳!$A$2:$A$2000,$A76,台帳!$F$2:$F$2000,AJ$4)</f>
        <v>0</v>
      </c>
      <c r="AK76" s="46">
        <f>SUMIFS(台帳!$I$2:$I$2000,台帳!$A$2:$A$2000,$A76,台帳!$F$2:$F$2000,AK$4)</f>
        <v>0</v>
      </c>
      <c r="AL76" s="46">
        <f>SUMIFS(台帳!$I$2:$I$2000,台帳!$A$2:$A$2000,$A76,台帳!$F$2:$F$2000,AL$4)</f>
        <v>0</v>
      </c>
      <c r="AM76" s="46">
        <f>SUMIFS(台帳!$I$2:$I$2000,台帳!$A$2:$A$2000,$A76,台帳!$F$2:$F$2000,AM$4)</f>
        <v>0</v>
      </c>
      <c r="AN76" s="46">
        <f>SUMIFS(台帳!$I$2:$I$2000,台帳!$A$2:$A$2000,$A76,台帳!$F$2:$F$2000,AN$4)</f>
        <v>0</v>
      </c>
      <c r="AO76" s="46">
        <f>SUMIFS(台帳!$I$2:$I$2000,台帳!$A$2:$A$2000,$A76,台帳!$F$2:$F$2000,AO$4)</f>
        <v>0</v>
      </c>
      <c r="AP76" s="46">
        <f>SUMIFS(台帳!$I$2:$I$2000,台帳!$A$2:$A$2000,$A76,台帳!$F$2:$F$2000,AP$4)</f>
        <v>0</v>
      </c>
      <c r="AQ76" s="46">
        <f>SUMIFS(台帳!$I$2:$I$2000,台帳!$A$2:$A$2000,$A76,台帳!$F$2:$F$2000,AQ$4)</f>
        <v>0</v>
      </c>
      <c r="AR76" s="46">
        <f>SUM(C76:AQ76)</f>
        <v>3</v>
      </c>
    </row>
    <row r="77" spans="1:44" ht="17.25" x14ac:dyDescent="0.35">
      <c r="A77" s="44">
        <v>46204</v>
      </c>
      <c r="B77" s="45" t="str">
        <f>CHOOSE(WEEKDAY(A77),"日","月","火","水","木","金","土")</f>
        <v>水</v>
      </c>
      <c r="C77" s="46">
        <f>SUMIFS(台帳!$I$2:$I$2000,台帳!$A$2:$A$2000,$A77,台帳!$F$2:$F$2000,C$4)</f>
        <v>0</v>
      </c>
      <c r="D77" s="46">
        <f>SUMIFS(台帳!$I$2:$I$2000,台帳!$A$2:$A$2000,$A77,台帳!$F$2:$F$2000,D$4)</f>
        <v>0</v>
      </c>
      <c r="E77" s="46">
        <f>SUMIFS(台帳!$I$2:$I$2000,台帳!$A$2:$A$2000,$A77,台帳!$F$2:$F$2000,E$4)</f>
        <v>0</v>
      </c>
      <c r="F77" s="46">
        <f>SUMIFS(台帳!$I$2:$I$2000,台帳!$A$2:$A$2000,$A77,台帳!$F$2:$F$2000,F$4)</f>
        <v>0</v>
      </c>
      <c r="G77" s="46">
        <f>SUMIFS(台帳!$I$2:$I$2000,台帳!$A$2:$A$2000,$A77,台帳!$F$2:$F$2000,G$4)</f>
        <v>0</v>
      </c>
      <c r="H77" s="46">
        <f>SUMIFS(台帳!$I$2:$I$2000,台帳!$A$2:$A$2000,$A77,台帳!$F$2:$F$2000,H$4)</f>
        <v>0</v>
      </c>
      <c r="I77" s="46">
        <f>SUMIFS(台帳!$I$2:$I$2000,台帳!$A$2:$A$2000,$A77,台帳!$F$2:$F$2000,I$4)</f>
        <v>0</v>
      </c>
      <c r="J77" s="46">
        <f>SUMIFS(台帳!$I$2:$I$2000,台帳!$A$2:$A$2000,$A77,台帳!$F$2:$F$2000,J$4)</f>
        <v>2</v>
      </c>
      <c r="K77" s="46">
        <f>SUMIFS(台帳!$I$2:$I$2000,台帳!$A$2:$A$2000,$A77,台帳!$F$2:$F$2000,K$4)</f>
        <v>2</v>
      </c>
      <c r="L77" s="46">
        <f>SUMIFS(台帳!$I$2:$I$2000,台帳!$A$2:$A$2000,$A77,台帳!$F$2:$F$2000,L$4)</f>
        <v>0</v>
      </c>
      <c r="M77" s="46">
        <f>SUMIFS(台帳!$I$2:$I$2000,台帳!$A$2:$A$2000,$A77,台帳!$F$2:$F$2000,M$4)</f>
        <v>0</v>
      </c>
      <c r="N77" s="46">
        <f>SUMIFS(台帳!$I$2:$I$2000,台帳!$A$2:$A$2000,$A77,台帳!$F$2:$F$2000,N$4)</f>
        <v>0</v>
      </c>
      <c r="O77" s="46">
        <f>SUMIFS(台帳!$I$2:$I$2000,台帳!$A$2:$A$2000,$A77,台帳!$F$2:$F$2000,O$4)</f>
        <v>0</v>
      </c>
      <c r="P77" s="46">
        <f>SUMIFS(台帳!$I$2:$I$2000,台帳!$A$2:$A$2000,$A77,台帳!$F$2:$F$2000,P$4)</f>
        <v>0</v>
      </c>
      <c r="Q77" s="46">
        <f>SUMIFS(台帳!$I$2:$I$2000,台帳!$A$2:$A$2000,$A77,台帳!$F$2:$F$2000,Q$4)</f>
        <v>0</v>
      </c>
      <c r="R77" s="46">
        <f>SUMIFS(台帳!$I$2:$I$2000,台帳!$A$2:$A$2000,$A77,台帳!$F$2:$F$2000,R$4)</f>
        <v>0</v>
      </c>
      <c r="S77" s="46">
        <f>SUMIFS(台帳!$I$2:$I$2000,台帳!$A$2:$A$2000,$A77,台帳!$F$2:$F$2000,S$4)</f>
        <v>0</v>
      </c>
      <c r="T77" s="46">
        <f>SUMIFS(台帳!$I$2:$I$2000,台帳!$A$2:$A$2000,$A77,台帳!$F$2:$F$2000,T$4)</f>
        <v>0</v>
      </c>
      <c r="U77" s="46">
        <f>SUMIFS(台帳!$I$2:$I$2000,台帳!$A$2:$A$2000,$A77,台帳!$F$2:$F$2000,U$4)</f>
        <v>0</v>
      </c>
      <c r="V77" s="46">
        <f>SUMIFS(台帳!$I$2:$I$2000,台帳!$A$2:$A$2000,$A77,台帳!$F$2:$F$2000,V$4)</f>
        <v>0</v>
      </c>
      <c r="W77" s="46">
        <f>SUMIFS(台帳!$I$2:$I$2000,台帳!$A$2:$A$2000,$A77,台帳!$F$2:$F$2000,W$4)</f>
        <v>0</v>
      </c>
      <c r="X77" s="46">
        <f>SUMIFS(台帳!$I$2:$I$2000,台帳!$A$2:$A$2000,$A77,台帳!$F$2:$F$2000,X$4)</f>
        <v>0</v>
      </c>
      <c r="Y77" s="46">
        <f>SUMIFS(台帳!$I$2:$I$2000,台帳!$A$2:$A$2000,$A77,台帳!$F$2:$F$2000,Y$4)</f>
        <v>0</v>
      </c>
      <c r="Z77" s="46">
        <f>SUMIFS(台帳!$I$2:$I$2000,台帳!$A$2:$A$2000,$A77,台帳!$F$2:$F$2000,Z$4)</f>
        <v>0</v>
      </c>
      <c r="AA77" s="46">
        <f>SUMIFS(台帳!$I$2:$I$2000,台帳!$A$2:$A$2000,$A77,台帳!$F$2:$F$2000,AA$4)</f>
        <v>0</v>
      </c>
      <c r="AB77" s="46">
        <f>SUMIFS(台帳!$I$2:$I$2000,台帳!$A$2:$A$2000,$A77,台帳!$F$2:$F$2000,AB$4)</f>
        <v>0</v>
      </c>
      <c r="AC77" s="46">
        <f>SUMIFS(台帳!$I$2:$I$2000,台帳!$A$2:$A$2000,$A77,台帳!$F$2:$F$2000,AC$4)</f>
        <v>0</v>
      </c>
      <c r="AD77" s="46">
        <f>SUMIFS(台帳!$I$2:$I$2000,台帳!$A$2:$A$2000,$A77,台帳!$F$2:$F$2000,AD$4)</f>
        <v>0</v>
      </c>
      <c r="AE77" s="46">
        <f>SUMIFS(台帳!$I$2:$I$2000,台帳!$A$2:$A$2000,$A77,台帳!$F$2:$F$2000,AE$4)</f>
        <v>0</v>
      </c>
      <c r="AF77" s="46">
        <f>SUMIFS(台帳!$I$2:$I$2000,台帳!$A$2:$A$2000,$A77,台帳!$F$2:$F$2000,AF$4)</f>
        <v>0</v>
      </c>
      <c r="AG77" s="46">
        <f>SUMIFS(台帳!$I$2:$I$2000,台帳!$A$2:$A$2000,$A77,台帳!$F$2:$F$2000,AG$4)</f>
        <v>0</v>
      </c>
      <c r="AH77" s="46">
        <f>SUMIFS(台帳!$I$2:$I$2000,台帳!$A$2:$A$2000,$A77,台帳!$F$2:$F$2000,AH$4)</f>
        <v>0</v>
      </c>
      <c r="AI77" s="46">
        <f>SUMIFS(台帳!$I$2:$I$2000,台帳!$A$2:$A$2000,$A77,台帳!$F$2:$F$2000,AI$4)</f>
        <v>0</v>
      </c>
      <c r="AJ77" s="46">
        <f>SUMIFS(台帳!$I$2:$I$2000,台帳!$A$2:$A$2000,$A77,台帳!$F$2:$F$2000,AJ$4)</f>
        <v>0</v>
      </c>
      <c r="AK77" s="46">
        <f>SUMIFS(台帳!$I$2:$I$2000,台帳!$A$2:$A$2000,$A77,台帳!$F$2:$F$2000,AK$4)</f>
        <v>0</v>
      </c>
      <c r="AL77" s="46">
        <f>SUMIFS(台帳!$I$2:$I$2000,台帳!$A$2:$A$2000,$A77,台帳!$F$2:$F$2000,AL$4)</f>
        <v>0</v>
      </c>
      <c r="AM77" s="46">
        <f>SUMIFS(台帳!$I$2:$I$2000,台帳!$A$2:$A$2000,$A77,台帳!$F$2:$F$2000,AM$4)</f>
        <v>0</v>
      </c>
      <c r="AN77" s="46">
        <f>SUMIFS(台帳!$I$2:$I$2000,台帳!$A$2:$A$2000,$A77,台帳!$F$2:$F$2000,AN$4)</f>
        <v>0</v>
      </c>
      <c r="AO77" s="46">
        <f>SUMIFS(台帳!$I$2:$I$2000,台帳!$A$2:$A$2000,$A77,台帳!$F$2:$F$2000,AO$4)</f>
        <v>0</v>
      </c>
      <c r="AP77" s="46">
        <f>SUMIFS(台帳!$I$2:$I$2000,台帳!$A$2:$A$2000,$A77,台帳!$F$2:$F$2000,AP$4)</f>
        <v>0</v>
      </c>
      <c r="AQ77" s="46">
        <f>SUMIFS(台帳!$I$2:$I$2000,台帳!$A$2:$A$2000,$A77,台帳!$F$2:$F$2000,AQ$4)</f>
        <v>0</v>
      </c>
      <c r="AR77" s="46">
        <f>SUM(C77:AQ77)</f>
        <v>4</v>
      </c>
    </row>
    <row r="78" spans="1:44" ht="17.25" x14ac:dyDescent="0.35">
      <c r="A78" s="44">
        <v>46205</v>
      </c>
      <c r="B78" s="45" t="str">
        <f>CHOOSE(WEEKDAY(A78),"日","月","火","水","木","金","土")</f>
        <v>木</v>
      </c>
      <c r="C78" s="46">
        <f>SUMIFS(台帳!$I$2:$I$2000,台帳!$A$2:$A$2000,$A78,台帳!$F$2:$F$2000,C$4)</f>
        <v>0</v>
      </c>
      <c r="D78" s="46">
        <f>SUMIFS(台帳!$I$2:$I$2000,台帳!$A$2:$A$2000,$A78,台帳!$F$2:$F$2000,D$4)</f>
        <v>0</v>
      </c>
      <c r="E78" s="46">
        <f>SUMIFS(台帳!$I$2:$I$2000,台帳!$A$2:$A$2000,$A78,台帳!$F$2:$F$2000,E$4)</f>
        <v>0</v>
      </c>
      <c r="F78" s="46">
        <f>SUMIFS(台帳!$I$2:$I$2000,台帳!$A$2:$A$2000,$A78,台帳!$F$2:$F$2000,F$4)</f>
        <v>0</v>
      </c>
      <c r="G78" s="46">
        <f>SUMIFS(台帳!$I$2:$I$2000,台帳!$A$2:$A$2000,$A78,台帳!$F$2:$F$2000,G$4)</f>
        <v>0</v>
      </c>
      <c r="H78" s="46">
        <f>SUMIFS(台帳!$I$2:$I$2000,台帳!$A$2:$A$2000,$A78,台帳!$F$2:$F$2000,H$4)</f>
        <v>0</v>
      </c>
      <c r="I78" s="46">
        <f>SUMIFS(台帳!$I$2:$I$2000,台帳!$A$2:$A$2000,$A78,台帳!$F$2:$F$2000,I$4)</f>
        <v>0</v>
      </c>
      <c r="J78" s="46">
        <f>SUMIFS(台帳!$I$2:$I$2000,台帳!$A$2:$A$2000,$A78,台帳!$F$2:$F$2000,J$4)</f>
        <v>2</v>
      </c>
      <c r="K78" s="46">
        <f>SUMIFS(台帳!$I$2:$I$2000,台帳!$A$2:$A$2000,$A78,台帳!$F$2:$F$2000,K$4)</f>
        <v>0</v>
      </c>
      <c r="L78" s="46">
        <f>SUMIFS(台帳!$I$2:$I$2000,台帳!$A$2:$A$2000,$A78,台帳!$F$2:$F$2000,L$4)</f>
        <v>0</v>
      </c>
      <c r="M78" s="46">
        <f>SUMIFS(台帳!$I$2:$I$2000,台帳!$A$2:$A$2000,$A78,台帳!$F$2:$F$2000,M$4)</f>
        <v>0</v>
      </c>
      <c r="N78" s="46">
        <f>SUMIFS(台帳!$I$2:$I$2000,台帳!$A$2:$A$2000,$A78,台帳!$F$2:$F$2000,N$4)</f>
        <v>0</v>
      </c>
      <c r="O78" s="46">
        <f>SUMIFS(台帳!$I$2:$I$2000,台帳!$A$2:$A$2000,$A78,台帳!$F$2:$F$2000,O$4)</f>
        <v>0</v>
      </c>
      <c r="P78" s="46">
        <f>SUMIFS(台帳!$I$2:$I$2000,台帳!$A$2:$A$2000,$A78,台帳!$F$2:$F$2000,P$4)</f>
        <v>0</v>
      </c>
      <c r="Q78" s="46">
        <f>SUMIFS(台帳!$I$2:$I$2000,台帳!$A$2:$A$2000,$A78,台帳!$F$2:$F$2000,Q$4)</f>
        <v>0</v>
      </c>
      <c r="R78" s="46">
        <f>SUMIFS(台帳!$I$2:$I$2000,台帳!$A$2:$A$2000,$A78,台帳!$F$2:$F$2000,R$4)</f>
        <v>0</v>
      </c>
      <c r="S78" s="46">
        <f>SUMIFS(台帳!$I$2:$I$2000,台帳!$A$2:$A$2000,$A78,台帳!$F$2:$F$2000,S$4)</f>
        <v>0</v>
      </c>
      <c r="T78" s="46">
        <f>SUMIFS(台帳!$I$2:$I$2000,台帳!$A$2:$A$2000,$A78,台帳!$F$2:$F$2000,T$4)</f>
        <v>0</v>
      </c>
      <c r="U78" s="46">
        <f>SUMIFS(台帳!$I$2:$I$2000,台帳!$A$2:$A$2000,$A78,台帳!$F$2:$F$2000,U$4)</f>
        <v>0</v>
      </c>
      <c r="V78" s="46">
        <f>SUMIFS(台帳!$I$2:$I$2000,台帳!$A$2:$A$2000,$A78,台帳!$F$2:$F$2000,V$4)</f>
        <v>0</v>
      </c>
      <c r="W78" s="46">
        <f>SUMIFS(台帳!$I$2:$I$2000,台帳!$A$2:$A$2000,$A78,台帳!$F$2:$F$2000,W$4)</f>
        <v>0</v>
      </c>
      <c r="X78" s="46">
        <f>SUMIFS(台帳!$I$2:$I$2000,台帳!$A$2:$A$2000,$A78,台帳!$F$2:$F$2000,X$4)</f>
        <v>0</v>
      </c>
      <c r="Y78" s="46">
        <f>SUMIFS(台帳!$I$2:$I$2000,台帳!$A$2:$A$2000,$A78,台帳!$F$2:$F$2000,Y$4)</f>
        <v>0</v>
      </c>
      <c r="Z78" s="46">
        <f>SUMIFS(台帳!$I$2:$I$2000,台帳!$A$2:$A$2000,$A78,台帳!$F$2:$F$2000,Z$4)</f>
        <v>0</v>
      </c>
      <c r="AA78" s="46">
        <f>SUMIFS(台帳!$I$2:$I$2000,台帳!$A$2:$A$2000,$A78,台帳!$F$2:$F$2000,AA$4)</f>
        <v>0</v>
      </c>
      <c r="AB78" s="46">
        <f>SUMIFS(台帳!$I$2:$I$2000,台帳!$A$2:$A$2000,$A78,台帳!$F$2:$F$2000,AB$4)</f>
        <v>0</v>
      </c>
      <c r="AC78" s="46">
        <f>SUMIFS(台帳!$I$2:$I$2000,台帳!$A$2:$A$2000,$A78,台帳!$F$2:$F$2000,AC$4)</f>
        <v>0</v>
      </c>
      <c r="AD78" s="46">
        <f>SUMIFS(台帳!$I$2:$I$2000,台帳!$A$2:$A$2000,$A78,台帳!$F$2:$F$2000,AD$4)</f>
        <v>0</v>
      </c>
      <c r="AE78" s="46">
        <f>SUMIFS(台帳!$I$2:$I$2000,台帳!$A$2:$A$2000,$A78,台帳!$F$2:$F$2000,AE$4)</f>
        <v>0</v>
      </c>
      <c r="AF78" s="46">
        <f>SUMIFS(台帳!$I$2:$I$2000,台帳!$A$2:$A$2000,$A78,台帳!$F$2:$F$2000,AF$4)</f>
        <v>0</v>
      </c>
      <c r="AG78" s="46">
        <f>SUMIFS(台帳!$I$2:$I$2000,台帳!$A$2:$A$2000,$A78,台帳!$F$2:$F$2000,AG$4)</f>
        <v>0</v>
      </c>
      <c r="AH78" s="46">
        <f>SUMIFS(台帳!$I$2:$I$2000,台帳!$A$2:$A$2000,$A78,台帳!$F$2:$F$2000,AH$4)</f>
        <v>0</v>
      </c>
      <c r="AI78" s="46">
        <f>SUMIFS(台帳!$I$2:$I$2000,台帳!$A$2:$A$2000,$A78,台帳!$F$2:$F$2000,AI$4)</f>
        <v>0</v>
      </c>
      <c r="AJ78" s="46">
        <f>SUMIFS(台帳!$I$2:$I$2000,台帳!$A$2:$A$2000,$A78,台帳!$F$2:$F$2000,AJ$4)</f>
        <v>0</v>
      </c>
      <c r="AK78" s="46">
        <f>SUMIFS(台帳!$I$2:$I$2000,台帳!$A$2:$A$2000,$A78,台帳!$F$2:$F$2000,AK$4)</f>
        <v>0</v>
      </c>
      <c r="AL78" s="46">
        <f>SUMIFS(台帳!$I$2:$I$2000,台帳!$A$2:$A$2000,$A78,台帳!$F$2:$F$2000,AL$4)</f>
        <v>0</v>
      </c>
      <c r="AM78" s="46">
        <f>SUMIFS(台帳!$I$2:$I$2000,台帳!$A$2:$A$2000,$A78,台帳!$F$2:$F$2000,AM$4)</f>
        <v>0</v>
      </c>
      <c r="AN78" s="46">
        <f>SUMIFS(台帳!$I$2:$I$2000,台帳!$A$2:$A$2000,$A78,台帳!$F$2:$F$2000,AN$4)</f>
        <v>0</v>
      </c>
      <c r="AO78" s="46">
        <f>SUMIFS(台帳!$I$2:$I$2000,台帳!$A$2:$A$2000,$A78,台帳!$F$2:$F$2000,AO$4)</f>
        <v>0</v>
      </c>
      <c r="AP78" s="46">
        <f>SUMIFS(台帳!$I$2:$I$2000,台帳!$A$2:$A$2000,$A78,台帳!$F$2:$F$2000,AP$4)</f>
        <v>0</v>
      </c>
      <c r="AQ78" s="46">
        <f>SUMIFS(台帳!$I$2:$I$2000,台帳!$A$2:$A$2000,$A78,台帳!$F$2:$F$2000,AQ$4)</f>
        <v>0</v>
      </c>
      <c r="AR78" s="46">
        <f>SUM(C78:AQ78)</f>
        <v>2</v>
      </c>
    </row>
    <row r="79" spans="1:44" ht="17.25" x14ac:dyDescent="0.35">
      <c r="A79" s="44">
        <v>46206</v>
      </c>
      <c r="B79" s="45" t="str">
        <f>CHOOSE(WEEKDAY(A79),"日","月","火","水","木","金","土")</f>
        <v>金</v>
      </c>
      <c r="C79" s="46">
        <f>SUMIFS(台帳!$I$2:$I$2000,台帳!$A$2:$A$2000,$A79,台帳!$F$2:$F$2000,C$4)</f>
        <v>0</v>
      </c>
      <c r="D79" s="46">
        <f>SUMIFS(台帳!$I$2:$I$2000,台帳!$A$2:$A$2000,$A79,台帳!$F$2:$F$2000,D$4)</f>
        <v>0</v>
      </c>
      <c r="E79" s="46">
        <f>SUMIFS(台帳!$I$2:$I$2000,台帳!$A$2:$A$2000,$A79,台帳!$F$2:$F$2000,E$4)</f>
        <v>0</v>
      </c>
      <c r="F79" s="46">
        <f>SUMIFS(台帳!$I$2:$I$2000,台帳!$A$2:$A$2000,$A79,台帳!$F$2:$F$2000,F$4)</f>
        <v>0</v>
      </c>
      <c r="G79" s="46">
        <f>SUMIFS(台帳!$I$2:$I$2000,台帳!$A$2:$A$2000,$A79,台帳!$F$2:$F$2000,G$4)</f>
        <v>0</v>
      </c>
      <c r="H79" s="46">
        <f>SUMIFS(台帳!$I$2:$I$2000,台帳!$A$2:$A$2000,$A79,台帳!$F$2:$F$2000,H$4)</f>
        <v>0</v>
      </c>
      <c r="I79" s="46">
        <f>SUMIFS(台帳!$I$2:$I$2000,台帳!$A$2:$A$2000,$A79,台帳!$F$2:$F$2000,I$4)</f>
        <v>0</v>
      </c>
      <c r="J79" s="46">
        <f>SUMIFS(台帳!$I$2:$I$2000,台帳!$A$2:$A$2000,$A79,台帳!$F$2:$F$2000,J$4)</f>
        <v>0</v>
      </c>
      <c r="K79" s="46">
        <f>SUMIFS(台帳!$I$2:$I$2000,台帳!$A$2:$A$2000,$A79,台帳!$F$2:$F$2000,K$4)</f>
        <v>0</v>
      </c>
      <c r="L79" s="46">
        <f>SUMIFS(台帳!$I$2:$I$2000,台帳!$A$2:$A$2000,$A79,台帳!$F$2:$F$2000,L$4)</f>
        <v>2</v>
      </c>
      <c r="M79" s="46">
        <f>SUMIFS(台帳!$I$2:$I$2000,台帳!$A$2:$A$2000,$A79,台帳!$F$2:$F$2000,M$4)</f>
        <v>2</v>
      </c>
      <c r="N79" s="46">
        <f>SUMIFS(台帳!$I$2:$I$2000,台帳!$A$2:$A$2000,$A79,台帳!$F$2:$F$2000,N$4)</f>
        <v>2</v>
      </c>
      <c r="O79" s="46">
        <f>SUMIFS(台帳!$I$2:$I$2000,台帳!$A$2:$A$2000,$A79,台帳!$F$2:$F$2000,O$4)</f>
        <v>0</v>
      </c>
      <c r="P79" s="46">
        <f>SUMIFS(台帳!$I$2:$I$2000,台帳!$A$2:$A$2000,$A79,台帳!$F$2:$F$2000,P$4)</f>
        <v>0</v>
      </c>
      <c r="Q79" s="46">
        <f>SUMIFS(台帳!$I$2:$I$2000,台帳!$A$2:$A$2000,$A79,台帳!$F$2:$F$2000,Q$4)</f>
        <v>0</v>
      </c>
      <c r="R79" s="46">
        <f>SUMIFS(台帳!$I$2:$I$2000,台帳!$A$2:$A$2000,$A79,台帳!$F$2:$F$2000,R$4)</f>
        <v>0</v>
      </c>
      <c r="S79" s="46">
        <f>SUMIFS(台帳!$I$2:$I$2000,台帳!$A$2:$A$2000,$A79,台帳!$F$2:$F$2000,S$4)</f>
        <v>0</v>
      </c>
      <c r="T79" s="46">
        <f>SUMIFS(台帳!$I$2:$I$2000,台帳!$A$2:$A$2000,$A79,台帳!$F$2:$F$2000,T$4)</f>
        <v>0</v>
      </c>
      <c r="U79" s="46">
        <f>SUMIFS(台帳!$I$2:$I$2000,台帳!$A$2:$A$2000,$A79,台帳!$F$2:$F$2000,U$4)</f>
        <v>0</v>
      </c>
      <c r="V79" s="46">
        <f>SUMIFS(台帳!$I$2:$I$2000,台帳!$A$2:$A$2000,$A79,台帳!$F$2:$F$2000,V$4)</f>
        <v>0</v>
      </c>
      <c r="W79" s="46">
        <f>SUMIFS(台帳!$I$2:$I$2000,台帳!$A$2:$A$2000,$A79,台帳!$F$2:$F$2000,W$4)</f>
        <v>0</v>
      </c>
      <c r="X79" s="46">
        <f>SUMIFS(台帳!$I$2:$I$2000,台帳!$A$2:$A$2000,$A79,台帳!$F$2:$F$2000,X$4)</f>
        <v>0</v>
      </c>
      <c r="Y79" s="46">
        <f>SUMIFS(台帳!$I$2:$I$2000,台帳!$A$2:$A$2000,$A79,台帳!$F$2:$F$2000,Y$4)</f>
        <v>0</v>
      </c>
      <c r="Z79" s="46">
        <f>SUMIFS(台帳!$I$2:$I$2000,台帳!$A$2:$A$2000,$A79,台帳!$F$2:$F$2000,Z$4)</f>
        <v>0</v>
      </c>
      <c r="AA79" s="46">
        <f>SUMIFS(台帳!$I$2:$I$2000,台帳!$A$2:$A$2000,$A79,台帳!$F$2:$F$2000,AA$4)</f>
        <v>0</v>
      </c>
      <c r="AB79" s="46">
        <f>SUMIFS(台帳!$I$2:$I$2000,台帳!$A$2:$A$2000,$A79,台帳!$F$2:$F$2000,AB$4)</f>
        <v>0</v>
      </c>
      <c r="AC79" s="46">
        <f>SUMIFS(台帳!$I$2:$I$2000,台帳!$A$2:$A$2000,$A79,台帳!$F$2:$F$2000,AC$4)</f>
        <v>0</v>
      </c>
      <c r="AD79" s="46">
        <f>SUMIFS(台帳!$I$2:$I$2000,台帳!$A$2:$A$2000,$A79,台帳!$F$2:$F$2000,AD$4)</f>
        <v>0</v>
      </c>
      <c r="AE79" s="46">
        <f>SUMIFS(台帳!$I$2:$I$2000,台帳!$A$2:$A$2000,$A79,台帳!$F$2:$F$2000,AE$4)</f>
        <v>0</v>
      </c>
      <c r="AF79" s="46">
        <f>SUMIFS(台帳!$I$2:$I$2000,台帳!$A$2:$A$2000,$A79,台帳!$F$2:$F$2000,AF$4)</f>
        <v>0</v>
      </c>
      <c r="AG79" s="46">
        <f>SUMIFS(台帳!$I$2:$I$2000,台帳!$A$2:$A$2000,$A79,台帳!$F$2:$F$2000,AG$4)</f>
        <v>0</v>
      </c>
      <c r="AH79" s="46">
        <f>SUMIFS(台帳!$I$2:$I$2000,台帳!$A$2:$A$2000,$A79,台帳!$F$2:$F$2000,AH$4)</f>
        <v>0</v>
      </c>
      <c r="AI79" s="46">
        <f>SUMIFS(台帳!$I$2:$I$2000,台帳!$A$2:$A$2000,$A79,台帳!$F$2:$F$2000,AI$4)</f>
        <v>0</v>
      </c>
      <c r="AJ79" s="46">
        <f>SUMIFS(台帳!$I$2:$I$2000,台帳!$A$2:$A$2000,$A79,台帳!$F$2:$F$2000,AJ$4)</f>
        <v>0</v>
      </c>
      <c r="AK79" s="46">
        <f>SUMIFS(台帳!$I$2:$I$2000,台帳!$A$2:$A$2000,$A79,台帳!$F$2:$F$2000,AK$4)</f>
        <v>0</v>
      </c>
      <c r="AL79" s="46">
        <f>SUMIFS(台帳!$I$2:$I$2000,台帳!$A$2:$A$2000,$A79,台帳!$F$2:$F$2000,AL$4)</f>
        <v>0</v>
      </c>
      <c r="AM79" s="46">
        <f>SUMIFS(台帳!$I$2:$I$2000,台帳!$A$2:$A$2000,$A79,台帳!$F$2:$F$2000,AM$4)</f>
        <v>0</v>
      </c>
      <c r="AN79" s="46">
        <f>SUMIFS(台帳!$I$2:$I$2000,台帳!$A$2:$A$2000,$A79,台帳!$F$2:$F$2000,AN$4)</f>
        <v>0</v>
      </c>
      <c r="AO79" s="46">
        <f>SUMIFS(台帳!$I$2:$I$2000,台帳!$A$2:$A$2000,$A79,台帳!$F$2:$F$2000,AO$4)</f>
        <v>0</v>
      </c>
      <c r="AP79" s="46">
        <f>SUMIFS(台帳!$I$2:$I$2000,台帳!$A$2:$A$2000,$A79,台帳!$F$2:$F$2000,AP$4)</f>
        <v>0</v>
      </c>
      <c r="AQ79" s="46">
        <f>SUMIFS(台帳!$I$2:$I$2000,台帳!$A$2:$A$2000,$A79,台帳!$F$2:$F$2000,AQ$4)</f>
        <v>0</v>
      </c>
      <c r="AR79" s="46">
        <f>SUM(C79:AQ79)</f>
        <v>6</v>
      </c>
    </row>
    <row r="80" spans="1:44" ht="17.25" x14ac:dyDescent="0.35">
      <c r="A80" s="44">
        <v>46207</v>
      </c>
      <c r="B80" s="45" t="str">
        <f>CHOOSE(WEEKDAY(A80),"日","月","火","水","木","金","土")</f>
        <v>土</v>
      </c>
      <c r="C80" s="46">
        <f>SUMIFS(台帳!$I$2:$I$2000,台帳!$A$2:$A$2000,$A80,台帳!$F$2:$F$2000,C$4)</f>
        <v>0</v>
      </c>
      <c r="D80" s="46">
        <f>SUMIFS(台帳!$I$2:$I$2000,台帳!$A$2:$A$2000,$A80,台帳!$F$2:$F$2000,D$4)</f>
        <v>0</v>
      </c>
      <c r="E80" s="46">
        <f>SUMIFS(台帳!$I$2:$I$2000,台帳!$A$2:$A$2000,$A80,台帳!$F$2:$F$2000,E$4)</f>
        <v>0</v>
      </c>
      <c r="F80" s="46">
        <f>SUMIFS(台帳!$I$2:$I$2000,台帳!$A$2:$A$2000,$A80,台帳!$F$2:$F$2000,F$4)</f>
        <v>0</v>
      </c>
      <c r="G80" s="46">
        <f>SUMIFS(台帳!$I$2:$I$2000,台帳!$A$2:$A$2000,$A80,台帳!$F$2:$F$2000,G$4)</f>
        <v>0</v>
      </c>
      <c r="H80" s="46">
        <f>SUMIFS(台帳!$I$2:$I$2000,台帳!$A$2:$A$2000,$A80,台帳!$F$2:$F$2000,H$4)</f>
        <v>0</v>
      </c>
      <c r="I80" s="46">
        <f>SUMIFS(台帳!$I$2:$I$2000,台帳!$A$2:$A$2000,$A80,台帳!$F$2:$F$2000,I$4)</f>
        <v>0</v>
      </c>
      <c r="J80" s="46">
        <f>SUMIFS(台帳!$I$2:$I$2000,台帳!$A$2:$A$2000,$A80,台帳!$F$2:$F$2000,J$4)</f>
        <v>5</v>
      </c>
      <c r="K80" s="46">
        <f>SUMIFS(台帳!$I$2:$I$2000,台帳!$A$2:$A$2000,$A80,台帳!$F$2:$F$2000,K$4)</f>
        <v>0</v>
      </c>
      <c r="L80" s="46">
        <f>SUMIFS(台帳!$I$2:$I$2000,台帳!$A$2:$A$2000,$A80,台帳!$F$2:$F$2000,L$4)</f>
        <v>0</v>
      </c>
      <c r="M80" s="46">
        <f>SUMIFS(台帳!$I$2:$I$2000,台帳!$A$2:$A$2000,$A80,台帳!$F$2:$F$2000,M$4)</f>
        <v>0</v>
      </c>
      <c r="N80" s="46">
        <f>SUMIFS(台帳!$I$2:$I$2000,台帳!$A$2:$A$2000,$A80,台帳!$F$2:$F$2000,N$4)</f>
        <v>0</v>
      </c>
      <c r="O80" s="46">
        <f>SUMIFS(台帳!$I$2:$I$2000,台帳!$A$2:$A$2000,$A80,台帳!$F$2:$F$2000,O$4)</f>
        <v>0</v>
      </c>
      <c r="P80" s="46">
        <f>SUMIFS(台帳!$I$2:$I$2000,台帳!$A$2:$A$2000,$A80,台帳!$F$2:$F$2000,P$4)</f>
        <v>0</v>
      </c>
      <c r="Q80" s="46">
        <f>SUMIFS(台帳!$I$2:$I$2000,台帳!$A$2:$A$2000,$A80,台帳!$F$2:$F$2000,Q$4)</f>
        <v>0</v>
      </c>
      <c r="R80" s="46">
        <f>SUMIFS(台帳!$I$2:$I$2000,台帳!$A$2:$A$2000,$A80,台帳!$F$2:$F$2000,R$4)</f>
        <v>0</v>
      </c>
      <c r="S80" s="46">
        <f>SUMIFS(台帳!$I$2:$I$2000,台帳!$A$2:$A$2000,$A80,台帳!$F$2:$F$2000,S$4)</f>
        <v>0</v>
      </c>
      <c r="T80" s="46">
        <f>SUMIFS(台帳!$I$2:$I$2000,台帳!$A$2:$A$2000,$A80,台帳!$F$2:$F$2000,T$4)</f>
        <v>0</v>
      </c>
      <c r="U80" s="46">
        <f>SUMIFS(台帳!$I$2:$I$2000,台帳!$A$2:$A$2000,$A80,台帳!$F$2:$F$2000,U$4)</f>
        <v>0</v>
      </c>
      <c r="V80" s="46">
        <f>SUMIFS(台帳!$I$2:$I$2000,台帳!$A$2:$A$2000,$A80,台帳!$F$2:$F$2000,V$4)</f>
        <v>0</v>
      </c>
      <c r="W80" s="46">
        <f>SUMIFS(台帳!$I$2:$I$2000,台帳!$A$2:$A$2000,$A80,台帳!$F$2:$F$2000,W$4)</f>
        <v>0</v>
      </c>
      <c r="X80" s="46">
        <f>SUMIFS(台帳!$I$2:$I$2000,台帳!$A$2:$A$2000,$A80,台帳!$F$2:$F$2000,X$4)</f>
        <v>0</v>
      </c>
      <c r="Y80" s="46">
        <f>SUMIFS(台帳!$I$2:$I$2000,台帳!$A$2:$A$2000,$A80,台帳!$F$2:$F$2000,Y$4)</f>
        <v>0</v>
      </c>
      <c r="Z80" s="46">
        <f>SUMIFS(台帳!$I$2:$I$2000,台帳!$A$2:$A$2000,$A80,台帳!$F$2:$F$2000,Z$4)</f>
        <v>0</v>
      </c>
      <c r="AA80" s="46">
        <f>SUMIFS(台帳!$I$2:$I$2000,台帳!$A$2:$A$2000,$A80,台帳!$F$2:$F$2000,AA$4)</f>
        <v>0</v>
      </c>
      <c r="AB80" s="46">
        <f>SUMIFS(台帳!$I$2:$I$2000,台帳!$A$2:$A$2000,$A80,台帳!$F$2:$F$2000,AB$4)</f>
        <v>0</v>
      </c>
      <c r="AC80" s="46">
        <f>SUMIFS(台帳!$I$2:$I$2000,台帳!$A$2:$A$2000,$A80,台帳!$F$2:$F$2000,AC$4)</f>
        <v>0</v>
      </c>
      <c r="AD80" s="46">
        <f>SUMIFS(台帳!$I$2:$I$2000,台帳!$A$2:$A$2000,$A80,台帳!$F$2:$F$2000,AD$4)</f>
        <v>0</v>
      </c>
      <c r="AE80" s="46">
        <f>SUMIFS(台帳!$I$2:$I$2000,台帳!$A$2:$A$2000,$A80,台帳!$F$2:$F$2000,AE$4)</f>
        <v>0</v>
      </c>
      <c r="AF80" s="46">
        <f>SUMIFS(台帳!$I$2:$I$2000,台帳!$A$2:$A$2000,$A80,台帳!$F$2:$F$2000,AF$4)</f>
        <v>0</v>
      </c>
      <c r="AG80" s="46">
        <f>SUMIFS(台帳!$I$2:$I$2000,台帳!$A$2:$A$2000,$A80,台帳!$F$2:$F$2000,AG$4)</f>
        <v>0</v>
      </c>
      <c r="AH80" s="46">
        <f>SUMIFS(台帳!$I$2:$I$2000,台帳!$A$2:$A$2000,$A80,台帳!$F$2:$F$2000,AH$4)</f>
        <v>0</v>
      </c>
      <c r="AI80" s="46">
        <f>SUMIFS(台帳!$I$2:$I$2000,台帳!$A$2:$A$2000,$A80,台帳!$F$2:$F$2000,AI$4)</f>
        <v>0</v>
      </c>
      <c r="AJ80" s="46">
        <f>SUMIFS(台帳!$I$2:$I$2000,台帳!$A$2:$A$2000,$A80,台帳!$F$2:$F$2000,AJ$4)</f>
        <v>0</v>
      </c>
      <c r="AK80" s="46">
        <f>SUMIFS(台帳!$I$2:$I$2000,台帳!$A$2:$A$2000,$A80,台帳!$F$2:$F$2000,AK$4)</f>
        <v>0</v>
      </c>
      <c r="AL80" s="46">
        <f>SUMIFS(台帳!$I$2:$I$2000,台帳!$A$2:$A$2000,$A80,台帳!$F$2:$F$2000,AL$4)</f>
        <v>0</v>
      </c>
      <c r="AM80" s="46">
        <f>SUMIFS(台帳!$I$2:$I$2000,台帳!$A$2:$A$2000,$A80,台帳!$F$2:$F$2000,AM$4)</f>
        <v>0</v>
      </c>
      <c r="AN80" s="46">
        <f>SUMIFS(台帳!$I$2:$I$2000,台帳!$A$2:$A$2000,$A80,台帳!$F$2:$F$2000,AN$4)</f>
        <v>0</v>
      </c>
      <c r="AO80" s="46">
        <f>SUMIFS(台帳!$I$2:$I$2000,台帳!$A$2:$A$2000,$A80,台帳!$F$2:$F$2000,AO$4)</f>
        <v>0</v>
      </c>
      <c r="AP80" s="46">
        <f>SUMIFS(台帳!$I$2:$I$2000,台帳!$A$2:$A$2000,$A80,台帳!$F$2:$F$2000,AP$4)</f>
        <v>0</v>
      </c>
      <c r="AQ80" s="46">
        <f>SUMIFS(台帳!$I$2:$I$2000,台帳!$A$2:$A$2000,$A80,台帳!$F$2:$F$2000,AQ$4)</f>
        <v>0</v>
      </c>
      <c r="AR80" s="46">
        <f>SUM(C80:AQ80)</f>
        <v>5</v>
      </c>
    </row>
    <row r="81" spans="1:44" ht="17.25" x14ac:dyDescent="0.35">
      <c r="A81" s="44">
        <v>46208</v>
      </c>
      <c r="B81" s="45" t="str">
        <f>CHOOSE(WEEKDAY(A81),"日","月","火","水","木","金","土")</f>
        <v>日</v>
      </c>
      <c r="C81" s="46">
        <f>SUMIFS(台帳!$I$2:$I$2000,台帳!$A$2:$A$2000,$A81,台帳!$F$2:$F$2000,C$4)</f>
        <v>0</v>
      </c>
      <c r="D81" s="46">
        <f>SUMIFS(台帳!$I$2:$I$2000,台帳!$A$2:$A$2000,$A81,台帳!$F$2:$F$2000,D$4)</f>
        <v>0</v>
      </c>
      <c r="E81" s="46">
        <f>SUMIFS(台帳!$I$2:$I$2000,台帳!$A$2:$A$2000,$A81,台帳!$F$2:$F$2000,E$4)</f>
        <v>0</v>
      </c>
      <c r="F81" s="46">
        <f>SUMIFS(台帳!$I$2:$I$2000,台帳!$A$2:$A$2000,$A81,台帳!$F$2:$F$2000,F$4)</f>
        <v>0</v>
      </c>
      <c r="G81" s="46">
        <f>SUMIFS(台帳!$I$2:$I$2000,台帳!$A$2:$A$2000,$A81,台帳!$F$2:$F$2000,G$4)</f>
        <v>0</v>
      </c>
      <c r="H81" s="46">
        <f>SUMIFS(台帳!$I$2:$I$2000,台帳!$A$2:$A$2000,$A81,台帳!$F$2:$F$2000,H$4)</f>
        <v>0</v>
      </c>
      <c r="I81" s="46">
        <f>SUMIFS(台帳!$I$2:$I$2000,台帳!$A$2:$A$2000,$A81,台帳!$F$2:$F$2000,I$4)</f>
        <v>0</v>
      </c>
      <c r="J81" s="46">
        <f>SUMIFS(台帳!$I$2:$I$2000,台帳!$A$2:$A$2000,$A81,台帳!$F$2:$F$2000,J$4)</f>
        <v>0</v>
      </c>
      <c r="K81" s="46">
        <f>SUMIFS(台帳!$I$2:$I$2000,台帳!$A$2:$A$2000,$A81,台帳!$F$2:$F$2000,K$4)</f>
        <v>0</v>
      </c>
      <c r="L81" s="46">
        <f>SUMIFS(台帳!$I$2:$I$2000,台帳!$A$2:$A$2000,$A81,台帳!$F$2:$F$2000,L$4)</f>
        <v>0</v>
      </c>
      <c r="M81" s="46">
        <f>SUMIFS(台帳!$I$2:$I$2000,台帳!$A$2:$A$2000,$A81,台帳!$F$2:$F$2000,M$4)</f>
        <v>0</v>
      </c>
      <c r="N81" s="46">
        <f>SUMIFS(台帳!$I$2:$I$2000,台帳!$A$2:$A$2000,$A81,台帳!$F$2:$F$2000,N$4)</f>
        <v>0</v>
      </c>
      <c r="O81" s="46">
        <f>SUMIFS(台帳!$I$2:$I$2000,台帳!$A$2:$A$2000,$A81,台帳!$F$2:$F$2000,O$4)</f>
        <v>0</v>
      </c>
      <c r="P81" s="46">
        <f>SUMIFS(台帳!$I$2:$I$2000,台帳!$A$2:$A$2000,$A81,台帳!$F$2:$F$2000,P$4)</f>
        <v>0</v>
      </c>
      <c r="Q81" s="46">
        <f>SUMIFS(台帳!$I$2:$I$2000,台帳!$A$2:$A$2000,$A81,台帳!$F$2:$F$2000,Q$4)</f>
        <v>0</v>
      </c>
      <c r="R81" s="46">
        <f>SUMIFS(台帳!$I$2:$I$2000,台帳!$A$2:$A$2000,$A81,台帳!$F$2:$F$2000,R$4)</f>
        <v>0</v>
      </c>
      <c r="S81" s="46">
        <f>SUMIFS(台帳!$I$2:$I$2000,台帳!$A$2:$A$2000,$A81,台帳!$F$2:$F$2000,S$4)</f>
        <v>0</v>
      </c>
      <c r="T81" s="46">
        <f>SUMIFS(台帳!$I$2:$I$2000,台帳!$A$2:$A$2000,$A81,台帳!$F$2:$F$2000,T$4)</f>
        <v>0</v>
      </c>
      <c r="U81" s="46">
        <f>SUMIFS(台帳!$I$2:$I$2000,台帳!$A$2:$A$2000,$A81,台帳!$F$2:$F$2000,U$4)</f>
        <v>0</v>
      </c>
      <c r="V81" s="46">
        <f>SUMIFS(台帳!$I$2:$I$2000,台帳!$A$2:$A$2000,$A81,台帳!$F$2:$F$2000,V$4)</f>
        <v>0</v>
      </c>
      <c r="W81" s="46">
        <f>SUMIFS(台帳!$I$2:$I$2000,台帳!$A$2:$A$2000,$A81,台帳!$F$2:$F$2000,W$4)</f>
        <v>0</v>
      </c>
      <c r="X81" s="46">
        <f>SUMIFS(台帳!$I$2:$I$2000,台帳!$A$2:$A$2000,$A81,台帳!$F$2:$F$2000,X$4)</f>
        <v>0</v>
      </c>
      <c r="Y81" s="46">
        <f>SUMIFS(台帳!$I$2:$I$2000,台帳!$A$2:$A$2000,$A81,台帳!$F$2:$F$2000,Y$4)</f>
        <v>0</v>
      </c>
      <c r="Z81" s="46">
        <f>SUMIFS(台帳!$I$2:$I$2000,台帳!$A$2:$A$2000,$A81,台帳!$F$2:$F$2000,Z$4)</f>
        <v>0</v>
      </c>
      <c r="AA81" s="46">
        <f>SUMIFS(台帳!$I$2:$I$2000,台帳!$A$2:$A$2000,$A81,台帳!$F$2:$F$2000,AA$4)</f>
        <v>0</v>
      </c>
      <c r="AB81" s="46">
        <f>SUMIFS(台帳!$I$2:$I$2000,台帳!$A$2:$A$2000,$A81,台帳!$F$2:$F$2000,AB$4)</f>
        <v>0</v>
      </c>
      <c r="AC81" s="46">
        <f>SUMIFS(台帳!$I$2:$I$2000,台帳!$A$2:$A$2000,$A81,台帳!$F$2:$F$2000,AC$4)</f>
        <v>0</v>
      </c>
      <c r="AD81" s="46">
        <f>SUMIFS(台帳!$I$2:$I$2000,台帳!$A$2:$A$2000,$A81,台帳!$F$2:$F$2000,AD$4)</f>
        <v>0</v>
      </c>
      <c r="AE81" s="46">
        <f>SUMIFS(台帳!$I$2:$I$2000,台帳!$A$2:$A$2000,$A81,台帳!$F$2:$F$2000,AE$4)</f>
        <v>0</v>
      </c>
      <c r="AF81" s="46">
        <f>SUMIFS(台帳!$I$2:$I$2000,台帳!$A$2:$A$2000,$A81,台帳!$F$2:$F$2000,AF$4)</f>
        <v>0</v>
      </c>
      <c r="AG81" s="46">
        <f>SUMIFS(台帳!$I$2:$I$2000,台帳!$A$2:$A$2000,$A81,台帳!$F$2:$F$2000,AG$4)</f>
        <v>0</v>
      </c>
      <c r="AH81" s="46">
        <f>SUMIFS(台帳!$I$2:$I$2000,台帳!$A$2:$A$2000,$A81,台帳!$F$2:$F$2000,AH$4)</f>
        <v>0</v>
      </c>
      <c r="AI81" s="46">
        <f>SUMIFS(台帳!$I$2:$I$2000,台帳!$A$2:$A$2000,$A81,台帳!$F$2:$F$2000,AI$4)</f>
        <v>0</v>
      </c>
      <c r="AJ81" s="46">
        <f>SUMIFS(台帳!$I$2:$I$2000,台帳!$A$2:$A$2000,$A81,台帳!$F$2:$F$2000,AJ$4)</f>
        <v>0</v>
      </c>
      <c r="AK81" s="46">
        <f>SUMIFS(台帳!$I$2:$I$2000,台帳!$A$2:$A$2000,$A81,台帳!$F$2:$F$2000,AK$4)</f>
        <v>0</v>
      </c>
      <c r="AL81" s="46">
        <f>SUMIFS(台帳!$I$2:$I$2000,台帳!$A$2:$A$2000,$A81,台帳!$F$2:$F$2000,AL$4)</f>
        <v>0</v>
      </c>
      <c r="AM81" s="46">
        <f>SUMIFS(台帳!$I$2:$I$2000,台帳!$A$2:$A$2000,$A81,台帳!$F$2:$F$2000,AM$4)</f>
        <v>0</v>
      </c>
      <c r="AN81" s="46">
        <f>SUMIFS(台帳!$I$2:$I$2000,台帳!$A$2:$A$2000,$A81,台帳!$F$2:$F$2000,AN$4)</f>
        <v>0</v>
      </c>
      <c r="AO81" s="46">
        <f>SUMIFS(台帳!$I$2:$I$2000,台帳!$A$2:$A$2000,$A81,台帳!$F$2:$F$2000,AO$4)</f>
        <v>0</v>
      </c>
      <c r="AP81" s="46">
        <f>SUMIFS(台帳!$I$2:$I$2000,台帳!$A$2:$A$2000,$A81,台帳!$F$2:$F$2000,AP$4)</f>
        <v>0</v>
      </c>
      <c r="AQ81" s="46">
        <f>SUMIFS(台帳!$I$2:$I$2000,台帳!$A$2:$A$2000,$A81,台帳!$F$2:$F$2000,AQ$4)</f>
        <v>0</v>
      </c>
      <c r="AR81" s="46">
        <f>SUM(C81:AQ81)</f>
        <v>0</v>
      </c>
    </row>
    <row r="82" spans="1:44" ht="17.25" x14ac:dyDescent="0.35">
      <c r="A82" s="44">
        <v>46209</v>
      </c>
      <c r="B82" s="45" t="str">
        <f>CHOOSE(WEEKDAY(A82),"日","月","火","水","木","金","土")</f>
        <v>月</v>
      </c>
      <c r="C82" s="46">
        <f>SUMIFS(台帳!$I$2:$I$2000,台帳!$A$2:$A$2000,$A82,台帳!$F$2:$F$2000,C$4)</f>
        <v>0</v>
      </c>
      <c r="D82" s="46">
        <f>SUMIFS(台帳!$I$2:$I$2000,台帳!$A$2:$A$2000,$A82,台帳!$F$2:$F$2000,D$4)</f>
        <v>0</v>
      </c>
      <c r="E82" s="46">
        <f>SUMIFS(台帳!$I$2:$I$2000,台帳!$A$2:$A$2000,$A82,台帳!$F$2:$F$2000,E$4)</f>
        <v>0</v>
      </c>
      <c r="F82" s="46">
        <f>SUMIFS(台帳!$I$2:$I$2000,台帳!$A$2:$A$2000,$A82,台帳!$F$2:$F$2000,F$4)</f>
        <v>0</v>
      </c>
      <c r="G82" s="46">
        <f>SUMIFS(台帳!$I$2:$I$2000,台帳!$A$2:$A$2000,$A82,台帳!$F$2:$F$2000,G$4)</f>
        <v>0</v>
      </c>
      <c r="H82" s="46">
        <f>SUMIFS(台帳!$I$2:$I$2000,台帳!$A$2:$A$2000,$A82,台帳!$F$2:$F$2000,H$4)</f>
        <v>0</v>
      </c>
      <c r="I82" s="46">
        <f>SUMIFS(台帳!$I$2:$I$2000,台帳!$A$2:$A$2000,$A82,台帳!$F$2:$F$2000,I$4)</f>
        <v>0</v>
      </c>
      <c r="J82" s="46">
        <f>SUMIFS(台帳!$I$2:$I$2000,台帳!$A$2:$A$2000,$A82,台帳!$F$2:$F$2000,J$4)</f>
        <v>4</v>
      </c>
      <c r="K82" s="46">
        <f>SUMIFS(台帳!$I$2:$I$2000,台帳!$A$2:$A$2000,$A82,台帳!$F$2:$F$2000,K$4)</f>
        <v>0</v>
      </c>
      <c r="L82" s="46">
        <f>SUMIFS(台帳!$I$2:$I$2000,台帳!$A$2:$A$2000,$A82,台帳!$F$2:$F$2000,L$4)</f>
        <v>0</v>
      </c>
      <c r="M82" s="46">
        <f>SUMIFS(台帳!$I$2:$I$2000,台帳!$A$2:$A$2000,$A82,台帳!$F$2:$F$2000,M$4)</f>
        <v>0</v>
      </c>
      <c r="N82" s="46">
        <f>SUMIFS(台帳!$I$2:$I$2000,台帳!$A$2:$A$2000,$A82,台帳!$F$2:$F$2000,N$4)</f>
        <v>0</v>
      </c>
      <c r="O82" s="46">
        <f>SUMIFS(台帳!$I$2:$I$2000,台帳!$A$2:$A$2000,$A82,台帳!$F$2:$F$2000,O$4)</f>
        <v>0</v>
      </c>
      <c r="P82" s="46">
        <f>SUMIFS(台帳!$I$2:$I$2000,台帳!$A$2:$A$2000,$A82,台帳!$F$2:$F$2000,P$4)</f>
        <v>0</v>
      </c>
      <c r="Q82" s="46">
        <f>SUMIFS(台帳!$I$2:$I$2000,台帳!$A$2:$A$2000,$A82,台帳!$F$2:$F$2000,Q$4)</f>
        <v>0</v>
      </c>
      <c r="R82" s="46">
        <f>SUMIFS(台帳!$I$2:$I$2000,台帳!$A$2:$A$2000,$A82,台帳!$F$2:$F$2000,R$4)</f>
        <v>0</v>
      </c>
      <c r="S82" s="46">
        <f>SUMIFS(台帳!$I$2:$I$2000,台帳!$A$2:$A$2000,$A82,台帳!$F$2:$F$2000,S$4)</f>
        <v>0</v>
      </c>
      <c r="T82" s="46">
        <f>SUMIFS(台帳!$I$2:$I$2000,台帳!$A$2:$A$2000,$A82,台帳!$F$2:$F$2000,T$4)</f>
        <v>0</v>
      </c>
      <c r="U82" s="46">
        <f>SUMIFS(台帳!$I$2:$I$2000,台帳!$A$2:$A$2000,$A82,台帳!$F$2:$F$2000,U$4)</f>
        <v>0</v>
      </c>
      <c r="V82" s="46">
        <f>SUMIFS(台帳!$I$2:$I$2000,台帳!$A$2:$A$2000,$A82,台帳!$F$2:$F$2000,V$4)</f>
        <v>0</v>
      </c>
      <c r="W82" s="46">
        <f>SUMIFS(台帳!$I$2:$I$2000,台帳!$A$2:$A$2000,$A82,台帳!$F$2:$F$2000,W$4)</f>
        <v>0</v>
      </c>
      <c r="X82" s="46">
        <f>SUMIFS(台帳!$I$2:$I$2000,台帳!$A$2:$A$2000,$A82,台帳!$F$2:$F$2000,X$4)</f>
        <v>0</v>
      </c>
      <c r="Y82" s="46">
        <f>SUMIFS(台帳!$I$2:$I$2000,台帳!$A$2:$A$2000,$A82,台帳!$F$2:$F$2000,Y$4)</f>
        <v>0</v>
      </c>
      <c r="Z82" s="46">
        <f>SUMIFS(台帳!$I$2:$I$2000,台帳!$A$2:$A$2000,$A82,台帳!$F$2:$F$2000,Z$4)</f>
        <v>0</v>
      </c>
      <c r="AA82" s="46">
        <f>SUMIFS(台帳!$I$2:$I$2000,台帳!$A$2:$A$2000,$A82,台帳!$F$2:$F$2000,AA$4)</f>
        <v>0</v>
      </c>
      <c r="AB82" s="46">
        <f>SUMIFS(台帳!$I$2:$I$2000,台帳!$A$2:$A$2000,$A82,台帳!$F$2:$F$2000,AB$4)</f>
        <v>0</v>
      </c>
      <c r="AC82" s="46">
        <f>SUMIFS(台帳!$I$2:$I$2000,台帳!$A$2:$A$2000,$A82,台帳!$F$2:$F$2000,AC$4)</f>
        <v>0</v>
      </c>
      <c r="AD82" s="46">
        <f>SUMIFS(台帳!$I$2:$I$2000,台帳!$A$2:$A$2000,$A82,台帳!$F$2:$F$2000,AD$4)</f>
        <v>0</v>
      </c>
      <c r="AE82" s="46">
        <f>SUMIFS(台帳!$I$2:$I$2000,台帳!$A$2:$A$2000,$A82,台帳!$F$2:$F$2000,AE$4)</f>
        <v>0</v>
      </c>
      <c r="AF82" s="46">
        <f>SUMIFS(台帳!$I$2:$I$2000,台帳!$A$2:$A$2000,$A82,台帳!$F$2:$F$2000,AF$4)</f>
        <v>0</v>
      </c>
      <c r="AG82" s="46">
        <f>SUMIFS(台帳!$I$2:$I$2000,台帳!$A$2:$A$2000,$A82,台帳!$F$2:$F$2000,AG$4)</f>
        <v>0</v>
      </c>
      <c r="AH82" s="46">
        <f>SUMIFS(台帳!$I$2:$I$2000,台帳!$A$2:$A$2000,$A82,台帳!$F$2:$F$2000,AH$4)</f>
        <v>0</v>
      </c>
      <c r="AI82" s="46">
        <f>SUMIFS(台帳!$I$2:$I$2000,台帳!$A$2:$A$2000,$A82,台帳!$F$2:$F$2000,AI$4)</f>
        <v>0</v>
      </c>
      <c r="AJ82" s="46">
        <f>SUMIFS(台帳!$I$2:$I$2000,台帳!$A$2:$A$2000,$A82,台帳!$F$2:$F$2000,AJ$4)</f>
        <v>0</v>
      </c>
      <c r="AK82" s="46">
        <f>SUMIFS(台帳!$I$2:$I$2000,台帳!$A$2:$A$2000,$A82,台帳!$F$2:$F$2000,AK$4)</f>
        <v>0</v>
      </c>
      <c r="AL82" s="46">
        <f>SUMIFS(台帳!$I$2:$I$2000,台帳!$A$2:$A$2000,$A82,台帳!$F$2:$F$2000,AL$4)</f>
        <v>0</v>
      </c>
      <c r="AM82" s="46">
        <f>SUMIFS(台帳!$I$2:$I$2000,台帳!$A$2:$A$2000,$A82,台帳!$F$2:$F$2000,AM$4)</f>
        <v>0</v>
      </c>
      <c r="AN82" s="46">
        <f>SUMIFS(台帳!$I$2:$I$2000,台帳!$A$2:$A$2000,$A82,台帳!$F$2:$F$2000,AN$4)</f>
        <v>0</v>
      </c>
      <c r="AO82" s="46">
        <f>SUMIFS(台帳!$I$2:$I$2000,台帳!$A$2:$A$2000,$A82,台帳!$F$2:$F$2000,AO$4)</f>
        <v>0</v>
      </c>
      <c r="AP82" s="46">
        <f>SUMIFS(台帳!$I$2:$I$2000,台帳!$A$2:$A$2000,$A82,台帳!$F$2:$F$2000,AP$4)</f>
        <v>0</v>
      </c>
      <c r="AQ82" s="46">
        <f>SUMIFS(台帳!$I$2:$I$2000,台帳!$A$2:$A$2000,$A82,台帳!$F$2:$F$2000,AQ$4)</f>
        <v>0</v>
      </c>
      <c r="AR82" s="46">
        <f>SUM(C82:AQ82)</f>
        <v>4</v>
      </c>
    </row>
    <row r="83" spans="1:44" ht="17.25" x14ac:dyDescent="0.35">
      <c r="A83" s="44">
        <v>46210</v>
      </c>
      <c r="B83" s="45" t="str">
        <f>CHOOSE(WEEKDAY(A83),"日","月","火","水","木","金","土")</f>
        <v>火</v>
      </c>
      <c r="C83" s="46">
        <f>SUMIFS(台帳!$I$2:$I$2000,台帳!$A$2:$A$2000,$A83,台帳!$F$2:$F$2000,C$4)</f>
        <v>0</v>
      </c>
      <c r="D83" s="46">
        <f>SUMIFS(台帳!$I$2:$I$2000,台帳!$A$2:$A$2000,$A83,台帳!$F$2:$F$2000,D$4)</f>
        <v>0</v>
      </c>
      <c r="E83" s="46">
        <f>SUMIFS(台帳!$I$2:$I$2000,台帳!$A$2:$A$2000,$A83,台帳!$F$2:$F$2000,E$4)</f>
        <v>0</v>
      </c>
      <c r="F83" s="46">
        <f>SUMIFS(台帳!$I$2:$I$2000,台帳!$A$2:$A$2000,$A83,台帳!$F$2:$F$2000,F$4)</f>
        <v>0</v>
      </c>
      <c r="G83" s="46">
        <f>SUMIFS(台帳!$I$2:$I$2000,台帳!$A$2:$A$2000,$A83,台帳!$F$2:$F$2000,G$4)</f>
        <v>0</v>
      </c>
      <c r="H83" s="46">
        <f>SUMIFS(台帳!$I$2:$I$2000,台帳!$A$2:$A$2000,$A83,台帳!$F$2:$F$2000,H$4)</f>
        <v>0</v>
      </c>
      <c r="I83" s="46">
        <f>SUMIFS(台帳!$I$2:$I$2000,台帳!$A$2:$A$2000,$A83,台帳!$F$2:$F$2000,I$4)</f>
        <v>0</v>
      </c>
      <c r="J83" s="46">
        <f>SUMIFS(台帳!$I$2:$I$2000,台帳!$A$2:$A$2000,$A83,台帳!$F$2:$F$2000,J$4)</f>
        <v>5</v>
      </c>
      <c r="K83" s="46">
        <f>SUMIFS(台帳!$I$2:$I$2000,台帳!$A$2:$A$2000,$A83,台帳!$F$2:$F$2000,K$4)</f>
        <v>0</v>
      </c>
      <c r="L83" s="46">
        <f>SUMIFS(台帳!$I$2:$I$2000,台帳!$A$2:$A$2000,$A83,台帳!$F$2:$F$2000,L$4)</f>
        <v>0</v>
      </c>
      <c r="M83" s="46">
        <f>SUMIFS(台帳!$I$2:$I$2000,台帳!$A$2:$A$2000,$A83,台帳!$F$2:$F$2000,M$4)</f>
        <v>0</v>
      </c>
      <c r="N83" s="46">
        <f>SUMIFS(台帳!$I$2:$I$2000,台帳!$A$2:$A$2000,$A83,台帳!$F$2:$F$2000,N$4)</f>
        <v>0</v>
      </c>
      <c r="O83" s="46">
        <f>SUMIFS(台帳!$I$2:$I$2000,台帳!$A$2:$A$2000,$A83,台帳!$F$2:$F$2000,O$4)</f>
        <v>0</v>
      </c>
      <c r="P83" s="46">
        <f>SUMIFS(台帳!$I$2:$I$2000,台帳!$A$2:$A$2000,$A83,台帳!$F$2:$F$2000,P$4)</f>
        <v>0</v>
      </c>
      <c r="Q83" s="46">
        <f>SUMIFS(台帳!$I$2:$I$2000,台帳!$A$2:$A$2000,$A83,台帳!$F$2:$F$2000,Q$4)</f>
        <v>0</v>
      </c>
      <c r="R83" s="46">
        <f>SUMIFS(台帳!$I$2:$I$2000,台帳!$A$2:$A$2000,$A83,台帳!$F$2:$F$2000,R$4)</f>
        <v>0</v>
      </c>
      <c r="S83" s="46">
        <f>SUMIFS(台帳!$I$2:$I$2000,台帳!$A$2:$A$2000,$A83,台帳!$F$2:$F$2000,S$4)</f>
        <v>0</v>
      </c>
      <c r="T83" s="46">
        <f>SUMIFS(台帳!$I$2:$I$2000,台帳!$A$2:$A$2000,$A83,台帳!$F$2:$F$2000,T$4)</f>
        <v>0</v>
      </c>
      <c r="U83" s="46">
        <f>SUMIFS(台帳!$I$2:$I$2000,台帳!$A$2:$A$2000,$A83,台帳!$F$2:$F$2000,U$4)</f>
        <v>0</v>
      </c>
      <c r="V83" s="46">
        <f>SUMIFS(台帳!$I$2:$I$2000,台帳!$A$2:$A$2000,$A83,台帳!$F$2:$F$2000,V$4)</f>
        <v>0</v>
      </c>
      <c r="W83" s="46">
        <f>SUMIFS(台帳!$I$2:$I$2000,台帳!$A$2:$A$2000,$A83,台帳!$F$2:$F$2000,W$4)</f>
        <v>0</v>
      </c>
      <c r="X83" s="46">
        <f>SUMIFS(台帳!$I$2:$I$2000,台帳!$A$2:$A$2000,$A83,台帳!$F$2:$F$2000,X$4)</f>
        <v>0</v>
      </c>
      <c r="Y83" s="46">
        <f>SUMIFS(台帳!$I$2:$I$2000,台帳!$A$2:$A$2000,$A83,台帳!$F$2:$F$2000,Y$4)</f>
        <v>0</v>
      </c>
      <c r="Z83" s="46">
        <f>SUMIFS(台帳!$I$2:$I$2000,台帳!$A$2:$A$2000,$A83,台帳!$F$2:$F$2000,Z$4)</f>
        <v>0</v>
      </c>
      <c r="AA83" s="46">
        <f>SUMIFS(台帳!$I$2:$I$2000,台帳!$A$2:$A$2000,$A83,台帳!$F$2:$F$2000,AA$4)</f>
        <v>0</v>
      </c>
      <c r="AB83" s="46">
        <f>SUMIFS(台帳!$I$2:$I$2000,台帳!$A$2:$A$2000,$A83,台帳!$F$2:$F$2000,AB$4)</f>
        <v>0</v>
      </c>
      <c r="AC83" s="46">
        <f>SUMIFS(台帳!$I$2:$I$2000,台帳!$A$2:$A$2000,$A83,台帳!$F$2:$F$2000,AC$4)</f>
        <v>0</v>
      </c>
      <c r="AD83" s="46">
        <f>SUMIFS(台帳!$I$2:$I$2000,台帳!$A$2:$A$2000,$A83,台帳!$F$2:$F$2000,AD$4)</f>
        <v>0</v>
      </c>
      <c r="AE83" s="46">
        <f>SUMIFS(台帳!$I$2:$I$2000,台帳!$A$2:$A$2000,$A83,台帳!$F$2:$F$2000,AE$4)</f>
        <v>0</v>
      </c>
      <c r="AF83" s="46">
        <f>SUMIFS(台帳!$I$2:$I$2000,台帳!$A$2:$A$2000,$A83,台帳!$F$2:$F$2000,AF$4)</f>
        <v>0</v>
      </c>
      <c r="AG83" s="46">
        <f>SUMIFS(台帳!$I$2:$I$2000,台帳!$A$2:$A$2000,$A83,台帳!$F$2:$F$2000,AG$4)</f>
        <v>0</v>
      </c>
      <c r="AH83" s="46">
        <f>SUMIFS(台帳!$I$2:$I$2000,台帳!$A$2:$A$2000,$A83,台帳!$F$2:$F$2000,AH$4)</f>
        <v>0</v>
      </c>
      <c r="AI83" s="46">
        <f>SUMIFS(台帳!$I$2:$I$2000,台帳!$A$2:$A$2000,$A83,台帳!$F$2:$F$2000,AI$4)</f>
        <v>0</v>
      </c>
      <c r="AJ83" s="46">
        <f>SUMIFS(台帳!$I$2:$I$2000,台帳!$A$2:$A$2000,$A83,台帳!$F$2:$F$2000,AJ$4)</f>
        <v>0</v>
      </c>
      <c r="AK83" s="46">
        <f>SUMIFS(台帳!$I$2:$I$2000,台帳!$A$2:$A$2000,$A83,台帳!$F$2:$F$2000,AK$4)</f>
        <v>0</v>
      </c>
      <c r="AL83" s="46">
        <f>SUMIFS(台帳!$I$2:$I$2000,台帳!$A$2:$A$2000,$A83,台帳!$F$2:$F$2000,AL$4)</f>
        <v>0</v>
      </c>
      <c r="AM83" s="46">
        <f>SUMIFS(台帳!$I$2:$I$2000,台帳!$A$2:$A$2000,$A83,台帳!$F$2:$F$2000,AM$4)</f>
        <v>0</v>
      </c>
      <c r="AN83" s="46">
        <f>SUMIFS(台帳!$I$2:$I$2000,台帳!$A$2:$A$2000,$A83,台帳!$F$2:$F$2000,AN$4)</f>
        <v>0</v>
      </c>
      <c r="AO83" s="46">
        <f>SUMIFS(台帳!$I$2:$I$2000,台帳!$A$2:$A$2000,$A83,台帳!$F$2:$F$2000,AO$4)</f>
        <v>0</v>
      </c>
      <c r="AP83" s="46">
        <f>SUMIFS(台帳!$I$2:$I$2000,台帳!$A$2:$A$2000,$A83,台帳!$F$2:$F$2000,AP$4)</f>
        <v>0</v>
      </c>
      <c r="AQ83" s="46">
        <f>SUMIFS(台帳!$I$2:$I$2000,台帳!$A$2:$A$2000,$A83,台帳!$F$2:$F$2000,AQ$4)</f>
        <v>0</v>
      </c>
      <c r="AR83" s="46">
        <f>SUM(C83:AQ83)</f>
        <v>5</v>
      </c>
    </row>
    <row r="84" spans="1:44" ht="17.25" x14ac:dyDescent="0.35">
      <c r="A84" s="44">
        <v>46211</v>
      </c>
      <c r="B84" s="45" t="str">
        <f>CHOOSE(WEEKDAY(A84),"日","月","火","水","木","金","土")</f>
        <v>水</v>
      </c>
      <c r="C84" s="46">
        <f>SUMIFS(台帳!$I$2:$I$2000,台帳!$A$2:$A$2000,$A84,台帳!$F$2:$F$2000,C$4)</f>
        <v>0</v>
      </c>
      <c r="D84" s="46">
        <f>SUMIFS(台帳!$I$2:$I$2000,台帳!$A$2:$A$2000,$A84,台帳!$F$2:$F$2000,D$4)</f>
        <v>0</v>
      </c>
      <c r="E84" s="46">
        <f>SUMIFS(台帳!$I$2:$I$2000,台帳!$A$2:$A$2000,$A84,台帳!$F$2:$F$2000,E$4)</f>
        <v>0</v>
      </c>
      <c r="F84" s="46">
        <f>SUMIFS(台帳!$I$2:$I$2000,台帳!$A$2:$A$2000,$A84,台帳!$F$2:$F$2000,F$4)</f>
        <v>0</v>
      </c>
      <c r="G84" s="46">
        <f>SUMIFS(台帳!$I$2:$I$2000,台帳!$A$2:$A$2000,$A84,台帳!$F$2:$F$2000,G$4)</f>
        <v>0</v>
      </c>
      <c r="H84" s="46">
        <f>SUMIFS(台帳!$I$2:$I$2000,台帳!$A$2:$A$2000,$A84,台帳!$F$2:$F$2000,H$4)</f>
        <v>0</v>
      </c>
      <c r="I84" s="46">
        <f>SUMIFS(台帳!$I$2:$I$2000,台帳!$A$2:$A$2000,$A84,台帳!$F$2:$F$2000,I$4)</f>
        <v>0</v>
      </c>
      <c r="J84" s="46">
        <f>SUMIFS(台帳!$I$2:$I$2000,台帳!$A$2:$A$2000,$A84,台帳!$F$2:$F$2000,J$4)</f>
        <v>0</v>
      </c>
      <c r="K84" s="46">
        <f>SUMIFS(台帳!$I$2:$I$2000,台帳!$A$2:$A$2000,$A84,台帳!$F$2:$F$2000,K$4)</f>
        <v>0</v>
      </c>
      <c r="L84" s="46">
        <f>SUMIFS(台帳!$I$2:$I$2000,台帳!$A$2:$A$2000,$A84,台帳!$F$2:$F$2000,L$4)</f>
        <v>3</v>
      </c>
      <c r="M84" s="46">
        <f>SUMIFS(台帳!$I$2:$I$2000,台帳!$A$2:$A$2000,$A84,台帳!$F$2:$F$2000,M$4)</f>
        <v>1</v>
      </c>
      <c r="N84" s="46">
        <f>SUMIFS(台帳!$I$2:$I$2000,台帳!$A$2:$A$2000,$A84,台帳!$F$2:$F$2000,N$4)</f>
        <v>1</v>
      </c>
      <c r="O84" s="46">
        <f>SUMIFS(台帳!$I$2:$I$2000,台帳!$A$2:$A$2000,$A84,台帳!$F$2:$F$2000,O$4)</f>
        <v>0</v>
      </c>
      <c r="P84" s="46">
        <f>SUMIFS(台帳!$I$2:$I$2000,台帳!$A$2:$A$2000,$A84,台帳!$F$2:$F$2000,P$4)</f>
        <v>0</v>
      </c>
      <c r="Q84" s="46">
        <f>SUMIFS(台帳!$I$2:$I$2000,台帳!$A$2:$A$2000,$A84,台帳!$F$2:$F$2000,Q$4)</f>
        <v>0</v>
      </c>
      <c r="R84" s="46">
        <f>SUMIFS(台帳!$I$2:$I$2000,台帳!$A$2:$A$2000,$A84,台帳!$F$2:$F$2000,R$4)</f>
        <v>0</v>
      </c>
      <c r="S84" s="46">
        <f>SUMIFS(台帳!$I$2:$I$2000,台帳!$A$2:$A$2000,$A84,台帳!$F$2:$F$2000,S$4)</f>
        <v>0</v>
      </c>
      <c r="T84" s="46">
        <f>SUMIFS(台帳!$I$2:$I$2000,台帳!$A$2:$A$2000,$A84,台帳!$F$2:$F$2000,T$4)</f>
        <v>0</v>
      </c>
      <c r="U84" s="46">
        <f>SUMIFS(台帳!$I$2:$I$2000,台帳!$A$2:$A$2000,$A84,台帳!$F$2:$F$2000,U$4)</f>
        <v>0</v>
      </c>
      <c r="V84" s="46">
        <f>SUMIFS(台帳!$I$2:$I$2000,台帳!$A$2:$A$2000,$A84,台帳!$F$2:$F$2000,V$4)</f>
        <v>0</v>
      </c>
      <c r="W84" s="46">
        <f>SUMIFS(台帳!$I$2:$I$2000,台帳!$A$2:$A$2000,$A84,台帳!$F$2:$F$2000,W$4)</f>
        <v>0</v>
      </c>
      <c r="X84" s="46">
        <f>SUMIFS(台帳!$I$2:$I$2000,台帳!$A$2:$A$2000,$A84,台帳!$F$2:$F$2000,X$4)</f>
        <v>0</v>
      </c>
      <c r="Y84" s="46">
        <f>SUMIFS(台帳!$I$2:$I$2000,台帳!$A$2:$A$2000,$A84,台帳!$F$2:$F$2000,Y$4)</f>
        <v>0</v>
      </c>
      <c r="Z84" s="46">
        <f>SUMIFS(台帳!$I$2:$I$2000,台帳!$A$2:$A$2000,$A84,台帳!$F$2:$F$2000,Z$4)</f>
        <v>0</v>
      </c>
      <c r="AA84" s="46">
        <f>SUMIFS(台帳!$I$2:$I$2000,台帳!$A$2:$A$2000,$A84,台帳!$F$2:$F$2000,AA$4)</f>
        <v>0</v>
      </c>
      <c r="AB84" s="46">
        <f>SUMIFS(台帳!$I$2:$I$2000,台帳!$A$2:$A$2000,$A84,台帳!$F$2:$F$2000,AB$4)</f>
        <v>0</v>
      </c>
      <c r="AC84" s="46">
        <f>SUMIFS(台帳!$I$2:$I$2000,台帳!$A$2:$A$2000,$A84,台帳!$F$2:$F$2000,AC$4)</f>
        <v>0</v>
      </c>
      <c r="AD84" s="46">
        <f>SUMIFS(台帳!$I$2:$I$2000,台帳!$A$2:$A$2000,$A84,台帳!$F$2:$F$2000,AD$4)</f>
        <v>0</v>
      </c>
      <c r="AE84" s="46">
        <f>SUMIFS(台帳!$I$2:$I$2000,台帳!$A$2:$A$2000,$A84,台帳!$F$2:$F$2000,AE$4)</f>
        <v>0</v>
      </c>
      <c r="AF84" s="46">
        <f>SUMIFS(台帳!$I$2:$I$2000,台帳!$A$2:$A$2000,$A84,台帳!$F$2:$F$2000,AF$4)</f>
        <v>0</v>
      </c>
      <c r="AG84" s="46">
        <f>SUMIFS(台帳!$I$2:$I$2000,台帳!$A$2:$A$2000,$A84,台帳!$F$2:$F$2000,AG$4)</f>
        <v>0</v>
      </c>
      <c r="AH84" s="46">
        <f>SUMIFS(台帳!$I$2:$I$2000,台帳!$A$2:$A$2000,$A84,台帳!$F$2:$F$2000,AH$4)</f>
        <v>0</v>
      </c>
      <c r="AI84" s="46">
        <f>SUMIFS(台帳!$I$2:$I$2000,台帳!$A$2:$A$2000,$A84,台帳!$F$2:$F$2000,AI$4)</f>
        <v>0</v>
      </c>
      <c r="AJ84" s="46">
        <f>SUMIFS(台帳!$I$2:$I$2000,台帳!$A$2:$A$2000,$A84,台帳!$F$2:$F$2000,AJ$4)</f>
        <v>0</v>
      </c>
      <c r="AK84" s="46">
        <f>SUMIFS(台帳!$I$2:$I$2000,台帳!$A$2:$A$2000,$A84,台帳!$F$2:$F$2000,AK$4)</f>
        <v>0</v>
      </c>
      <c r="AL84" s="46">
        <f>SUMIFS(台帳!$I$2:$I$2000,台帳!$A$2:$A$2000,$A84,台帳!$F$2:$F$2000,AL$4)</f>
        <v>0</v>
      </c>
      <c r="AM84" s="46">
        <f>SUMIFS(台帳!$I$2:$I$2000,台帳!$A$2:$A$2000,$A84,台帳!$F$2:$F$2000,AM$4)</f>
        <v>0</v>
      </c>
      <c r="AN84" s="46">
        <f>SUMIFS(台帳!$I$2:$I$2000,台帳!$A$2:$A$2000,$A84,台帳!$F$2:$F$2000,AN$4)</f>
        <v>0</v>
      </c>
      <c r="AO84" s="46">
        <f>SUMIFS(台帳!$I$2:$I$2000,台帳!$A$2:$A$2000,$A84,台帳!$F$2:$F$2000,AO$4)</f>
        <v>0</v>
      </c>
      <c r="AP84" s="46">
        <f>SUMIFS(台帳!$I$2:$I$2000,台帳!$A$2:$A$2000,$A84,台帳!$F$2:$F$2000,AP$4)</f>
        <v>0</v>
      </c>
      <c r="AQ84" s="46">
        <f>SUMIFS(台帳!$I$2:$I$2000,台帳!$A$2:$A$2000,$A84,台帳!$F$2:$F$2000,AQ$4)</f>
        <v>0</v>
      </c>
      <c r="AR84" s="46">
        <f>SUM(C84:AQ84)</f>
        <v>5</v>
      </c>
    </row>
    <row r="85" spans="1:44" ht="17.25" x14ac:dyDescent="0.35">
      <c r="A85" s="44">
        <v>46212</v>
      </c>
      <c r="B85" s="45" t="str">
        <f>CHOOSE(WEEKDAY(A85),"日","月","火","水","木","金","土")</f>
        <v>木</v>
      </c>
      <c r="C85" s="46">
        <f>SUMIFS(台帳!$I$2:$I$2000,台帳!$A$2:$A$2000,$A85,台帳!$F$2:$F$2000,C$4)</f>
        <v>0</v>
      </c>
      <c r="D85" s="46">
        <f>SUMIFS(台帳!$I$2:$I$2000,台帳!$A$2:$A$2000,$A85,台帳!$F$2:$F$2000,D$4)</f>
        <v>0</v>
      </c>
      <c r="E85" s="46">
        <f>SUMIFS(台帳!$I$2:$I$2000,台帳!$A$2:$A$2000,$A85,台帳!$F$2:$F$2000,E$4)</f>
        <v>0</v>
      </c>
      <c r="F85" s="46">
        <f>SUMIFS(台帳!$I$2:$I$2000,台帳!$A$2:$A$2000,$A85,台帳!$F$2:$F$2000,F$4)</f>
        <v>0</v>
      </c>
      <c r="G85" s="46">
        <f>SUMIFS(台帳!$I$2:$I$2000,台帳!$A$2:$A$2000,$A85,台帳!$F$2:$F$2000,G$4)</f>
        <v>0</v>
      </c>
      <c r="H85" s="46">
        <f>SUMIFS(台帳!$I$2:$I$2000,台帳!$A$2:$A$2000,$A85,台帳!$F$2:$F$2000,H$4)</f>
        <v>0</v>
      </c>
      <c r="I85" s="46">
        <f>SUMIFS(台帳!$I$2:$I$2000,台帳!$A$2:$A$2000,$A85,台帳!$F$2:$F$2000,I$4)</f>
        <v>0</v>
      </c>
      <c r="J85" s="46">
        <f>SUMIFS(台帳!$I$2:$I$2000,台帳!$A$2:$A$2000,$A85,台帳!$F$2:$F$2000,J$4)</f>
        <v>0</v>
      </c>
      <c r="K85" s="46">
        <f>SUMIFS(台帳!$I$2:$I$2000,台帳!$A$2:$A$2000,$A85,台帳!$F$2:$F$2000,K$4)</f>
        <v>0</v>
      </c>
      <c r="L85" s="46">
        <f>SUMIFS(台帳!$I$2:$I$2000,台帳!$A$2:$A$2000,$A85,台帳!$F$2:$F$2000,L$4)</f>
        <v>0</v>
      </c>
      <c r="M85" s="46">
        <f>SUMIFS(台帳!$I$2:$I$2000,台帳!$A$2:$A$2000,$A85,台帳!$F$2:$F$2000,M$4)</f>
        <v>0</v>
      </c>
      <c r="N85" s="46">
        <f>SUMIFS(台帳!$I$2:$I$2000,台帳!$A$2:$A$2000,$A85,台帳!$F$2:$F$2000,N$4)</f>
        <v>0</v>
      </c>
      <c r="O85" s="46">
        <f>SUMIFS(台帳!$I$2:$I$2000,台帳!$A$2:$A$2000,$A85,台帳!$F$2:$F$2000,O$4)</f>
        <v>0</v>
      </c>
      <c r="P85" s="46">
        <f>SUMIFS(台帳!$I$2:$I$2000,台帳!$A$2:$A$2000,$A85,台帳!$F$2:$F$2000,P$4)</f>
        <v>0</v>
      </c>
      <c r="Q85" s="46">
        <f>SUMIFS(台帳!$I$2:$I$2000,台帳!$A$2:$A$2000,$A85,台帳!$F$2:$F$2000,Q$4)</f>
        <v>0</v>
      </c>
      <c r="R85" s="46">
        <f>SUMIFS(台帳!$I$2:$I$2000,台帳!$A$2:$A$2000,$A85,台帳!$F$2:$F$2000,R$4)</f>
        <v>0</v>
      </c>
      <c r="S85" s="46">
        <f>SUMIFS(台帳!$I$2:$I$2000,台帳!$A$2:$A$2000,$A85,台帳!$F$2:$F$2000,S$4)</f>
        <v>0</v>
      </c>
      <c r="T85" s="46">
        <f>SUMIFS(台帳!$I$2:$I$2000,台帳!$A$2:$A$2000,$A85,台帳!$F$2:$F$2000,T$4)</f>
        <v>0</v>
      </c>
      <c r="U85" s="46">
        <f>SUMIFS(台帳!$I$2:$I$2000,台帳!$A$2:$A$2000,$A85,台帳!$F$2:$F$2000,U$4)</f>
        <v>0</v>
      </c>
      <c r="V85" s="46">
        <f>SUMIFS(台帳!$I$2:$I$2000,台帳!$A$2:$A$2000,$A85,台帳!$F$2:$F$2000,V$4)</f>
        <v>0</v>
      </c>
      <c r="W85" s="46">
        <f>SUMIFS(台帳!$I$2:$I$2000,台帳!$A$2:$A$2000,$A85,台帳!$F$2:$F$2000,W$4)</f>
        <v>0</v>
      </c>
      <c r="X85" s="46">
        <f>SUMIFS(台帳!$I$2:$I$2000,台帳!$A$2:$A$2000,$A85,台帳!$F$2:$F$2000,X$4)</f>
        <v>0</v>
      </c>
      <c r="Y85" s="46">
        <f>SUMIFS(台帳!$I$2:$I$2000,台帳!$A$2:$A$2000,$A85,台帳!$F$2:$F$2000,Y$4)</f>
        <v>0</v>
      </c>
      <c r="Z85" s="46">
        <f>SUMIFS(台帳!$I$2:$I$2000,台帳!$A$2:$A$2000,$A85,台帳!$F$2:$F$2000,Z$4)</f>
        <v>0</v>
      </c>
      <c r="AA85" s="46">
        <f>SUMIFS(台帳!$I$2:$I$2000,台帳!$A$2:$A$2000,$A85,台帳!$F$2:$F$2000,AA$4)</f>
        <v>0</v>
      </c>
      <c r="AB85" s="46">
        <f>SUMIFS(台帳!$I$2:$I$2000,台帳!$A$2:$A$2000,$A85,台帳!$F$2:$F$2000,AB$4)</f>
        <v>0</v>
      </c>
      <c r="AC85" s="46">
        <f>SUMIFS(台帳!$I$2:$I$2000,台帳!$A$2:$A$2000,$A85,台帳!$F$2:$F$2000,AC$4)</f>
        <v>0</v>
      </c>
      <c r="AD85" s="46">
        <f>SUMIFS(台帳!$I$2:$I$2000,台帳!$A$2:$A$2000,$A85,台帳!$F$2:$F$2000,AD$4)</f>
        <v>0</v>
      </c>
      <c r="AE85" s="46">
        <f>SUMIFS(台帳!$I$2:$I$2000,台帳!$A$2:$A$2000,$A85,台帳!$F$2:$F$2000,AE$4)</f>
        <v>0</v>
      </c>
      <c r="AF85" s="46">
        <f>SUMIFS(台帳!$I$2:$I$2000,台帳!$A$2:$A$2000,$A85,台帳!$F$2:$F$2000,AF$4)</f>
        <v>0</v>
      </c>
      <c r="AG85" s="46">
        <f>SUMIFS(台帳!$I$2:$I$2000,台帳!$A$2:$A$2000,$A85,台帳!$F$2:$F$2000,AG$4)</f>
        <v>0</v>
      </c>
      <c r="AH85" s="46">
        <f>SUMIFS(台帳!$I$2:$I$2000,台帳!$A$2:$A$2000,$A85,台帳!$F$2:$F$2000,AH$4)</f>
        <v>0</v>
      </c>
      <c r="AI85" s="46">
        <f>SUMIFS(台帳!$I$2:$I$2000,台帳!$A$2:$A$2000,$A85,台帳!$F$2:$F$2000,AI$4)</f>
        <v>0</v>
      </c>
      <c r="AJ85" s="46">
        <f>SUMIFS(台帳!$I$2:$I$2000,台帳!$A$2:$A$2000,$A85,台帳!$F$2:$F$2000,AJ$4)</f>
        <v>0</v>
      </c>
      <c r="AK85" s="46">
        <f>SUMIFS(台帳!$I$2:$I$2000,台帳!$A$2:$A$2000,$A85,台帳!$F$2:$F$2000,AK$4)</f>
        <v>0</v>
      </c>
      <c r="AL85" s="46">
        <f>SUMIFS(台帳!$I$2:$I$2000,台帳!$A$2:$A$2000,$A85,台帳!$F$2:$F$2000,AL$4)</f>
        <v>0</v>
      </c>
      <c r="AM85" s="46">
        <f>SUMIFS(台帳!$I$2:$I$2000,台帳!$A$2:$A$2000,$A85,台帳!$F$2:$F$2000,AM$4)</f>
        <v>0</v>
      </c>
      <c r="AN85" s="46">
        <f>SUMIFS(台帳!$I$2:$I$2000,台帳!$A$2:$A$2000,$A85,台帳!$F$2:$F$2000,AN$4)</f>
        <v>0</v>
      </c>
      <c r="AO85" s="46">
        <f>SUMIFS(台帳!$I$2:$I$2000,台帳!$A$2:$A$2000,$A85,台帳!$F$2:$F$2000,AO$4)</f>
        <v>0</v>
      </c>
      <c r="AP85" s="46">
        <f>SUMIFS(台帳!$I$2:$I$2000,台帳!$A$2:$A$2000,$A85,台帳!$F$2:$F$2000,AP$4)</f>
        <v>0</v>
      </c>
      <c r="AQ85" s="46">
        <f>SUMIFS(台帳!$I$2:$I$2000,台帳!$A$2:$A$2000,$A85,台帳!$F$2:$F$2000,AQ$4)</f>
        <v>0</v>
      </c>
      <c r="AR85" s="46">
        <f>SUM(C85:AQ85)</f>
        <v>0</v>
      </c>
    </row>
    <row r="86" spans="1:44" ht="17.25" x14ac:dyDescent="0.35">
      <c r="A86" s="44">
        <v>46213</v>
      </c>
      <c r="B86" s="45" t="str">
        <f>CHOOSE(WEEKDAY(A86),"日","月","火","水","木","金","土")</f>
        <v>金</v>
      </c>
      <c r="C86" s="46">
        <f>SUMIFS(台帳!$I$2:$I$2000,台帳!$A$2:$A$2000,$A86,台帳!$F$2:$F$2000,C$4)</f>
        <v>0</v>
      </c>
      <c r="D86" s="46">
        <f>SUMIFS(台帳!$I$2:$I$2000,台帳!$A$2:$A$2000,$A86,台帳!$F$2:$F$2000,D$4)</f>
        <v>0</v>
      </c>
      <c r="E86" s="46">
        <f>SUMIFS(台帳!$I$2:$I$2000,台帳!$A$2:$A$2000,$A86,台帳!$F$2:$F$2000,E$4)</f>
        <v>0</v>
      </c>
      <c r="F86" s="46">
        <f>SUMIFS(台帳!$I$2:$I$2000,台帳!$A$2:$A$2000,$A86,台帳!$F$2:$F$2000,F$4)</f>
        <v>0</v>
      </c>
      <c r="G86" s="46">
        <f>SUMIFS(台帳!$I$2:$I$2000,台帳!$A$2:$A$2000,$A86,台帳!$F$2:$F$2000,G$4)</f>
        <v>0</v>
      </c>
      <c r="H86" s="46">
        <f>SUMIFS(台帳!$I$2:$I$2000,台帳!$A$2:$A$2000,$A86,台帳!$F$2:$F$2000,H$4)</f>
        <v>0</v>
      </c>
      <c r="I86" s="46">
        <f>SUMIFS(台帳!$I$2:$I$2000,台帳!$A$2:$A$2000,$A86,台帳!$F$2:$F$2000,I$4)</f>
        <v>0</v>
      </c>
      <c r="J86" s="46">
        <f>SUMIFS(台帳!$I$2:$I$2000,台帳!$A$2:$A$2000,$A86,台帳!$F$2:$F$2000,J$4)</f>
        <v>0</v>
      </c>
      <c r="K86" s="46">
        <f>SUMIFS(台帳!$I$2:$I$2000,台帳!$A$2:$A$2000,$A86,台帳!$F$2:$F$2000,K$4)</f>
        <v>0</v>
      </c>
      <c r="L86" s="46">
        <f>SUMIFS(台帳!$I$2:$I$2000,台帳!$A$2:$A$2000,$A86,台帳!$F$2:$F$2000,L$4)</f>
        <v>0</v>
      </c>
      <c r="M86" s="46">
        <f>SUMIFS(台帳!$I$2:$I$2000,台帳!$A$2:$A$2000,$A86,台帳!$F$2:$F$2000,M$4)</f>
        <v>0</v>
      </c>
      <c r="N86" s="46">
        <f>SUMIFS(台帳!$I$2:$I$2000,台帳!$A$2:$A$2000,$A86,台帳!$F$2:$F$2000,N$4)</f>
        <v>0</v>
      </c>
      <c r="O86" s="46">
        <f>SUMIFS(台帳!$I$2:$I$2000,台帳!$A$2:$A$2000,$A86,台帳!$F$2:$F$2000,O$4)</f>
        <v>0</v>
      </c>
      <c r="P86" s="46">
        <f>SUMIFS(台帳!$I$2:$I$2000,台帳!$A$2:$A$2000,$A86,台帳!$F$2:$F$2000,P$4)</f>
        <v>0</v>
      </c>
      <c r="Q86" s="46">
        <f>SUMIFS(台帳!$I$2:$I$2000,台帳!$A$2:$A$2000,$A86,台帳!$F$2:$F$2000,Q$4)</f>
        <v>0</v>
      </c>
      <c r="R86" s="46">
        <f>SUMIFS(台帳!$I$2:$I$2000,台帳!$A$2:$A$2000,$A86,台帳!$F$2:$F$2000,R$4)</f>
        <v>0</v>
      </c>
      <c r="S86" s="46">
        <f>SUMIFS(台帳!$I$2:$I$2000,台帳!$A$2:$A$2000,$A86,台帳!$F$2:$F$2000,S$4)</f>
        <v>0</v>
      </c>
      <c r="T86" s="46">
        <f>SUMIFS(台帳!$I$2:$I$2000,台帳!$A$2:$A$2000,$A86,台帳!$F$2:$F$2000,T$4)</f>
        <v>0</v>
      </c>
      <c r="U86" s="46">
        <f>SUMIFS(台帳!$I$2:$I$2000,台帳!$A$2:$A$2000,$A86,台帳!$F$2:$F$2000,U$4)</f>
        <v>0</v>
      </c>
      <c r="V86" s="46">
        <f>SUMIFS(台帳!$I$2:$I$2000,台帳!$A$2:$A$2000,$A86,台帳!$F$2:$F$2000,V$4)</f>
        <v>0</v>
      </c>
      <c r="W86" s="46">
        <f>SUMIFS(台帳!$I$2:$I$2000,台帳!$A$2:$A$2000,$A86,台帳!$F$2:$F$2000,W$4)</f>
        <v>0</v>
      </c>
      <c r="X86" s="46">
        <f>SUMIFS(台帳!$I$2:$I$2000,台帳!$A$2:$A$2000,$A86,台帳!$F$2:$F$2000,X$4)</f>
        <v>0</v>
      </c>
      <c r="Y86" s="46">
        <f>SUMIFS(台帳!$I$2:$I$2000,台帳!$A$2:$A$2000,$A86,台帳!$F$2:$F$2000,Y$4)</f>
        <v>0</v>
      </c>
      <c r="Z86" s="46">
        <f>SUMIFS(台帳!$I$2:$I$2000,台帳!$A$2:$A$2000,$A86,台帳!$F$2:$F$2000,Z$4)</f>
        <v>0</v>
      </c>
      <c r="AA86" s="46">
        <f>SUMIFS(台帳!$I$2:$I$2000,台帳!$A$2:$A$2000,$A86,台帳!$F$2:$F$2000,AA$4)</f>
        <v>0</v>
      </c>
      <c r="AB86" s="46">
        <f>SUMIFS(台帳!$I$2:$I$2000,台帳!$A$2:$A$2000,$A86,台帳!$F$2:$F$2000,AB$4)</f>
        <v>0</v>
      </c>
      <c r="AC86" s="46">
        <f>SUMIFS(台帳!$I$2:$I$2000,台帳!$A$2:$A$2000,$A86,台帳!$F$2:$F$2000,AC$4)</f>
        <v>0</v>
      </c>
      <c r="AD86" s="46">
        <f>SUMIFS(台帳!$I$2:$I$2000,台帳!$A$2:$A$2000,$A86,台帳!$F$2:$F$2000,AD$4)</f>
        <v>0</v>
      </c>
      <c r="AE86" s="46">
        <f>SUMIFS(台帳!$I$2:$I$2000,台帳!$A$2:$A$2000,$A86,台帳!$F$2:$F$2000,AE$4)</f>
        <v>0</v>
      </c>
      <c r="AF86" s="46">
        <f>SUMIFS(台帳!$I$2:$I$2000,台帳!$A$2:$A$2000,$A86,台帳!$F$2:$F$2000,AF$4)</f>
        <v>0</v>
      </c>
      <c r="AG86" s="46">
        <f>SUMIFS(台帳!$I$2:$I$2000,台帳!$A$2:$A$2000,$A86,台帳!$F$2:$F$2000,AG$4)</f>
        <v>0</v>
      </c>
      <c r="AH86" s="46">
        <f>SUMIFS(台帳!$I$2:$I$2000,台帳!$A$2:$A$2000,$A86,台帳!$F$2:$F$2000,AH$4)</f>
        <v>0</v>
      </c>
      <c r="AI86" s="46">
        <f>SUMIFS(台帳!$I$2:$I$2000,台帳!$A$2:$A$2000,$A86,台帳!$F$2:$F$2000,AI$4)</f>
        <v>0</v>
      </c>
      <c r="AJ86" s="46">
        <f>SUMIFS(台帳!$I$2:$I$2000,台帳!$A$2:$A$2000,$A86,台帳!$F$2:$F$2000,AJ$4)</f>
        <v>0</v>
      </c>
      <c r="AK86" s="46">
        <f>SUMIFS(台帳!$I$2:$I$2000,台帳!$A$2:$A$2000,$A86,台帳!$F$2:$F$2000,AK$4)</f>
        <v>0</v>
      </c>
      <c r="AL86" s="46">
        <f>SUMIFS(台帳!$I$2:$I$2000,台帳!$A$2:$A$2000,$A86,台帳!$F$2:$F$2000,AL$4)</f>
        <v>0</v>
      </c>
      <c r="AM86" s="46">
        <f>SUMIFS(台帳!$I$2:$I$2000,台帳!$A$2:$A$2000,$A86,台帳!$F$2:$F$2000,AM$4)</f>
        <v>0</v>
      </c>
      <c r="AN86" s="46">
        <f>SUMIFS(台帳!$I$2:$I$2000,台帳!$A$2:$A$2000,$A86,台帳!$F$2:$F$2000,AN$4)</f>
        <v>0</v>
      </c>
      <c r="AO86" s="46">
        <f>SUMIFS(台帳!$I$2:$I$2000,台帳!$A$2:$A$2000,$A86,台帳!$F$2:$F$2000,AO$4)</f>
        <v>0</v>
      </c>
      <c r="AP86" s="46">
        <f>SUMIFS(台帳!$I$2:$I$2000,台帳!$A$2:$A$2000,$A86,台帳!$F$2:$F$2000,AP$4)</f>
        <v>0</v>
      </c>
      <c r="AQ86" s="46">
        <f>SUMIFS(台帳!$I$2:$I$2000,台帳!$A$2:$A$2000,$A86,台帳!$F$2:$F$2000,AQ$4)</f>
        <v>0</v>
      </c>
      <c r="AR86" s="46">
        <f>SUM(C86:AQ86)</f>
        <v>0</v>
      </c>
    </row>
    <row r="87" spans="1:44" ht="17.25" x14ac:dyDescent="0.35">
      <c r="A87" s="44">
        <v>46214</v>
      </c>
      <c r="B87" s="45" t="str">
        <f>CHOOSE(WEEKDAY(A87),"日","月","火","水","木","金","土")</f>
        <v>土</v>
      </c>
      <c r="C87" s="46">
        <f>SUMIFS(台帳!$I$2:$I$2000,台帳!$A$2:$A$2000,$A87,台帳!$F$2:$F$2000,C$4)</f>
        <v>0</v>
      </c>
      <c r="D87" s="46">
        <f>SUMIFS(台帳!$I$2:$I$2000,台帳!$A$2:$A$2000,$A87,台帳!$F$2:$F$2000,D$4)</f>
        <v>0</v>
      </c>
      <c r="E87" s="46">
        <f>SUMIFS(台帳!$I$2:$I$2000,台帳!$A$2:$A$2000,$A87,台帳!$F$2:$F$2000,E$4)</f>
        <v>0</v>
      </c>
      <c r="F87" s="46">
        <f>SUMIFS(台帳!$I$2:$I$2000,台帳!$A$2:$A$2000,$A87,台帳!$F$2:$F$2000,F$4)</f>
        <v>0</v>
      </c>
      <c r="G87" s="46">
        <f>SUMIFS(台帳!$I$2:$I$2000,台帳!$A$2:$A$2000,$A87,台帳!$F$2:$F$2000,G$4)</f>
        <v>0</v>
      </c>
      <c r="H87" s="46">
        <f>SUMIFS(台帳!$I$2:$I$2000,台帳!$A$2:$A$2000,$A87,台帳!$F$2:$F$2000,H$4)</f>
        <v>0</v>
      </c>
      <c r="I87" s="46">
        <f>SUMIFS(台帳!$I$2:$I$2000,台帳!$A$2:$A$2000,$A87,台帳!$F$2:$F$2000,I$4)</f>
        <v>0</v>
      </c>
      <c r="J87" s="46">
        <f>SUMIFS(台帳!$I$2:$I$2000,台帳!$A$2:$A$2000,$A87,台帳!$F$2:$F$2000,J$4)</f>
        <v>0</v>
      </c>
      <c r="K87" s="46">
        <f>SUMIFS(台帳!$I$2:$I$2000,台帳!$A$2:$A$2000,$A87,台帳!$F$2:$F$2000,K$4)</f>
        <v>0</v>
      </c>
      <c r="L87" s="46">
        <f>SUMIFS(台帳!$I$2:$I$2000,台帳!$A$2:$A$2000,$A87,台帳!$F$2:$F$2000,L$4)</f>
        <v>0</v>
      </c>
      <c r="M87" s="46">
        <f>SUMIFS(台帳!$I$2:$I$2000,台帳!$A$2:$A$2000,$A87,台帳!$F$2:$F$2000,M$4)</f>
        <v>0</v>
      </c>
      <c r="N87" s="46">
        <f>SUMIFS(台帳!$I$2:$I$2000,台帳!$A$2:$A$2000,$A87,台帳!$F$2:$F$2000,N$4)</f>
        <v>0</v>
      </c>
      <c r="O87" s="46">
        <f>SUMIFS(台帳!$I$2:$I$2000,台帳!$A$2:$A$2000,$A87,台帳!$F$2:$F$2000,O$4)</f>
        <v>0</v>
      </c>
      <c r="P87" s="46">
        <f>SUMIFS(台帳!$I$2:$I$2000,台帳!$A$2:$A$2000,$A87,台帳!$F$2:$F$2000,P$4)</f>
        <v>0</v>
      </c>
      <c r="Q87" s="46">
        <f>SUMIFS(台帳!$I$2:$I$2000,台帳!$A$2:$A$2000,$A87,台帳!$F$2:$F$2000,Q$4)</f>
        <v>0</v>
      </c>
      <c r="R87" s="46">
        <f>SUMIFS(台帳!$I$2:$I$2000,台帳!$A$2:$A$2000,$A87,台帳!$F$2:$F$2000,R$4)</f>
        <v>0</v>
      </c>
      <c r="S87" s="46">
        <f>SUMIFS(台帳!$I$2:$I$2000,台帳!$A$2:$A$2000,$A87,台帳!$F$2:$F$2000,S$4)</f>
        <v>0</v>
      </c>
      <c r="T87" s="46">
        <f>SUMIFS(台帳!$I$2:$I$2000,台帳!$A$2:$A$2000,$A87,台帳!$F$2:$F$2000,T$4)</f>
        <v>0</v>
      </c>
      <c r="U87" s="46">
        <f>SUMIFS(台帳!$I$2:$I$2000,台帳!$A$2:$A$2000,$A87,台帳!$F$2:$F$2000,U$4)</f>
        <v>0</v>
      </c>
      <c r="V87" s="46">
        <f>SUMIFS(台帳!$I$2:$I$2000,台帳!$A$2:$A$2000,$A87,台帳!$F$2:$F$2000,V$4)</f>
        <v>0</v>
      </c>
      <c r="W87" s="46">
        <f>SUMIFS(台帳!$I$2:$I$2000,台帳!$A$2:$A$2000,$A87,台帳!$F$2:$F$2000,W$4)</f>
        <v>0</v>
      </c>
      <c r="X87" s="46">
        <f>SUMIFS(台帳!$I$2:$I$2000,台帳!$A$2:$A$2000,$A87,台帳!$F$2:$F$2000,X$4)</f>
        <v>0</v>
      </c>
      <c r="Y87" s="46">
        <f>SUMIFS(台帳!$I$2:$I$2000,台帳!$A$2:$A$2000,$A87,台帳!$F$2:$F$2000,Y$4)</f>
        <v>0</v>
      </c>
      <c r="Z87" s="46">
        <f>SUMIFS(台帳!$I$2:$I$2000,台帳!$A$2:$A$2000,$A87,台帳!$F$2:$F$2000,Z$4)</f>
        <v>0</v>
      </c>
      <c r="AA87" s="46">
        <f>SUMIFS(台帳!$I$2:$I$2000,台帳!$A$2:$A$2000,$A87,台帳!$F$2:$F$2000,AA$4)</f>
        <v>0</v>
      </c>
      <c r="AB87" s="46">
        <f>SUMIFS(台帳!$I$2:$I$2000,台帳!$A$2:$A$2000,$A87,台帳!$F$2:$F$2000,AB$4)</f>
        <v>0</v>
      </c>
      <c r="AC87" s="46">
        <f>SUMIFS(台帳!$I$2:$I$2000,台帳!$A$2:$A$2000,$A87,台帳!$F$2:$F$2000,AC$4)</f>
        <v>0</v>
      </c>
      <c r="AD87" s="46">
        <f>SUMIFS(台帳!$I$2:$I$2000,台帳!$A$2:$A$2000,$A87,台帳!$F$2:$F$2000,AD$4)</f>
        <v>0</v>
      </c>
      <c r="AE87" s="46">
        <f>SUMIFS(台帳!$I$2:$I$2000,台帳!$A$2:$A$2000,$A87,台帳!$F$2:$F$2000,AE$4)</f>
        <v>0</v>
      </c>
      <c r="AF87" s="46">
        <f>SUMIFS(台帳!$I$2:$I$2000,台帳!$A$2:$A$2000,$A87,台帳!$F$2:$F$2000,AF$4)</f>
        <v>0</v>
      </c>
      <c r="AG87" s="46">
        <f>SUMIFS(台帳!$I$2:$I$2000,台帳!$A$2:$A$2000,$A87,台帳!$F$2:$F$2000,AG$4)</f>
        <v>0</v>
      </c>
      <c r="AH87" s="46">
        <f>SUMIFS(台帳!$I$2:$I$2000,台帳!$A$2:$A$2000,$A87,台帳!$F$2:$F$2000,AH$4)</f>
        <v>0</v>
      </c>
      <c r="AI87" s="46">
        <f>SUMIFS(台帳!$I$2:$I$2000,台帳!$A$2:$A$2000,$A87,台帳!$F$2:$F$2000,AI$4)</f>
        <v>0</v>
      </c>
      <c r="AJ87" s="46">
        <f>SUMIFS(台帳!$I$2:$I$2000,台帳!$A$2:$A$2000,$A87,台帳!$F$2:$F$2000,AJ$4)</f>
        <v>0</v>
      </c>
      <c r="AK87" s="46">
        <f>SUMIFS(台帳!$I$2:$I$2000,台帳!$A$2:$A$2000,$A87,台帳!$F$2:$F$2000,AK$4)</f>
        <v>0</v>
      </c>
      <c r="AL87" s="46">
        <f>SUMIFS(台帳!$I$2:$I$2000,台帳!$A$2:$A$2000,$A87,台帳!$F$2:$F$2000,AL$4)</f>
        <v>0</v>
      </c>
      <c r="AM87" s="46">
        <f>SUMIFS(台帳!$I$2:$I$2000,台帳!$A$2:$A$2000,$A87,台帳!$F$2:$F$2000,AM$4)</f>
        <v>0</v>
      </c>
      <c r="AN87" s="46">
        <f>SUMIFS(台帳!$I$2:$I$2000,台帳!$A$2:$A$2000,$A87,台帳!$F$2:$F$2000,AN$4)</f>
        <v>0</v>
      </c>
      <c r="AO87" s="46">
        <f>SUMIFS(台帳!$I$2:$I$2000,台帳!$A$2:$A$2000,$A87,台帳!$F$2:$F$2000,AO$4)</f>
        <v>0</v>
      </c>
      <c r="AP87" s="46">
        <f>SUMIFS(台帳!$I$2:$I$2000,台帳!$A$2:$A$2000,$A87,台帳!$F$2:$F$2000,AP$4)</f>
        <v>0</v>
      </c>
      <c r="AQ87" s="46">
        <f>SUMIFS(台帳!$I$2:$I$2000,台帳!$A$2:$A$2000,$A87,台帳!$F$2:$F$2000,AQ$4)</f>
        <v>0</v>
      </c>
      <c r="AR87" s="46">
        <f>SUM(C87:AQ87)</f>
        <v>0</v>
      </c>
    </row>
    <row r="88" spans="1:44" ht="17.25" x14ac:dyDescent="0.35">
      <c r="A88" s="44">
        <v>46215</v>
      </c>
      <c r="B88" s="45" t="str">
        <f>CHOOSE(WEEKDAY(A88),"日","月","火","水","木","金","土")</f>
        <v>日</v>
      </c>
      <c r="C88" s="46">
        <f>SUMIFS(台帳!$I$2:$I$2000,台帳!$A$2:$A$2000,$A88,台帳!$F$2:$F$2000,C$4)</f>
        <v>0</v>
      </c>
      <c r="D88" s="46">
        <f>SUMIFS(台帳!$I$2:$I$2000,台帳!$A$2:$A$2000,$A88,台帳!$F$2:$F$2000,D$4)</f>
        <v>0</v>
      </c>
      <c r="E88" s="46">
        <f>SUMIFS(台帳!$I$2:$I$2000,台帳!$A$2:$A$2000,$A88,台帳!$F$2:$F$2000,E$4)</f>
        <v>0</v>
      </c>
      <c r="F88" s="46">
        <f>SUMIFS(台帳!$I$2:$I$2000,台帳!$A$2:$A$2000,$A88,台帳!$F$2:$F$2000,F$4)</f>
        <v>0</v>
      </c>
      <c r="G88" s="46">
        <f>SUMIFS(台帳!$I$2:$I$2000,台帳!$A$2:$A$2000,$A88,台帳!$F$2:$F$2000,G$4)</f>
        <v>0</v>
      </c>
      <c r="H88" s="46">
        <f>SUMIFS(台帳!$I$2:$I$2000,台帳!$A$2:$A$2000,$A88,台帳!$F$2:$F$2000,H$4)</f>
        <v>0</v>
      </c>
      <c r="I88" s="46">
        <f>SUMIFS(台帳!$I$2:$I$2000,台帳!$A$2:$A$2000,$A88,台帳!$F$2:$F$2000,I$4)</f>
        <v>0</v>
      </c>
      <c r="J88" s="46">
        <f>SUMIFS(台帳!$I$2:$I$2000,台帳!$A$2:$A$2000,$A88,台帳!$F$2:$F$2000,J$4)</f>
        <v>0</v>
      </c>
      <c r="K88" s="46">
        <f>SUMIFS(台帳!$I$2:$I$2000,台帳!$A$2:$A$2000,$A88,台帳!$F$2:$F$2000,K$4)</f>
        <v>0</v>
      </c>
      <c r="L88" s="46">
        <f>SUMIFS(台帳!$I$2:$I$2000,台帳!$A$2:$A$2000,$A88,台帳!$F$2:$F$2000,L$4)</f>
        <v>0</v>
      </c>
      <c r="M88" s="46">
        <f>SUMIFS(台帳!$I$2:$I$2000,台帳!$A$2:$A$2000,$A88,台帳!$F$2:$F$2000,M$4)</f>
        <v>0</v>
      </c>
      <c r="N88" s="46">
        <f>SUMIFS(台帳!$I$2:$I$2000,台帳!$A$2:$A$2000,$A88,台帳!$F$2:$F$2000,N$4)</f>
        <v>0</v>
      </c>
      <c r="O88" s="46">
        <f>SUMIFS(台帳!$I$2:$I$2000,台帳!$A$2:$A$2000,$A88,台帳!$F$2:$F$2000,O$4)</f>
        <v>1</v>
      </c>
      <c r="P88" s="46">
        <f>SUMIFS(台帳!$I$2:$I$2000,台帳!$A$2:$A$2000,$A88,台帳!$F$2:$F$2000,P$4)</f>
        <v>0</v>
      </c>
      <c r="Q88" s="46">
        <f>SUMIFS(台帳!$I$2:$I$2000,台帳!$A$2:$A$2000,$A88,台帳!$F$2:$F$2000,Q$4)</f>
        <v>0</v>
      </c>
      <c r="R88" s="46">
        <f>SUMIFS(台帳!$I$2:$I$2000,台帳!$A$2:$A$2000,$A88,台帳!$F$2:$F$2000,R$4)</f>
        <v>0</v>
      </c>
      <c r="S88" s="46">
        <f>SUMIFS(台帳!$I$2:$I$2000,台帳!$A$2:$A$2000,$A88,台帳!$F$2:$F$2000,S$4)</f>
        <v>0</v>
      </c>
      <c r="T88" s="46">
        <f>SUMIFS(台帳!$I$2:$I$2000,台帳!$A$2:$A$2000,$A88,台帳!$F$2:$F$2000,T$4)</f>
        <v>0</v>
      </c>
      <c r="U88" s="46">
        <f>SUMIFS(台帳!$I$2:$I$2000,台帳!$A$2:$A$2000,$A88,台帳!$F$2:$F$2000,U$4)</f>
        <v>0</v>
      </c>
      <c r="V88" s="46">
        <f>SUMIFS(台帳!$I$2:$I$2000,台帳!$A$2:$A$2000,$A88,台帳!$F$2:$F$2000,V$4)</f>
        <v>0</v>
      </c>
      <c r="W88" s="46">
        <f>SUMIFS(台帳!$I$2:$I$2000,台帳!$A$2:$A$2000,$A88,台帳!$F$2:$F$2000,W$4)</f>
        <v>0</v>
      </c>
      <c r="X88" s="46">
        <f>SUMIFS(台帳!$I$2:$I$2000,台帳!$A$2:$A$2000,$A88,台帳!$F$2:$F$2000,X$4)</f>
        <v>0</v>
      </c>
      <c r="Y88" s="46">
        <f>SUMIFS(台帳!$I$2:$I$2000,台帳!$A$2:$A$2000,$A88,台帳!$F$2:$F$2000,Y$4)</f>
        <v>0</v>
      </c>
      <c r="Z88" s="46">
        <f>SUMIFS(台帳!$I$2:$I$2000,台帳!$A$2:$A$2000,$A88,台帳!$F$2:$F$2000,Z$4)</f>
        <v>0</v>
      </c>
      <c r="AA88" s="46">
        <f>SUMIFS(台帳!$I$2:$I$2000,台帳!$A$2:$A$2000,$A88,台帳!$F$2:$F$2000,AA$4)</f>
        <v>0</v>
      </c>
      <c r="AB88" s="46">
        <f>SUMIFS(台帳!$I$2:$I$2000,台帳!$A$2:$A$2000,$A88,台帳!$F$2:$F$2000,AB$4)</f>
        <v>0</v>
      </c>
      <c r="AC88" s="46">
        <f>SUMIFS(台帳!$I$2:$I$2000,台帳!$A$2:$A$2000,$A88,台帳!$F$2:$F$2000,AC$4)</f>
        <v>0</v>
      </c>
      <c r="AD88" s="46">
        <f>SUMIFS(台帳!$I$2:$I$2000,台帳!$A$2:$A$2000,$A88,台帳!$F$2:$F$2000,AD$4)</f>
        <v>0</v>
      </c>
      <c r="AE88" s="46">
        <f>SUMIFS(台帳!$I$2:$I$2000,台帳!$A$2:$A$2000,$A88,台帳!$F$2:$F$2000,AE$4)</f>
        <v>0</v>
      </c>
      <c r="AF88" s="46">
        <f>SUMIFS(台帳!$I$2:$I$2000,台帳!$A$2:$A$2000,$A88,台帳!$F$2:$F$2000,AF$4)</f>
        <v>0</v>
      </c>
      <c r="AG88" s="46">
        <f>SUMIFS(台帳!$I$2:$I$2000,台帳!$A$2:$A$2000,$A88,台帳!$F$2:$F$2000,AG$4)</f>
        <v>0</v>
      </c>
      <c r="AH88" s="46">
        <f>SUMIFS(台帳!$I$2:$I$2000,台帳!$A$2:$A$2000,$A88,台帳!$F$2:$F$2000,AH$4)</f>
        <v>0</v>
      </c>
      <c r="AI88" s="46">
        <f>SUMIFS(台帳!$I$2:$I$2000,台帳!$A$2:$A$2000,$A88,台帳!$F$2:$F$2000,AI$4)</f>
        <v>0</v>
      </c>
      <c r="AJ88" s="46">
        <f>SUMIFS(台帳!$I$2:$I$2000,台帳!$A$2:$A$2000,$A88,台帳!$F$2:$F$2000,AJ$4)</f>
        <v>0</v>
      </c>
      <c r="AK88" s="46">
        <f>SUMIFS(台帳!$I$2:$I$2000,台帳!$A$2:$A$2000,$A88,台帳!$F$2:$F$2000,AK$4)</f>
        <v>0</v>
      </c>
      <c r="AL88" s="46">
        <f>SUMIFS(台帳!$I$2:$I$2000,台帳!$A$2:$A$2000,$A88,台帳!$F$2:$F$2000,AL$4)</f>
        <v>0</v>
      </c>
      <c r="AM88" s="46">
        <f>SUMIFS(台帳!$I$2:$I$2000,台帳!$A$2:$A$2000,$A88,台帳!$F$2:$F$2000,AM$4)</f>
        <v>0</v>
      </c>
      <c r="AN88" s="46">
        <f>SUMIFS(台帳!$I$2:$I$2000,台帳!$A$2:$A$2000,$A88,台帳!$F$2:$F$2000,AN$4)</f>
        <v>0</v>
      </c>
      <c r="AO88" s="46">
        <f>SUMIFS(台帳!$I$2:$I$2000,台帳!$A$2:$A$2000,$A88,台帳!$F$2:$F$2000,AO$4)</f>
        <v>0</v>
      </c>
      <c r="AP88" s="46">
        <f>SUMIFS(台帳!$I$2:$I$2000,台帳!$A$2:$A$2000,$A88,台帳!$F$2:$F$2000,AP$4)</f>
        <v>0</v>
      </c>
      <c r="AQ88" s="46">
        <f>SUMIFS(台帳!$I$2:$I$2000,台帳!$A$2:$A$2000,$A88,台帳!$F$2:$F$2000,AQ$4)</f>
        <v>0</v>
      </c>
      <c r="AR88" s="46">
        <f>SUM(C88:AQ88)</f>
        <v>1</v>
      </c>
    </row>
    <row r="89" spans="1:44" ht="17.25" x14ac:dyDescent="0.35">
      <c r="A89" s="44">
        <v>46216</v>
      </c>
      <c r="B89" s="45" t="str">
        <f>CHOOSE(WEEKDAY(A89),"日","月","火","水","木","金","土")</f>
        <v>月</v>
      </c>
      <c r="C89" s="46">
        <f>SUMIFS(台帳!$I$2:$I$2000,台帳!$A$2:$A$2000,$A89,台帳!$F$2:$F$2000,C$4)</f>
        <v>0</v>
      </c>
      <c r="D89" s="46">
        <f>SUMIFS(台帳!$I$2:$I$2000,台帳!$A$2:$A$2000,$A89,台帳!$F$2:$F$2000,D$4)</f>
        <v>0</v>
      </c>
      <c r="E89" s="46">
        <f>SUMIFS(台帳!$I$2:$I$2000,台帳!$A$2:$A$2000,$A89,台帳!$F$2:$F$2000,E$4)</f>
        <v>0</v>
      </c>
      <c r="F89" s="46">
        <f>SUMIFS(台帳!$I$2:$I$2000,台帳!$A$2:$A$2000,$A89,台帳!$F$2:$F$2000,F$4)</f>
        <v>0</v>
      </c>
      <c r="G89" s="46">
        <f>SUMIFS(台帳!$I$2:$I$2000,台帳!$A$2:$A$2000,$A89,台帳!$F$2:$F$2000,G$4)</f>
        <v>0</v>
      </c>
      <c r="H89" s="46">
        <f>SUMIFS(台帳!$I$2:$I$2000,台帳!$A$2:$A$2000,$A89,台帳!$F$2:$F$2000,H$4)</f>
        <v>0</v>
      </c>
      <c r="I89" s="46">
        <f>SUMIFS(台帳!$I$2:$I$2000,台帳!$A$2:$A$2000,$A89,台帳!$F$2:$F$2000,I$4)</f>
        <v>0</v>
      </c>
      <c r="J89" s="46">
        <f>SUMIFS(台帳!$I$2:$I$2000,台帳!$A$2:$A$2000,$A89,台帳!$F$2:$F$2000,J$4)</f>
        <v>0</v>
      </c>
      <c r="K89" s="46">
        <f>SUMIFS(台帳!$I$2:$I$2000,台帳!$A$2:$A$2000,$A89,台帳!$F$2:$F$2000,K$4)</f>
        <v>0</v>
      </c>
      <c r="L89" s="46">
        <f>SUMIFS(台帳!$I$2:$I$2000,台帳!$A$2:$A$2000,$A89,台帳!$F$2:$F$2000,L$4)</f>
        <v>0</v>
      </c>
      <c r="M89" s="46">
        <f>SUMIFS(台帳!$I$2:$I$2000,台帳!$A$2:$A$2000,$A89,台帳!$F$2:$F$2000,M$4)</f>
        <v>0</v>
      </c>
      <c r="N89" s="46">
        <f>SUMIFS(台帳!$I$2:$I$2000,台帳!$A$2:$A$2000,$A89,台帳!$F$2:$F$2000,N$4)</f>
        <v>0</v>
      </c>
      <c r="O89" s="46">
        <f>SUMIFS(台帳!$I$2:$I$2000,台帳!$A$2:$A$2000,$A89,台帳!$F$2:$F$2000,O$4)</f>
        <v>4</v>
      </c>
      <c r="P89" s="46">
        <f>SUMIFS(台帳!$I$2:$I$2000,台帳!$A$2:$A$2000,$A89,台帳!$F$2:$F$2000,P$4)</f>
        <v>0</v>
      </c>
      <c r="Q89" s="46">
        <f>SUMIFS(台帳!$I$2:$I$2000,台帳!$A$2:$A$2000,$A89,台帳!$F$2:$F$2000,Q$4)</f>
        <v>0</v>
      </c>
      <c r="R89" s="46">
        <f>SUMIFS(台帳!$I$2:$I$2000,台帳!$A$2:$A$2000,$A89,台帳!$F$2:$F$2000,R$4)</f>
        <v>0</v>
      </c>
      <c r="S89" s="46">
        <f>SUMIFS(台帳!$I$2:$I$2000,台帳!$A$2:$A$2000,$A89,台帳!$F$2:$F$2000,S$4)</f>
        <v>0</v>
      </c>
      <c r="T89" s="46">
        <f>SUMIFS(台帳!$I$2:$I$2000,台帳!$A$2:$A$2000,$A89,台帳!$F$2:$F$2000,T$4)</f>
        <v>0</v>
      </c>
      <c r="U89" s="46">
        <f>SUMIFS(台帳!$I$2:$I$2000,台帳!$A$2:$A$2000,$A89,台帳!$F$2:$F$2000,U$4)</f>
        <v>0</v>
      </c>
      <c r="V89" s="46">
        <f>SUMIFS(台帳!$I$2:$I$2000,台帳!$A$2:$A$2000,$A89,台帳!$F$2:$F$2000,V$4)</f>
        <v>0</v>
      </c>
      <c r="W89" s="46">
        <f>SUMIFS(台帳!$I$2:$I$2000,台帳!$A$2:$A$2000,$A89,台帳!$F$2:$F$2000,W$4)</f>
        <v>0</v>
      </c>
      <c r="X89" s="46">
        <f>SUMIFS(台帳!$I$2:$I$2000,台帳!$A$2:$A$2000,$A89,台帳!$F$2:$F$2000,X$4)</f>
        <v>0</v>
      </c>
      <c r="Y89" s="46">
        <f>SUMIFS(台帳!$I$2:$I$2000,台帳!$A$2:$A$2000,$A89,台帳!$F$2:$F$2000,Y$4)</f>
        <v>0</v>
      </c>
      <c r="Z89" s="46">
        <f>SUMIFS(台帳!$I$2:$I$2000,台帳!$A$2:$A$2000,$A89,台帳!$F$2:$F$2000,Z$4)</f>
        <v>0</v>
      </c>
      <c r="AA89" s="46">
        <f>SUMIFS(台帳!$I$2:$I$2000,台帳!$A$2:$A$2000,$A89,台帳!$F$2:$F$2000,AA$4)</f>
        <v>0</v>
      </c>
      <c r="AB89" s="46">
        <f>SUMIFS(台帳!$I$2:$I$2000,台帳!$A$2:$A$2000,$A89,台帳!$F$2:$F$2000,AB$4)</f>
        <v>0</v>
      </c>
      <c r="AC89" s="46">
        <f>SUMIFS(台帳!$I$2:$I$2000,台帳!$A$2:$A$2000,$A89,台帳!$F$2:$F$2000,AC$4)</f>
        <v>0</v>
      </c>
      <c r="AD89" s="46">
        <f>SUMIFS(台帳!$I$2:$I$2000,台帳!$A$2:$A$2000,$A89,台帳!$F$2:$F$2000,AD$4)</f>
        <v>0</v>
      </c>
      <c r="AE89" s="46">
        <f>SUMIFS(台帳!$I$2:$I$2000,台帳!$A$2:$A$2000,$A89,台帳!$F$2:$F$2000,AE$4)</f>
        <v>0</v>
      </c>
      <c r="AF89" s="46">
        <f>SUMIFS(台帳!$I$2:$I$2000,台帳!$A$2:$A$2000,$A89,台帳!$F$2:$F$2000,AF$4)</f>
        <v>0</v>
      </c>
      <c r="AG89" s="46">
        <f>SUMIFS(台帳!$I$2:$I$2000,台帳!$A$2:$A$2000,$A89,台帳!$F$2:$F$2000,AG$4)</f>
        <v>0</v>
      </c>
      <c r="AH89" s="46">
        <f>SUMIFS(台帳!$I$2:$I$2000,台帳!$A$2:$A$2000,$A89,台帳!$F$2:$F$2000,AH$4)</f>
        <v>0</v>
      </c>
      <c r="AI89" s="46">
        <f>SUMIFS(台帳!$I$2:$I$2000,台帳!$A$2:$A$2000,$A89,台帳!$F$2:$F$2000,AI$4)</f>
        <v>0</v>
      </c>
      <c r="AJ89" s="46">
        <f>SUMIFS(台帳!$I$2:$I$2000,台帳!$A$2:$A$2000,$A89,台帳!$F$2:$F$2000,AJ$4)</f>
        <v>0</v>
      </c>
      <c r="AK89" s="46">
        <f>SUMIFS(台帳!$I$2:$I$2000,台帳!$A$2:$A$2000,$A89,台帳!$F$2:$F$2000,AK$4)</f>
        <v>0</v>
      </c>
      <c r="AL89" s="46">
        <f>SUMIFS(台帳!$I$2:$I$2000,台帳!$A$2:$A$2000,$A89,台帳!$F$2:$F$2000,AL$4)</f>
        <v>0</v>
      </c>
      <c r="AM89" s="46">
        <f>SUMIFS(台帳!$I$2:$I$2000,台帳!$A$2:$A$2000,$A89,台帳!$F$2:$F$2000,AM$4)</f>
        <v>0</v>
      </c>
      <c r="AN89" s="46">
        <f>SUMIFS(台帳!$I$2:$I$2000,台帳!$A$2:$A$2000,$A89,台帳!$F$2:$F$2000,AN$4)</f>
        <v>0</v>
      </c>
      <c r="AO89" s="46">
        <f>SUMIFS(台帳!$I$2:$I$2000,台帳!$A$2:$A$2000,$A89,台帳!$F$2:$F$2000,AO$4)</f>
        <v>0</v>
      </c>
      <c r="AP89" s="46">
        <f>SUMIFS(台帳!$I$2:$I$2000,台帳!$A$2:$A$2000,$A89,台帳!$F$2:$F$2000,AP$4)</f>
        <v>0</v>
      </c>
      <c r="AQ89" s="46">
        <f>SUMIFS(台帳!$I$2:$I$2000,台帳!$A$2:$A$2000,$A89,台帳!$F$2:$F$2000,AQ$4)</f>
        <v>0</v>
      </c>
      <c r="AR89" s="46">
        <f>SUM(C89:AQ89)</f>
        <v>4</v>
      </c>
    </row>
    <row r="90" spans="1:44" ht="17.25" x14ac:dyDescent="0.35">
      <c r="A90" s="44">
        <v>46217</v>
      </c>
      <c r="B90" s="45" t="str">
        <f>CHOOSE(WEEKDAY(A90),"日","月","火","水","木","金","土")</f>
        <v>火</v>
      </c>
      <c r="C90" s="46">
        <f>SUMIFS(台帳!$I$2:$I$2000,台帳!$A$2:$A$2000,$A90,台帳!$F$2:$F$2000,C$4)</f>
        <v>0</v>
      </c>
      <c r="D90" s="46">
        <f>SUMIFS(台帳!$I$2:$I$2000,台帳!$A$2:$A$2000,$A90,台帳!$F$2:$F$2000,D$4)</f>
        <v>0</v>
      </c>
      <c r="E90" s="46">
        <f>SUMIFS(台帳!$I$2:$I$2000,台帳!$A$2:$A$2000,$A90,台帳!$F$2:$F$2000,E$4)</f>
        <v>0</v>
      </c>
      <c r="F90" s="46">
        <f>SUMIFS(台帳!$I$2:$I$2000,台帳!$A$2:$A$2000,$A90,台帳!$F$2:$F$2000,F$4)</f>
        <v>0</v>
      </c>
      <c r="G90" s="46">
        <f>SUMIFS(台帳!$I$2:$I$2000,台帳!$A$2:$A$2000,$A90,台帳!$F$2:$F$2000,G$4)</f>
        <v>0</v>
      </c>
      <c r="H90" s="46">
        <f>SUMIFS(台帳!$I$2:$I$2000,台帳!$A$2:$A$2000,$A90,台帳!$F$2:$F$2000,H$4)</f>
        <v>0</v>
      </c>
      <c r="I90" s="46">
        <f>SUMIFS(台帳!$I$2:$I$2000,台帳!$A$2:$A$2000,$A90,台帳!$F$2:$F$2000,I$4)</f>
        <v>0</v>
      </c>
      <c r="J90" s="46">
        <f>SUMIFS(台帳!$I$2:$I$2000,台帳!$A$2:$A$2000,$A90,台帳!$F$2:$F$2000,J$4)</f>
        <v>0</v>
      </c>
      <c r="K90" s="46">
        <f>SUMIFS(台帳!$I$2:$I$2000,台帳!$A$2:$A$2000,$A90,台帳!$F$2:$F$2000,K$4)</f>
        <v>0</v>
      </c>
      <c r="L90" s="46">
        <f>SUMIFS(台帳!$I$2:$I$2000,台帳!$A$2:$A$2000,$A90,台帳!$F$2:$F$2000,L$4)</f>
        <v>0</v>
      </c>
      <c r="M90" s="46">
        <f>SUMIFS(台帳!$I$2:$I$2000,台帳!$A$2:$A$2000,$A90,台帳!$F$2:$F$2000,M$4)</f>
        <v>0</v>
      </c>
      <c r="N90" s="46">
        <f>SUMIFS(台帳!$I$2:$I$2000,台帳!$A$2:$A$2000,$A90,台帳!$F$2:$F$2000,N$4)</f>
        <v>0</v>
      </c>
      <c r="O90" s="46">
        <f>SUMIFS(台帳!$I$2:$I$2000,台帳!$A$2:$A$2000,$A90,台帳!$F$2:$F$2000,O$4)</f>
        <v>0</v>
      </c>
      <c r="P90" s="46">
        <f>SUMIFS(台帳!$I$2:$I$2000,台帳!$A$2:$A$2000,$A90,台帳!$F$2:$F$2000,P$4)</f>
        <v>2</v>
      </c>
      <c r="Q90" s="46">
        <f>SUMIFS(台帳!$I$2:$I$2000,台帳!$A$2:$A$2000,$A90,台帳!$F$2:$F$2000,Q$4)</f>
        <v>0</v>
      </c>
      <c r="R90" s="46">
        <f>SUMIFS(台帳!$I$2:$I$2000,台帳!$A$2:$A$2000,$A90,台帳!$F$2:$F$2000,R$4)</f>
        <v>0</v>
      </c>
      <c r="S90" s="46">
        <f>SUMIFS(台帳!$I$2:$I$2000,台帳!$A$2:$A$2000,$A90,台帳!$F$2:$F$2000,S$4)</f>
        <v>0</v>
      </c>
      <c r="T90" s="46">
        <f>SUMIFS(台帳!$I$2:$I$2000,台帳!$A$2:$A$2000,$A90,台帳!$F$2:$F$2000,T$4)</f>
        <v>0</v>
      </c>
      <c r="U90" s="46">
        <f>SUMIFS(台帳!$I$2:$I$2000,台帳!$A$2:$A$2000,$A90,台帳!$F$2:$F$2000,U$4)</f>
        <v>0</v>
      </c>
      <c r="V90" s="46">
        <f>SUMIFS(台帳!$I$2:$I$2000,台帳!$A$2:$A$2000,$A90,台帳!$F$2:$F$2000,V$4)</f>
        <v>0</v>
      </c>
      <c r="W90" s="46">
        <f>SUMIFS(台帳!$I$2:$I$2000,台帳!$A$2:$A$2000,$A90,台帳!$F$2:$F$2000,W$4)</f>
        <v>0</v>
      </c>
      <c r="X90" s="46">
        <f>SUMIFS(台帳!$I$2:$I$2000,台帳!$A$2:$A$2000,$A90,台帳!$F$2:$F$2000,X$4)</f>
        <v>0</v>
      </c>
      <c r="Y90" s="46">
        <f>SUMIFS(台帳!$I$2:$I$2000,台帳!$A$2:$A$2000,$A90,台帳!$F$2:$F$2000,Y$4)</f>
        <v>0</v>
      </c>
      <c r="Z90" s="46">
        <f>SUMIFS(台帳!$I$2:$I$2000,台帳!$A$2:$A$2000,$A90,台帳!$F$2:$F$2000,Z$4)</f>
        <v>0</v>
      </c>
      <c r="AA90" s="46">
        <f>SUMIFS(台帳!$I$2:$I$2000,台帳!$A$2:$A$2000,$A90,台帳!$F$2:$F$2000,AA$4)</f>
        <v>0</v>
      </c>
      <c r="AB90" s="46">
        <f>SUMIFS(台帳!$I$2:$I$2000,台帳!$A$2:$A$2000,$A90,台帳!$F$2:$F$2000,AB$4)</f>
        <v>0</v>
      </c>
      <c r="AC90" s="46">
        <f>SUMIFS(台帳!$I$2:$I$2000,台帳!$A$2:$A$2000,$A90,台帳!$F$2:$F$2000,AC$4)</f>
        <v>0</v>
      </c>
      <c r="AD90" s="46">
        <f>SUMIFS(台帳!$I$2:$I$2000,台帳!$A$2:$A$2000,$A90,台帳!$F$2:$F$2000,AD$4)</f>
        <v>0</v>
      </c>
      <c r="AE90" s="46">
        <f>SUMIFS(台帳!$I$2:$I$2000,台帳!$A$2:$A$2000,$A90,台帳!$F$2:$F$2000,AE$4)</f>
        <v>0</v>
      </c>
      <c r="AF90" s="46">
        <f>SUMIFS(台帳!$I$2:$I$2000,台帳!$A$2:$A$2000,$A90,台帳!$F$2:$F$2000,AF$4)</f>
        <v>0</v>
      </c>
      <c r="AG90" s="46">
        <f>SUMIFS(台帳!$I$2:$I$2000,台帳!$A$2:$A$2000,$A90,台帳!$F$2:$F$2000,AG$4)</f>
        <v>0</v>
      </c>
      <c r="AH90" s="46">
        <f>SUMIFS(台帳!$I$2:$I$2000,台帳!$A$2:$A$2000,$A90,台帳!$F$2:$F$2000,AH$4)</f>
        <v>0</v>
      </c>
      <c r="AI90" s="46">
        <f>SUMIFS(台帳!$I$2:$I$2000,台帳!$A$2:$A$2000,$A90,台帳!$F$2:$F$2000,AI$4)</f>
        <v>0</v>
      </c>
      <c r="AJ90" s="46">
        <f>SUMIFS(台帳!$I$2:$I$2000,台帳!$A$2:$A$2000,$A90,台帳!$F$2:$F$2000,AJ$4)</f>
        <v>0</v>
      </c>
      <c r="AK90" s="46">
        <f>SUMIFS(台帳!$I$2:$I$2000,台帳!$A$2:$A$2000,$A90,台帳!$F$2:$F$2000,AK$4)</f>
        <v>0</v>
      </c>
      <c r="AL90" s="46">
        <f>SUMIFS(台帳!$I$2:$I$2000,台帳!$A$2:$A$2000,$A90,台帳!$F$2:$F$2000,AL$4)</f>
        <v>0</v>
      </c>
      <c r="AM90" s="46">
        <f>SUMIFS(台帳!$I$2:$I$2000,台帳!$A$2:$A$2000,$A90,台帳!$F$2:$F$2000,AM$4)</f>
        <v>0</v>
      </c>
      <c r="AN90" s="46">
        <f>SUMIFS(台帳!$I$2:$I$2000,台帳!$A$2:$A$2000,$A90,台帳!$F$2:$F$2000,AN$4)</f>
        <v>0</v>
      </c>
      <c r="AO90" s="46">
        <f>SUMIFS(台帳!$I$2:$I$2000,台帳!$A$2:$A$2000,$A90,台帳!$F$2:$F$2000,AO$4)</f>
        <v>0</v>
      </c>
      <c r="AP90" s="46">
        <f>SUMIFS(台帳!$I$2:$I$2000,台帳!$A$2:$A$2000,$A90,台帳!$F$2:$F$2000,AP$4)</f>
        <v>0</v>
      </c>
      <c r="AQ90" s="46">
        <f>SUMIFS(台帳!$I$2:$I$2000,台帳!$A$2:$A$2000,$A90,台帳!$F$2:$F$2000,AQ$4)</f>
        <v>0</v>
      </c>
      <c r="AR90" s="46">
        <f>SUM(C90:AQ90)</f>
        <v>2</v>
      </c>
    </row>
    <row r="91" spans="1:44" ht="17.25" x14ac:dyDescent="0.35">
      <c r="A91" s="44">
        <v>46218</v>
      </c>
      <c r="B91" s="45" t="str">
        <f>CHOOSE(WEEKDAY(A91),"日","月","火","水","木","金","土")</f>
        <v>水</v>
      </c>
      <c r="C91" s="46">
        <f>SUMIFS(台帳!$I$2:$I$2000,台帳!$A$2:$A$2000,$A91,台帳!$F$2:$F$2000,C$4)</f>
        <v>0</v>
      </c>
      <c r="D91" s="46">
        <f>SUMIFS(台帳!$I$2:$I$2000,台帳!$A$2:$A$2000,$A91,台帳!$F$2:$F$2000,D$4)</f>
        <v>0</v>
      </c>
      <c r="E91" s="46">
        <f>SUMIFS(台帳!$I$2:$I$2000,台帳!$A$2:$A$2000,$A91,台帳!$F$2:$F$2000,E$4)</f>
        <v>0</v>
      </c>
      <c r="F91" s="46">
        <f>SUMIFS(台帳!$I$2:$I$2000,台帳!$A$2:$A$2000,$A91,台帳!$F$2:$F$2000,F$4)</f>
        <v>0</v>
      </c>
      <c r="G91" s="46">
        <f>SUMIFS(台帳!$I$2:$I$2000,台帳!$A$2:$A$2000,$A91,台帳!$F$2:$F$2000,G$4)</f>
        <v>0</v>
      </c>
      <c r="H91" s="46">
        <f>SUMIFS(台帳!$I$2:$I$2000,台帳!$A$2:$A$2000,$A91,台帳!$F$2:$F$2000,H$4)</f>
        <v>0</v>
      </c>
      <c r="I91" s="46">
        <f>SUMIFS(台帳!$I$2:$I$2000,台帳!$A$2:$A$2000,$A91,台帳!$F$2:$F$2000,I$4)</f>
        <v>0</v>
      </c>
      <c r="J91" s="46">
        <f>SUMIFS(台帳!$I$2:$I$2000,台帳!$A$2:$A$2000,$A91,台帳!$F$2:$F$2000,J$4)</f>
        <v>0</v>
      </c>
      <c r="K91" s="46">
        <f>SUMIFS(台帳!$I$2:$I$2000,台帳!$A$2:$A$2000,$A91,台帳!$F$2:$F$2000,K$4)</f>
        <v>0</v>
      </c>
      <c r="L91" s="46">
        <f>SUMIFS(台帳!$I$2:$I$2000,台帳!$A$2:$A$2000,$A91,台帳!$F$2:$F$2000,L$4)</f>
        <v>0</v>
      </c>
      <c r="M91" s="46">
        <f>SUMIFS(台帳!$I$2:$I$2000,台帳!$A$2:$A$2000,$A91,台帳!$F$2:$F$2000,M$4)</f>
        <v>0</v>
      </c>
      <c r="N91" s="46">
        <f>SUMIFS(台帳!$I$2:$I$2000,台帳!$A$2:$A$2000,$A91,台帳!$F$2:$F$2000,N$4)</f>
        <v>0</v>
      </c>
      <c r="O91" s="46">
        <f>SUMIFS(台帳!$I$2:$I$2000,台帳!$A$2:$A$2000,$A91,台帳!$F$2:$F$2000,O$4)</f>
        <v>0</v>
      </c>
      <c r="P91" s="46">
        <f>SUMIFS(台帳!$I$2:$I$2000,台帳!$A$2:$A$2000,$A91,台帳!$F$2:$F$2000,P$4)</f>
        <v>4</v>
      </c>
      <c r="Q91" s="46">
        <f>SUMIFS(台帳!$I$2:$I$2000,台帳!$A$2:$A$2000,$A91,台帳!$F$2:$F$2000,Q$4)</f>
        <v>0</v>
      </c>
      <c r="R91" s="46">
        <f>SUMIFS(台帳!$I$2:$I$2000,台帳!$A$2:$A$2000,$A91,台帳!$F$2:$F$2000,R$4)</f>
        <v>0</v>
      </c>
      <c r="S91" s="46">
        <f>SUMIFS(台帳!$I$2:$I$2000,台帳!$A$2:$A$2000,$A91,台帳!$F$2:$F$2000,S$4)</f>
        <v>0</v>
      </c>
      <c r="T91" s="46">
        <f>SUMIFS(台帳!$I$2:$I$2000,台帳!$A$2:$A$2000,$A91,台帳!$F$2:$F$2000,T$4)</f>
        <v>0</v>
      </c>
      <c r="U91" s="46">
        <f>SUMIFS(台帳!$I$2:$I$2000,台帳!$A$2:$A$2000,$A91,台帳!$F$2:$F$2000,U$4)</f>
        <v>0</v>
      </c>
      <c r="V91" s="46">
        <f>SUMIFS(台帳!$I$2:$I$2000,台帳!$A$2:$A$2000,$A91,台帳!$F$2:$F$2000,V$4)</f>
        <v>0</v>
      </c>
      <c r="W91" s="46">
        <f>SUMIFS(台帳!$I$2:$I$2000,台帳!$A$2:$A$2000,$A91,台帳!$F$2:$F$2000,W$4)</f>
        <v>0</v>
      </c>
      <c r="X91" s="46">
        <f>SUMIFS(台帳!$I$2:$I$2000,台帳!$A$2:$A$2000,$A91,台帳!$F$2:$F$2000,X$4)</f>
        <v>0</v>
      </c>
      <c r="Y91" s="46">
        <f>SUMIFS(台帳!$I$2:$I$2000,台帳!$A$2:$A$2000,$A91,台帳!$F$2:$F$2000,Y$4)</f>
        <v>0</v>
      </c>
      <c r="Z91" s="46">
        <f>SUMIFS(台帳!$I$2:$I$2000,台帳!$A$2:$A$2000,$A91,台帳!$F$2:$F$2000,Z$4)</f>
        <v>0</v>
      </c>
      <c r="AA91" s="46">
        <f>SUMIFS(台帳!$I$2:$I$2000,台帳!$A$2:$A$2000,$A91,台帳!$F$2:$F$2000,AA$4)</f>
        <v>0</v>
      </c>
      <c r="AB91" s="46">
        <f>SUMIFS(台帳!$I$2:$I$2000,台帳!$A$2:$A$2000,$A91,台帳!$F$2:$F$2000,AB$4)</f>
        <v>0</v>
      </c>
      <c r="AC91" s="46">
        <f>SUMIFS(台帳!$I$2:$I$2000,台帳!$A$2:$A$2000,$A91,台帳!$F$2:$F$2000,AC$4)</f>
        <v>0</v>
      </c>
      <c r="AD91" s="46">
        <f>SUMIFS(台帳!$I$2:$I$2000,台帳!$A$2:$A$2000,$A91,台帳!$F$2:$F$2000,AD$4)</f>
        <v>0</v>
      </c>
      <c r="AE91" s="46">
        <f>SUMIFS(台帳!$I$2:$I$2000,台帳!$A$2:$A$2000,$A91,台帳!$F$2:$F$2000,AE$4)</f>
        <v>0</v>
      </c>
      <c r="AF91" s="46">
        <f>SUMIFS(台帳!$I$2:$I$2000,台帳!$A$2:$A$2000,$A91,台帳!$F$2:$F$2000,AF$4)</f>
        <v>0</v>
      </c>
      <c r="AG91" s="46">
        <f>SUMIFS(台帳!$I$2:$I$2000,台帳!$A$2:$A$2000,$A91,台帳!$F$2:$F$2000,AG$4)</f>
        <v>0</v>
      </c>
      <c r="AH91" s="46">
        <f>SUMIFS(台帳!$I$2:$I$2000,台帳!$A$2:$A$2000,$A91,台帳!$F$2:$F$2000,AH$4)</f>
        <v>0</v>
      </c>
      <c r="AI91" s="46">
        <f>SUMIFS(台帳!$I$2:$I$2000,台帳!$A$2:$A$2000,$A91,台帳!$F$2:$F$2000,AI$4)</f>
        <v>0</v>
      </c>
      <c r="AJ91" s="46">
        <f>SUMIFS(台帳!$I$2:$I$2000,台帳!$A$2:$A$2000,$A91,台帳!$F$2:$F$2000,AJ$4)</f>
        <v>0</v>
      </c>
      <c r="AK91" s="46">
        <f>SUMIFS(台帳!$I$2:$I$2000,台帳!$A$2:$A$2000,$A91,台帳!$F$2:$F$2000,AK$4)</f>
        <v>0</v>
      </c>
      <c r="AL91" s="46">
        <f>SUMIFS(台帳!$I$2:$I$2000,台帳!$A$2:$A$2000,$A91,台帳!$F$2:$F$2000,AL$4)</f>
        <v>0</v>
      </c>
      <c r="AM91" s="46">
        <f>SUMIFS(台帳!$I$2:$I$2000,台帳!$A$2:$A$2000,$A91,台帳!$F$2:$F$2000,AM$4)</f>
        <v>0</v>
      </c>
      <c r="AN91" s="46">
        <f>SUMIFS(台帳!$I$2:$I$2000,台帳!$A$2:$A$2000,$A91,台帳!$F$2:$F$2000,AN$4)</f>
        <v>0</v>
      </c>
      <c r="AO91" s="46">
        <f>SUMIFS(台帳!$I$2:$I$2000,台帳!$A$2:$A$2000,$A91,台帳!$F$2:$F$2000,AO$4)</f>
        <v>0</v>
      </c>
      <c r="AP91" s="46">
        <f>SUMIFS(台帳!$I$2:$I$2000,台帳!$A$2:$A$2000,$A91,台帳!$F$2:$F$2000,AP$4)</f>
        <v>0</v>
      </c>
      <c r="AQ91" s="46">
        <f>SUMIFS(台帳!$I$2:$I$2000,台帳!$A$2:$A$2000,$A91,台帳!$F$2:$F$2000,AQ$4)</f>
        <v>0</v>
      </c>
      <c r="AR91" s="46">
        <f>SUM(C91:AQ91)</f>
        <v>4</v>
      </c>
    </row>
    <row r="92" spans="1:44" ht="17.25" x14ac:dyDescent="0.35">
      <c r="A92" s="44">
        <v>46219</v>
      </c>
      <c r="B92" s="45" t="str">
        <f>CHOOSE(WEEKDAY(A92),"日","月","火","水","木","金","土")</f>
        <v>木</v>
      </c>
      <c r="C92" s="46">
        <f>SUMIFS(台帳!$I$2:$I$2000,台帳!$A$2:$A$2000,$A92,台帳!$F$2:$F$2000,C$4)</f>
        <v>0</v>
      </c>
      <c r="D92" s="46">
        <f>SUMIFS(台帳!$I$2:$I$2000,台帳!$A$2:$A$2000,$A92,台帳!$F$2:$F$2000,D$4)</f>
        <v>0</v>
      </c>
      <c r="E92" s="46">
        <f>SUMIFS(台帳!$I$2:$I$2000,台帳!$A$2:$A$2000,$A92,台帳!$F$2:$F$2000,E$4)</f>
        <v>0</v>
      </c>
      <c r="F92" s="46">
        <f>SUMIFS(台帳!$I$2:$I$2000,台帳!$A$2:$A$2000,$A92,台帳!$F$2:$F$2000,F$4)</f>
        <v>0</v>
      </c>
      <c r="G92" s="46">
        <f>SUMIFS(台帳!$I$2:$I$2000,台帳!$A$2:$A$2000,$A92,台帳!$F$2:$F$2000,G$4)</f>
        <v>0</v>
      </c>
      <c r="H92" s="46">
        <f>SUMIFS(台帳!$I$2:$I$2000,台帳!$A$2:$A$2000,$A92,台帳!$F$2:$F$2000,H$4)</f>
        <v>0</v>
      </c>
      <c r="I92" s="46">
        <f>SUMIFS(台帳!$I$2:$I$2000,台帳!$A$2:$A$2000,$A92,台帳!$F$2:$F$2000,I$4)</f>
        <v>0</v>
      </c>
      <c r="J92" s="46">
        <f>SUMIFS(台帳!$I$2:$I$2000,台帳!$A$2:$A$2000,$A92,台帳!$F$2:$F$2000,J$4)</f>
        <v>0</v>
      </c>
      <c r="K92" s="46">
        <f>SUMIFS(台帳!$I$2:$I$2000,台帳!$A$2:$A$2000,$A92,台帳!$F$2:$F$2000,K$4)</f>
        <v>0</v>
      </c>
      <c r="L92" s="46">
        <f>SUMIFS(台帳!$I$2:$I$2000,台帳!$A$2:$A$2000,$A92,台帳!$F$2:$F$2000,L$4)</f>
        <v>0</v>
      </c>
      <c r="M92" s="46">
        <f>SUMIFS(台帳!$I$2:$I$2000,台帳!$A$2:$A$2000,$A92,台帳!$F$2:$F$2000,M$4)</f>
        <v>0</v>
      </c>
      <c r="N92" s="46">
        <f>SUMIFS(台帳!$I$2:$I$2000,台帳!$A$2:$A$2000,$A92,台帳!$F$2:$F$2000,N$4)</f>
        <v>0</v>
      </c>
      <c r="O92" s="46">
        <f>SUMIFS(台帳!$I$2:$I$2000,台帳!$A$2:$A$2000,$A92,台帳!$F$2:$F$2000,O$4)</f>
        <v>0</v>
      </c>
      <c r="P92" s="46">
        <f>SUMIFS(台帳!$I$2:$I$2000,台帳!$A$2:$A$2000,$A92,台帳!$F$2:$F$2000,P$4)</f>
        <v>4</v>
      </c>
      <c r="Q92" s="46">
        <f>SUMIFS(台帳!$I$2:$I$2000,台帳!$A$2:$A$2000,$A92,台帳!$F$2:$F$2000,Q$4)</f>
        <v>0</v>
      </c>
      <c r="R92" s="46">
        <f>SUMIFS(台帳!$I$2:$I$2000,台帳!$A$2:$A$2000,$A92,台帳!$F$2:$F$2000,R$4)</f>
        <v>0</v>
      </c>
      <c r="S92" s="46">
        <f>SUMIFS(台帳!$I$2:$I$2000,台帳!$A$2:$A$2000,$A92,台帳!$F$2:$F$2000,S$4)</f>
        <v>0</v>
      </c>
      <c r="T92" s="46">
        <f>SUMIFS(台帳!$I$2:$I$2000,台帳!$A$2:$A$2000,$A92,台帳!$F$2:$F$2000,T$4)</f>
        <v>0</v>
      </c>
      <c r="U92" s="46">
        <f>SUMIFS(台帳!$I$2:$I$2000,台帳!$A$2:$A$2000,$A92,台帳!$F$2:$F$2000,U$4)</f>
        <v>0</v>
      </c>
      <c r="V92" s="46">
        <f>SUMIFS(台帳!$I$2:$I$2000,台帳!$A$2:$A$2000,$A92,台帳!$F$2:$F$2000,V$4)</f>
        <v>0</v>
      </c>
      <c r="W92" s="46">
        <f>SUMIFS(台帳!$I$2:$I$2000,台帳!$A$2:$A$2000,$A92,台帳!$F$2:$F$2000,W$4)</f>
        <v>0</v>
      </c>
      <c r="X92" s="46">
        <f>SUMIFS(台帳!$I$2:$I$2000,台帳!$A$2:$A$2000,$A92,台帳!$F$2:$F$2000,X$4)</f>
        <v>0</v>
      </c>
      <c r="Y92" s="46">
        <f>SUMIFS(台帳!$I$2:$I$2000,台帳!$A$2:$A$2000,$A92,台帳!$F$2:$F$2000,Y$4)</f>
        <v>0</v>
      </c>
      <c r="Z92" s="46">
        <f>SUMIFS(台帳!$I$2:$I$2000,台帳!$A$2:$A$2000,$A92,台帳!$F$2:$F$2000,Z$4)</f>
        <v>0</v>
      </c>
      <c r="AA92" s="46">
        <f>SUMIFS(台帳!$I$2:$I$2000,台帳!$A$2:$A$2000,$A92,台帳!$F$2:$F$2000,AA$4)</f>
        <v>0</v>
      </c>
      <c r="AB92" s="46">
        <f>SUMIFS(台帳!$I$2:$I$2000,台帳!$A$2:$A$2000,$A92,台帳!$F$2:$F$2000,AB$4)</f>
        <v>0</v>
      </c>
      <c r="AC92" s="46">
        <f>SUMIFS(台帳!$I$2:$I$2000,台帳!$A$2:$A$2000,$A92,台帳!$F$2:$F$2000,AC$4)</f>
        <v>0</v>
      </c>
      <c r="AD92" s="46">
        <f>SUMIFS(台帳!$I$2:$I$2000,台帳!$A$2:$A$2000,$A92,台帳!$F$2:$F$2000,AD$4)</f>
        <v>0</v>
      </c>
      <c r="AE92" s="46">
        <f>SUMIFS(台帳!$I$2:$I$2000,台帳!$A$2:$A$2000,$A92,台帳!$F$2:$F$2000,AE$4)</f>
        <v>0</v>
      </c>
      <c r="AF92" s="46">
        <f>SUMIFS(台帳!$I$2:$I$2000,台帳!$A$2:$A$2000,$A92,台帳!$F$2:$F$2000,AF$4)</f>
        <v>0</v>
      </c>
      <c r="AG92" s="46">
        <f>SUMIFS(台帳!$I$2:$I$2000,台帳!$A$2:$A$2000,$A92,台帳!$F$2:$F$2000,AG$4)</f>
        <v>0</v>
      </c>
      <c r="AH92" s="46">
        <f>SUMIFS(台帳!$I$2:$I$2000,台帳!$A$2:$A$2000,$A92,台帳!$F$2:$F$2000,AH$4)</f>
        <v>0</v>
      </c>
      <c r="AI92" s="46">
        <f>SUMIFS(台帳!$I$2:$I$2000,台帳!$A$2:$A$2000,$A92,台帳!$F$2:$F$2000,AI$4)</f>
        <v>0</v>
      </c>
      <c r="AJ92" s="46">
        <f>SUMIFS(台帳!$I$2:$I$2000,台帳!$A$2:$A$2000,$A92,台帳!$F$2:$F$2000,AJ$4)</f>
        <v>0</v>
      </c>
      <c r="AK92" s="46">
        <f>SUMIFS(台帳!$I$2:$I$2000,台帳!$A$2:$A$2000,$A92,台帳!$F$2:$F$2000,AK$4)</f>
        <v>0</v>
      </c>
      <c r="AL92" s="46">
        <f>SUMIFS(台帳!$I$2:$I$2000,台帳!$A$2:$A$2000,$A92,台帳!$F$2:$F$2000,AL$4)</f>
        <v>0</v>
      </c>
      <c r="AM92" s="46">
        <f>SUMIFS(台帳!$I$2:$I$2000,台帳!$A$2:$A$2000,$A92,台帳!$F$2:$F$2000,AM$4)</f>
        <v>0</v>
      </c>
      <c r="AN92" s="46">
        <f>SUMIFS(台帳!$I$2:$I$2000,台帳!$A$2:$A$2000,$A92,台帳!$F$2:$F$2000,AN$4)</f>
        <v>0</v>
      </c>
      <c r="AO92" s="46">
        <f>SUMIFS(台帳!$I$2:$I$2000,台帳!$A$2:$A$2000,$A92,台帳!$F$2:$F$2000,AO$4)</f>
        <v>0</v>
      </c>
      <c r="AP92" s="46">
        <f>SUMIFS(台帳!$I$2:$I$2000,台帳!$A$2:$A$2000,$A92,台帳!$F$2:$F$2000,AP$4)</f>
        <v>0</v>
      </c>
      <c r="AQ92" s="46">
        <f>SUMIFS(台帳!$I$2:$I$2000,台帳!$A$2:$A$2000,$A92,台帳!$F$2:$F$2000,AQ$4)</f>
        <v>0</v>
      </c>
      <c r="AR92" s="46">
        <f>SUM(C92:AQ92)</f>
        <v>4</v>
      </c>
    </row>
    <row r="93" spans="1:44" ht="17.25" x14ac:dyDescent="0.35">
      <c r="A93" s="44">
        <v>46220</v>
      </c>
      <c r="B93" s="45" t="str">
        <f>CHOOSE(WEEKDAY(A93),"日","月","火","水","木","金","土")</f>
        <v>金</v>
      </c>
      <c r="C93" s="46">
        <f>SUMIFS(台帳!$I$2:$I$2000,台帳!$A$2:$A$2000,$A93,台帳!$F$2:$F$2000,C$4)</f>
        <v>0</v>
      </c>
      <c r="D93" s="46">
        <f>SUMIFS(台帳!$I$2:$I$2000,台帳!$A$2:$A$2000,$A93,台帳!$F$2:$F$2000,D$4)</f>
        <v>0</v>
      </c>
      <c r="E93" s="46">
        <f>SUMIFS(台帳!$I$2:$I$2000,台帳!$A$2:$A$2000,$A93,台帳!$F$2:$F$2000,E$4)</f>
        <v>0</v>
      </c>
      <c r="F93" s="46">
        <f>SUMIFS(台帳!$I$2:$I$2000,台帳!$A$2:$A$2000,$A93,台帳!$F$2:$F$2000,F$4)</f>
        <v>0</v>
      </c>
      <c r="G93" s="46">
        <f>SUMIFS(台帳!$I$2:$I$2000,台帳!$A$2:$A$2000,$A93,台帳!$F$2:$F$2000,G$4)</f>
        <v>0</v>
      </c>
      <c r="H93" s="46">
        <f>SUMIFS(台帳!$I$2:$I$2000,台帳!$A$2:$A$2000,$A93,台帳!$F$2:$F$2000,H$4)</f>
        <v>0</v>
      </c>
      <c r="I93" s="46">
        <f>SUMIFS(台帳!$I$2:$I$2000,台帳!$A$2:$A$2000,$A93,台帳!$F$2:$F$2000,I$4)</f>
        <v>0</v>
      </c>
      <c r="J93" s="46">
        <f>SUMIFS(台帳!$I$2:$I$2000,台帳!$A$2:$A$2000,$A93,台帳!$F$2:$F$2000,J$4)</f>
        <v>0</v>
      </c>
      <c r="K93" s="46">
        <f>SUMIFS(台帳!$I$2:$I$2000,台帳!$A$2:$A$2000,$A93,台帳!$F$2:$F$2000,K$4)</f>
        <v>0</v>
      </c>
      <c r="L93" s="46">
        <f>SUMIFS(台帳!$I$2:$I$2000,台帳!$A$2:$A$2000,$A93,台帳!$F$2:$F$2000,L$4)</f>
        <v>0</v>
      </c>
      <c r="M93" s="46">
        <f>SUMIFS(台帳!$I$2:$I$2000,台帳!$A$2:$A$2000,$A93,台帳!$F$2:$F$2000,M$4)</f>
        <v>0</v>
      </c>
      <c r="N93" s="46">
        <f>SUMIFS(台帳!$I$2:$I$2000,台帳!$A$2:$A$2000,$A93,台帳!$F$2:$F$2000,N$4)</f>
        <v>0</v>
      </c>
      <c r="O93" s="46">
        <f>SUMIFS(台帳!$I$2:$I$2000,台帳!$A$2:$A$2000,$A93,台帳!$F$2:$F$2000,O$4)</f>
        <v>0</v>
      </c>
      <c r="P93" s="46">
        <f>SUMIFS(台帳!$I$2:$I$2000,台帳!$A$2:$A$2000,$A93,台帳!$F$2:$F$2000,P$4)</f>
        <v>4</v>
      </c>
      <c r="Q93" s="46">
        <f>SUMIFS(台帳!$I$2:$I$2000,台帳!$A$2:$A$2000,$A93,台帳!$F$2:$F$2000,Q$4)</f>
        <v>0</v>
      </c>
      <c r="R93" s="46">
        <f>SUMIFS(台帳!$I$2:$I$2000,台帳!$A$2:$A$2000,$A93,台帳!$F$2:$F$2000,R$4)</f>
        <v>0</v>
      </c>
      <c r="S93" s="46">
        <f>SUMIFS(台帳!$I$2:$I$2000,台帳!$A$2:$A$2000,$A93,台帳!$F$2:$F$2000,S$4)</f>
        <v>0</v>
      </c>
      <c r="T93" s="46">
        <f>SUMIFS(台帳!$I$2:$I$2000,台帳!$A$2:$A$2000,$A93,台帳!$F$2:$F$2000,T$4)</f>
        <v>0</v>
      </c>
      <c r="U93" s="46">
        <f>SUMIFS(台帳!$I$2:$I$2000,台帳!$A$2:$A$2000,$A93,台帳!$F$2:$F$2000,U$4)</f>
        <v>0</v>
      </c>
      <c r="V93" s="46">
        <f>SUMIFS(台帳!$I$2:$I$2000,台帳!$A$2:$A$2000,$A93,台帳!$F$2:$F$2000,V$4)</f>
        <v>0</v>
      </c>
      <c r="W93" s="46">
        <f>SUMIFS(台帳!$I$2:$I$2000,台帳!$A$2:$A$2000,$A93,台帳!$F$2:$F$2000,W$4)</f>
        <v>0</v>
      </c>
      <c r="X93" s="46">
        <f>SUMIFS(台帳!$I$2:$I$2000,台帳!$A$2:$A$2000,$A93,台帳!$F$2:$F$2000,X$4)</f>
        <v>0</v>
      </c>
      <c r="Y93" s="46">
        <f>SUMIFS(台帳!$I$2:$I$2000,台帳!$A$2:$A$2000,$A93,台帳!$F$2:$F$2000,Y$4)</f>
        <v>0</v>
      </c>
      <c r="Z93" s="46">
        <f>SUMIFS(台帳!$I$2:$I$2000,台帳!$A$2:$A$2000,$A93,台帳!$F$2:$F$2000,Z$4)</f>
        <v>0</v>
      </c>
      <c r="AA93" s="46">
        <f>SUMIFS(台帳!$I$2:$I$2000,台帳!$A$2:$A$2000,$A93,台帳!$F$2:$F$2000,AA$4)</f>
        <v>0</v>
      </c>
      <c r="AB93" s="46">
        <f>SUMIFS(台帳!$I$2:$I$2000,台帳!$A$2:$A$2000,$A93,台帳!$F$2:$F$2000,AB$4)</f>
        <v>0</v>
      </c>
      <c r="AC93" s="46">
        <f>SUMIFS(台帳!$I$2:$I$2000,台帳!$A$2:$A$2000,$A93,台帳!$F$2:$F$2000,AC$4)</f>
        <v>0</v>
      </c>
      <c r="AD93" s="46">
        <f>SUMIFS(台帳!$I$2:$I$2000,台帳!$A$2:$A$2000,$A93,台帳!$F$2:$F$2000,AD$4)</f>
        <v>0</v>
      </c>
      <c r="AE93" s="46">
        <f>SUMIFS(台帳!$I$2:$I$2000,台帳!$A$2:$A$2000,$A93,台帳!$F$2:$F$2000,AE$4)</f>
        <v>0</v>
      </c>
      <c r="AF93" s="46">
        <f>SUMIFS(台帳!$I$2:$I$2000,台帳!$A$2:$A$2000,$A93,台帳!$F$2:$F$2000,AF$4)</f>
        <v>0</v>
      </c>
      <c r="AG93" s="46">
        <f>SUMIFS(台帳!$I$2:$I$2000,台帳!$A$2:$A$2000,$A93,台帳!$F$2:$F$2000,AG$4)</f>
        <v>0</v>
      </c>
      <c r="AH93" s="46">
        <f>SUMIFS(台帳!$I$2:$I$2000,台帳!$A$2:$A$2000,$A93,台帳!$F$2:$F$2000,AH$4)</f>
        <v>0</v>
      </c>
      <c r="AI93" s="46">
        <f>SUMIFS(台帳!$I$2:$I$2000,台帳!$A$2:$A$2000,$A93,台帳!$F$2:$F$2000,AI$4)</f>
        <v>0</v>
      </c>
      <c r="AJ93" s="46">
        <f>SUMIFS(台帳!$I$2:$I$2000,台帳!$A$2:$A$2000,$A93,台帳!$F$2:$F$2000,AJ$4)</f>
        <v>0</v>
      </c>
      <c r="AK93" s="46">
        <f>SUMIFS(台帳!$I$2:$I$2000,台帳!$A$2:$A$2000,$A93,台帳!$F$2:$F$2000,AK$4)</f>
        <v>0</v>
      </c>
      <c r="AL93" s="46">
        <f>SUMIFS(台帳!$I$2:$I$2000,台帳!$A$2:$A$2000,$A93,台帳!$F$2:$F$2000,AL$4)</f>
        <v>0</v>
      </c>
      <c r="AM93" s="46">
        <f>SUMIFS(台帳!$I$2:$I$2000,台帳!$A$2:$A$2000,$A93,台帳!$F$2:$F$2000,AM$4)</f>
        <v>0</v>
      </c>
      <c r="AN93" s="46">
        <f>SUMIFS(台帳!$I$2:$I$2000,台帳!$A$2:$A$2000,$A93,台帳!$F$2:$F$2000,AN$4)</f>
        <v>0</v>
      </c>
      <c r="AO93" s="46">
        <f>SUMIFS(台帳!$I$2:$I$2000,台帳!$A$2:$A$2000,$A93,台帳!$F$2:$F$2000,AO$4)</f>
        <v>0</v>
      </c>
      <c r="AP93" s="46">
        <f>SUMIFS(台帳!$I$2:$I$2000,台帳!$A$2:$A$2000,$A93,台帳!$F$2:$F$2000,AP$4)</f>
        <v>0</v>
      </c>
      <c r="AQ93" s="46">
        <f>SUMIFS(台帳!$I$2:$I$2000,台帳!$A$2:$A$2000,$A93,台帳!$F$2:$F$2000,AQ$4)</f>
        <v>0</v>
      </c>
      <c r="AR93" s="46">
        <f>SUM(C93:AQ93)</f>
        <v>4</v>
      </c>
    </row>
    <row r="94" spans="1:44" ht="17.25" x14ac:dyDescent="0.35">
      <c r="A94" s="44">
        <v>46221</v>
      </c>
      <c r="B94" s="45" t="str">
        <f>CHOOSE(WEEKDAY(A94),"日","月","火","水","木","金","土")</f>
        <v>土</v>
      </c>
      <c r="C94" s="46">
        <f>SUMIFS(台帳!$I$2:$I$2000,台帳!$A$2:$A$2000,$A94,台帳!$F$2:$F$2000,C$4)</f>
        <v>0</v>
      </c>
      <c r="D94" s="46">
        <f>SUMIFS(台帳!$I$2:$I$2000,台帳!$A$2:$A$2000,$A94,台帳!$F$2:$F$2000,D$4)</f>
        <v>0</v>
      </c>
      <c r="E94" s="46">
        <f>SUMIFS(台帳!$I$2:$I$2000,台帳!$A$2:$A$2000,$A94,台帳!$F$2:$F$2000,E$4)</f>
        <v>0</v>
      </c>
      <c r="F94" s="46">
        <f>SUMIFS(台帳!$I$2:$I$2000,台帳!$A$2:$A$2000,$A94,台帳!$F$2:$F$2000,F$4)</f>
        <v>0</v>
      </c>
      <c r="G94" s="46">
        <f>SUMIFS(台帳!$I$2:$I$2000,台帳!$A$2:$A$2000,$A94,台帳!$F$2:$F$2000,G$4)</f>
        <v>0</v>
      </c>
      <c r="H94" s="46">
        <f>SUMIFS(台帳!$I$2:$I$2000,台帳!$A$2:$A$2000,$A94,台帳!$F$2:$F$2000,H$4)</f>
        <v>0</v>
      </c>
      <c r="I94" s="46">
        <f>SUMIFS(台帳!$I$2:$I$2000,台帳!$A$2:$A$2000,$A94,台帳!$F$2:$F$2000,I$4)</f>
        <v>0</v>
      </c>
      <c r="J94" s="46">
        <f>SUMIFS(台帳!$I$2:$I$2000,台帳!$A$2:$A$2000,$A94,台帳!$F$2:$F$2000,J$4)</f>
        <v>0</v>
      </c>
      <c r="K94" s="46">
        <f>SUMIFS(台帳!$I$2:$I$2000,台帳!$A$2:$A$2000,$A94,台帳!$F$2:$F$2000,K$4)</f>
        <v>0</v>
      </c>
      <c r="L94" s="46">
        <f>SUMIFS(台帳!$I$2:$I$2000,台帳!$A$2:$A$2000,$A94,台帳!$F$2:$F$2000,L$4)</f>
        <v>0</v>
      </c>
      <c r="M94" s="46">
        <f>SUMIFS(台帳!$I$2:$I$2000,台帳!$A$2:$A$2000,$A94,台帳!$F$2:$F$2000,M$4)</f>
        <v>0</v>
      </c>
      <c r="N94" s="46">
        <f>SUMIFS(台帳!$I$2:$I$2000,台帳!$A$2:$A$2000,$A94,台帳!$F$2:$F$2000,N$4)</f>
        <v>0</v>
      </c>
      <c r="O94" s="46">
        <f>SUMIFS(台帳!$I$2:$I$2000,台帳!$A$2:$A$2000,$A94,台帳!$F$2:$F$2000,O$4)</f>
        <v>0</v>
      </c>
      <c r="P94" s="46">
        <f>SUMIFS(台帳!$I$2:$I$2000,台帳!$A$2:$A$2000,$A94,台帳!$F$2:$F$2000,P$4)</f>
        <v>0</v>
      </c>
      <c r="Q94" s="46">
        <f>SUMIFS(台帳!$I$2:$I$2000,台帳!$A$2:$A$2000,$A94,台帳!$F$2:$F$2000,Q$4)</f>
        <v>4</v>
      </c>
      <c r="R94" s="46">
        <f>SUMIFS(台帳!$I$2:$I$2000,台帳!$A$2:$A$2000,$A94,台帳!$F$2:$F$2000,R$4)</f>
        <v>0</v>
      </c>
      <c r="S94" s="46">
        <f>SUMIFS(台帳!$I$2:$I$2000,台帳!$A$2:$A$2000,$A94,台帳!$F$2:$F$2000,S$4)</f>
        <v>0</v>
      </c>
      <c r="T94" s="46">
        <f>SUMIFS(台帳!$I$2:$I$2000,台帳!$A$2:$A$2000,$A94,台帳!$F$2:$F$2000,T$4)</f>
        <v>0</v>
      </c>
      <c r="U94" s="46">
        <f>SUMIFS(台帳!$I$2:$I$2000,台帳!$A$2:$A$2000,$A94,台帳!$F$2:$F$2000,U$4)</f>
        <v>0</v>
      </c>
      <c r="V94" s="46">
        <f>SUMIFS(台帳!$I$2:$I$2000,台帳!$A$2:$A$2000,$A94,台帳!$F$2:$F$2000,V$4)</f>
        <v>0</v>
      </c>
      <c r="W94" s="46">
        <f>SUMIFS(台帳!$I$2:$I$2000,台帳!$A$2:$A$2000,$A94,台帳!$F$2:$F$2000,W$4)</f>
        <v>0</v>
      </c>
      <c r="X94" s="46">
        <f>SUMIFS(台帳!$I$2:$I$2000,台帳!$A$2:$A$2000,$A94,台帳!$F$2:$F$2000,X$4)</f>
        <v>0</v>
      </c>
      <c r="Y94" s="46">
        <f>SUMIFS(台帳!$I$2:$I$2000,台帳!$A$2:$A$2000,$A94,台帳!$F$2:$F$2000,Y$4)</f>
        <v>0</v>
      </c>
      <c r="Z94" s="46">
        <f>SUMIFS(台帳!$I$2:$I$2000,台帳!$A$2:$A$2000,$A94,台帳!$F$2:$F$2000,Z$4)</f>
        <v>0</v>
      </c>
      <c r="AA94" s="46">
        <f>SUMIFS(台帳!$I$2:$I$2000,台帳!$A$2:$A$2000,$A94,台帳!$F$2:$F$2000,AA$4)</f>
        <v>0</v>
      </c>
      <c r="AB94" s="46">
        <f>SUMIFS(台帳!$I$2:$I$2000,台帳!$A$2:$A$2000,$A94,台帳!$F$2:$F$2000,AB$4)</f>
        <v>0</v>
      </c>
      <c r="AC94" s="46">
        <f>SUMIFS(台帳!$I$2:$I$2000,台帳!$A$2:$A$2000,$A94,台帳!$F$2:$F$2000,AC$4)</f>
        <v>0</v>
      </c>
      <c r="AD94" s="46">
        <f>SUMIFS(台帳!$I$2:$I$2000,台帳!$A$2:$A$2000,$A94,台帳!$F$2:$F$2000,AD$4)</f>
        <v>0</v>
      </c>
      <c r="AE94" s="46">
        <f>SUMIFS(台帳!$I$2:$I$2000,台帳!$A$2:$A$2000,$A94,台帳!$F$2:$F$2000,AE$4)</f>
        <v>0</v>
      </c>
      <c r="AF94" s="46">
        <f>SUMIFS(台帳!$I$2:$I$2000,台帳!$A$2:$A$2000,$A94,台帳!$F$2:$F$2000,AF$4)</f>
        <v>0</v>
      </c>
      <c r="AG94" s="46">
        <f>SUMIFS(台帳!$I$2:$I$2000,台帳!$A$2:$A$2000,$A94,台帳!$F$2:$F$2000,AG$4)</f>
        <v>0</v>
      </c>
      <c r="AH94" s="46">
        <f>SUMIFS(台帳!$I$2:$I$2000,台帳!$A$2:$A$2000,$A94,台帳!$F$2:$F$2000,AH$4)</f>
        <v>0</v>
      </c>
      <c r="AI94" s="46">
        <f>SUMIFS(台帳!$I$2:$I$2000,台帳!$A$2:$A$2000,$A94,台帳!$F$2:$F$2000,AI$4)</f>
        <v>0</v>
      </c>
      <c r="AJ94" s="46">
        <f>SUMIFS(台帳!$I$2:$I$2000,台帳!$A$2:$A$2000,$A94,台帳!$F$2:$F$2000,AJ$4)</f>
        <v>0</v>
      </c>
      <c r="AK94" s="46">
        <f>SUMIFS(台帳!$I$2:$I$2000,台帳!$A$2:$A$2000,$A94,台帳!$F$2:$F$2000,AK$4)</f>
        <v>0</v>
      </c>
      <c r="AL94" s="46">
        <f>SUMIFS(台帳!$I$2:$I$2000,台帳!$A$2:$A$2000,$A94,台帳!$F$2:$F$2000,AL$4)</f>
        <v>0</v>
      </c>
      <c r="AM94" s="46">
        <f>SUMIFS(台帳!$I$2:$I$2000,台帳!$A$2:$A$2000,$A94,台帳!$F$2:$F$2000,AM$4)</f>
        <v>0</v>
      </c>
      <c r="AN94" s="46">
        <f>SUMIFS(台帳!$I$2:$I$2000,台帳!$A$2:$A$2000,$A94,台帳!$F$2:$F$2000,AN$4)</f>
        <v>0</v>
      </c>
      <c r="AO94" s="46">
        <f>SUMIFS(台帳!$I$2:$I$2000,台帳!$A$2:$A$2000,$A94,台帳!$F$2:$F$2000,AO$4)</f>
        <v>0</v>
      </c>
      <c r="AP94" s="46">
        <f>SUMIFS(台帳!$I$2:$I$2000,台帳!$A$2:$A$2000,$A94,台帳!$F$2:$F$2000,AP$4)</f>
        <v>0</v>
      </c>
      <c r="AQ94" s="46">
        <f>SUMIFS(台帳!$I$2:$I$2000,台帳!$A$2:$A$2000,$A94,台帳!$F$2:$F$2000,AQ$4)</f>
        <v>0</v>
      </c>
      <c r="AR94" s="46">
        <f>SUM(C94:AQ94)</f>
        <v>4</v>
      </c>
    </row>
    <row r="95" spans="1:44" ht="17.25" x14ac:dyDescent="0.35">
      <c r="A95" s="44">
        <v>46222</v>
      </c>
      <c r="B95" s="45" t="str">
        <f>CHOOSE(WEEKDAY(A95),"日","月","火","水","木","金","土")</f>
        <v>日</v>
      </c>
      <c r="C95" s="46">
        <f>SUMIFS(台帳!$I$2:$I$2000,台帳!$A$2:$A$2000,$A95,台帳!$F$2:$F$2000,C$4)</f>
        <v>0</v>
      </c>
      <c r="D95" s="46">
        <f>SUMIFS(台帳!$I$2:$I$2000,台帳!$A$2:$A$2000,$A95,台帳!$F$2:$F$2000,D$4)</f>
        <v>0</v>
      </c>
      <c r="E95" s="46">
        <f>SUMIFS(台帳!$I$2:$I$2000,台帳!$A$2:$A$2000,$A95,台帳!$F$2:$F$2000,E$4)</f>
        <v>0</v>
      </c>
      <c r="F95" s="46">
        <f>SUMIFS(台帳!$I$2:$I$2000,台帳!$A$2:$A$2000,$A95,台帳!$F$2:$F$2000,F$4)</f>
        <v>0</v>
      </c>
      <c r="G95" s="46">
        <f>SUMIFS(台帳!$I$2:$I$2000,台帳!$A$2:$A$2000,$A95,台帳!$F$2:$F$2000,G$4)</f>
        <v>0</v>
      </c>
      <c r="H95" s="46">
        <f>SUMIFS(台帳!$I$2:$I$2000,台帳!$A$2:$A$2000,$A95,台帳!$F$2:$F$2000,H$4)</f>
        <v>0</v>
      </c>
      <c r="I95" s="46">
        <f>SUMIFS(台帳!$I$2:$I$2000,台帳!$A$2:$A$2000,$A95,台帳!$F$2:$F$2000,I$4)</f>
        <v>0</v>
      </c>
      <c r="J95" s="46">
        <f>SUMIFS(台帳!$I$2:$I$2000,台帳!$A$2:$A$2000,$A95,台帳!$F$2:$F$2000,J$4)</f>
        <v>0</v>
      </c>
      <c r="K95" s="46">
        <f>SUMIFS(台帳!$I$2:$I$2000,台帳!$A$2:$A$2000,$A95,台帳!$F$2:$F$2000,K$4)</f>
        <v>0</v>
      </c>
      <c r="L95" s="46">
        <f>SUMIFS(台帳!$I$2:$I$2000,台帳!$A$2:$A$2000,$A95,台帳!$F$2:$F$2000,L$4)</f>
        <v>0</v>
      </c>
      <c r="M95" s="46">
        <f>SUMIFS(台帳!$I$2:$I$2000,台帳!$A$2:$A$2000,$A95,台帳!$F$2:$F$2000,M$4)</f>
        <v>0</v>
      </c>
      <c r="N95" s="46">
        <f>SUMIFS(台帳!$I$2:$I$2000,台帳!$A$2:$A$2000,$A95,台帳!$F$2:$F$2000,N$4)</f>
        <v>0</v>
      </c>
      <c r="O95" s="46">
        <f>SUMIFS(台帳!$I$2:$I$2000,台帳!$A$2:$A$2000,$A95,台帳!$F$2:$F$2000,O$4)</f>
        <v>0</v>
      </c>
      <c r="P95" s="46">
        <f>SUMIFS(台帳!$I$2:$I$2000,台帳!$A$2:$A$2000,$A95,台帳!$F$2:$F$2000,P$4)</f>
        <v>0</v>
      </c>
      <c r="Q95" s="46">
        <f>SUMIFS(台帳!$I$2:$I$2000,台帳!$A$2:$A$2000,$A95,台帳!$F$2:$F$2000,Q$4)</f>
        <v>0</v>
      </c>
      <c r="R95" s="46">
        <f>SUMIFS(台帳!$I$2:$I$2000,台帳!$A$2:$A$2000,$A95,台帳!$F$2:$F$2000,R$4)</f>
        <v>1</v>
      </c>
      <c r="S95" s="46">
        <f>SUMIFS(台帳!$I$2:$I$2000,台帳!$A$2:$A$2000,$A95,台帳!$F$2:$F$2000,S$4)</f>
        <v>0</v>
      </c>
      <c r="T95" s="46">
        <f>SUMIFS(台帳!$I$2:$I$2000,台帳!$A$2:$A$2000,$A95,台帳!$F$2:$F$2000,T$4)</f>
        <v>0</v>
      </c>
      <c r="U95" s="46">
        <f>SUMIFS(台帳!$I$2:$I$2000,台帳!$A$2:$A$2000,$A95,台帳!$F$2:$F$2000,U$4)</f>
        <v>0</v>
      </c>
      <c r="V95" s="46">
        <f>SUMIFS(台帳!$I$2:$I$2000,台帳!$A$2:$A$2000,$A95,台帳!$F$2:$F$2000,V$4)</f>
        <v>0</v>
      </c>
      <c r="W95" s="46">
        <f>SUMIFS(台帳!$I$2:$I$2000,台帳!$A$2:$A$2000,$A95,台帳!$F$2:$F$2000,W$4)</f>
        <v>0</v>
      </c>
      <c r="X95" s="46">
        <f>SUMIFS(台帳!$I$2:$I$2000,台帳!$A$2:$A$2000,$A95,台帳!$F$2:$F$2000,X$4)</f>
        <v>0</v>
      </c>
      <c r="Y95" s="46">
        <f>SUMIFS(台帳!$I$2:$I$2000,台帳!$A$2:$A$2000,$A95,台帳!$F$2:$F$2000,Y$4)</f>
        <v>0</v>
      </c>
      <c r="Z95" s="46">
        <f>SUMIFS(台帳!$I$2:$I$2000,台帳!$A$2:$A$2000,$A95,台帳!$F$2:$F$2000,Z$4)</f>
        <v>0</v>
      </c>
      <c r="AA95" s="46">
        <f>SUMIFS(台帳!$I$2:$I$2000,台帳!$A$2:$A$2000,$A95,台帳!$F$2:$F$2000,AA$4)</f>
        <v>0</v>
      </c>
      <c r="AB95" s="46">
        <f>SUMIFS(台帳!$I$2:$I$2000,台帳!$A$2:$A$2000,$A95,台帳!$F$2:$F$2000,AB$4)</f>
        <v>0</v>
      </c>
      <c r="AC95" s="46">
        <f>SUMIFS(台帳!$I$2:$I$2000,台帳!$A$2:$A$2000,$A95,台帳!$F$2:$F$2000,AC$4)</f>
        <v>0</v>
      </c>
      <c r="AD95" s="46">
        <f>SUMIFS(台帳!$I$2:$I$2000,台帳!$A$2:$A$2000,$A95,台帳!$F$2:$F$2000,AD$4)</f>
        <v>0</v>
      </c>
      <c r="AE95" s="46">
        <f>SUMIFS(台帳!$I$2:$I$2000,台帳!$A$2:$A$2000,$A95,台帳!$F$2:$F$2000,AE$4)</f>
        <v>0</v>
      </c>
      <c r="AF95" s="46">
        <f>SUMIFS(台帳!$I$2:$I$2000,台帳!$A$2:$A$2000,$A95,台帳!$F$2:$F$2000,AF$4)</f>
        <v>0</v>
      </c>
      <c r="AG95" s="46">
        <f>SUMIFS(台帳!$I$2:$I$2000,台帳!$A$2:$A$2000,$A95,台帳!$F$2:$F$2000,AG$4)</f>
        <v>0</v>
      </c>
      <c r="AH95" s="46">
        <f>SUMIFS(台帳!$I$2:$I$2000,台帳!$A$2:$A$2000,$A95,台帳!$F$2:$F$2000,AH$4)</f>
        <v>0</v>
      </c>
      <c r="AI95" s="46">
        <f>SUMIFS(台帳!$I$2:$I$2000,台帳!$A$2:$A$2000,$A95,台帳!$F$2:$F$2000,AI$4)</f>
        <v>0</v>
      </c>
      <c r="AJ95" s="46">
        <f>SUMIFS(台帳!$I$2:$I$2000,台帳!$A$2:$A$2000,$A95,台帳!$F$2:$F$2000,AJ$4)</f>
        <v>0</v>
      </c>
      <c r="AK95" s="46">
        <f>SUMIFS(台帳!$I$2:$I$2000,台帳!$A$2:$A$2000,$A95,台帳!$F$2:$F$2000,AK$4)</f>
        <v>0</v>
      </c>
      <c r="AL95" s="46">
        <f>SUMIFS(台帳!$I$2:$I$2000,台帳!$A$2:$A$2000,$A95,台帳!$F$2:$F$2000,AL$4)</f>
        <v>0</v>
      </c>
      <c r="AM95" s="46">
        <f>SUMIFS(台帳!$I$2:$I$2000,台帳!$A$2:$A$2000,$A95,台帳!$F$2:$F$2000,AM$4)</f>
        <v>0</v>
      </c>
      <c r="AN95" s="46">
        <f>SUMIFS(台帳!$I$2:$I$2000,台帳!$A$2:$A$2000,$A95,台帳!$F$2:$F$2000,AN$4)</f>
        <v>0</v>
      </c>
      <c r="AO95" s="46">
        <f>SUMIFS(台帳!$I$2:$I$2000,台帳!$A$2:$A$2000,$A95,台帳!$F$2:$F$2000,AO$4)</f>
        <v>0</v>
      </c>
      <c r="AP95" s="46">
        <f>SUMIFS(台帳!$I$2:$I$2000,台帳!$A$2:$A$2000,$A95,台帳!$F$2:$F$2000,AP$4)</f>
        <v>0</v>
      </c>
      <c r="AQ95" s="46">
        <f>SUMIFS(台帳!$I$2:$I$2000,台帳!$A$2:$A$2000,$A95,台帳!$F$2:$F$2000,AQ$4)</f>
        <v>0</v>
      </c>
      <c r="AR95" s="46">
        <f>SUM(C95:AQ95)</f>
        <v>1</v>
      </c>
    </row>
    <row r="96" spans="1:44" ht="17.25" x14ac:dyDescent="0.35">
      <c r="A96" s="44">
        <v>46223</v>
      </c>
      <c r="B96" s="45" t="str">
        <f>CHOOSE(WEEKDAY(A96),"日","月","火","水","木","金","土")</f>
        <v>月</v>
      </c>
      <c r="C96" s="46">
        <f>SUMIFS(台帳!$I$2:$I$2000,台帳!$A$2:$A$2000,$A96,台帳!$F$2:$F$2000,C$4)</f>
        <v>0</v>
      </c>
      <c r="D96" s="46">
        <f>SUMIFS(台帳!$I$2:$I$2000,台帳!$A$2:$A$2000,$A96,台帳!$F$2:$F$2000,D$4)</f>
        <v>0</v>
      </c>
      <c r="E96" s="46">
        <f>SUMIFS(台帳!$I$2:$I$2000,台帳!$A$2:$A$2000,$A96,台帳!$F$2:$F$2000,E$4)</f>
        <v>0</v>
      </c>
      <c r="F96" s="46">
        <f>SUMIFS(台帳!$I$2:$I$2000,台帳!$A$2:$A$2000,$A96,台帳!$F$2:$F$2000,F$4)</f>
        <v>0</v>
      </c>
      <c r="G96" s="46">
        <f>SUMIFS(台帳!$I$2:$I$2000,台帳!$A$2:$A$2000,$A96,台帳!$F$2:$F$2000,G$4)</f>
        <v>0</v>
      </c>
      <c r="H96" s="46">
        <f>SUMIFS(台帳!$I$2:$I$2000,台帳!$A$2:$A$2000,$A96,台帳!$F$2:$F$2000,H$4)</f>
        <v>0</v>
      </c>
      <c r="I96" s="46">
        <f>SUMIFS(台帳!$I$2:$I$2000,台帳!$A$2:$A$2000,$A96,台帳!$F$2:$F$2000,I$4)</f>
        <v>0</v>
      </c>
      <c r="J96" s="46">
        <f>SUMIFS(台帳!$I$2:$I$2000,台帳!$A$2:$A$2000,$A96,台帳!$F$2:$F$2000,J$4)</f>
        <v>0</v>
      </c>
      <c r="K96" s="46">
        <f>SUMIFS(台帳!$I$2:$I$2000,台帳!$A$2:$A$2000,$A96,台帳!$F$2:$F$2000,K$4)</f>
        <v>0</v>
      </c>
      <c r="L96" s="46">
        <f>SUMIFS(台帳!$I$2:$I$2000,台帳!$A$2:$A$2000,$A96,台帳!$F$2:$F$2000,L$4)</f>
        <v>0</v>
      </c>
      <c r="M96" s="46">
        <f>SUMIFS(台帳!$I$2:$I$2000,台帳!$A$2:$A$2000,$A96,台帳!$F$2:$F$2000,M$4)</f>
        <v>0</v>
      </c>
      <c r="N96" s="46">
        <f>SUMIFS(台帳!$I$2:$I$2000,台帳!$A$2:$A$2000,$A96,台帳!$F$2:$F$2000,N$4)</f>
        <v>0</v>
      </c>
      <c r="O96" s="46">
        <f>SUMIFS(台帳!$I$2:$I$2000,台帳!$A$2:$A$2000,$A96,台帳!$F$2:$F$2000,O$4)</f>
        <v>0</v>
      </c>
      <c r="P96" s="46">
        <f>SUMIFS(台帳!$I$2:$I$2000,台帳!$A$2:$A$2000,$A96,台帳!$F$2:$F$2000,P$4)</f>
        <v>0</v>
      </c>
      <c r="Q96" s="46">
        <f>SUMIFS(台帳!$I$2:$I$2000,台帳!$A$2:$A$2000,$A96,台帳!$F$2:$F$2000,Q$4)</f>
        <v>0</v>
      </c>
      <c r="R96" s="46">
        <f>SUMIFS(台帳!$I$2:$I$2000,台帳!$A$2:$A$2000,$A96,台帳!$F$2:$F$2000,R$4)</f>
        <v>3</v>
      </c>
      <c r="S96" s="46">
        <f>SUMIFS(台帳!$I$2:$I$2000,台帳!$A$2:$A$2000,$A96,台帳!$F$2:$F$2000,S$4)</f>
        <v>0</v>
      </c>
      <c r="T96" s="46">
        <f>SUMIFS(台帳!$I$2:$I$2000,台帳!$A$2:$A$2000,$A96,台帳!$F$2:$F$2000,T$4)</f>
        <v>0</v>
      </c>
      <c r="U96" s="46">
        <f>SUMIFS(台帳!$I$2:$I$2000,台帳!$A$2:$A$2000,$A96,台帳!$F$2:$F$2000,U$4)</f>
        <v>0</v>
      </c>
      <c r="V96" s="46">
        <f>SUMIFS(台帳!$I$2:$I$2000,台帳!$A$2:$A$2000,$A96,台帳!$F$2:$F$2000,V$4)</f>
        <v>0</v>
      </c>
      <c r="W96" s="46">
        <f>SUMIFS(台帳!$I$2:$I$2000,台帳!$A$2:$A$2000,$A96,台帳!$F$2:$F$2000,W$4)</f>
        <v>0</v>
      </c>
      <c r="X96" s="46">
        <f>SUMIFS(台帳!$I$2:$I$2000,台帳!$A$2:$A$2000,$A96,台帳!$F$2:$F$2000,X$4)</f>
        <v>0</v>
      </c>
      <c r="Y96" s="46">
        <f>SUMIFS(台帳!$I$2:$I$2000,台帳!$A$2:$A$2000,$A96,台帳!$F$2:$F$2000,Y$4)</f>
        <v>0</v>
      </c>
      <c r="Z96" s="46">
        <f>SUMIFS(台帳!$I$2:$I$2000,台帳!$A$2:$A$2000,$A96,台帳!$F$2:$F$2000,Z$4)</f>
        <v>0</v>
      </c>
      <c r="AA96" s="46">
        <f>SUMIFS(台帳!$I$2:$I$2000,台帳!$A$2:$A$2000,$A96,台帳!$F$2:$F$2000,AA$4)</f>
        <v>0</v>
      </c>
      <c r="AB96" s="46">
        <f>SUMIFS(台帳!$I$2:$I$2000,台帳!$A$2:$A$2000,$A96,台帳!$F$2:$F$2000,AB$4)</f>
        <v>0</v>
      </c>
      <c r="AC96" s="46">
        <f>SUMIFS(台帳!$I$2:$I$2000,台帳!$A$2:$A$2000,$A96,台帳!$F$2:$F$2000,AC$4)</f>
        <v>0</v>
      </c>
      <c r="AD96" s="46">
        <f>SUMIFS(台帳!$I$2:$I$2000,台帳!$A$2:$A$2000,$A96,台帳!$F$2:$F$2000,AD$4)</f>
        <v>0</v>
      </c>
      <c r="AE96" s="46">
        <f>SUMIFS(台帳!$I$2:$I$2000,台帳!$A$2:$A$2000,$A96,台帳!$F$2:$F$2000,AE$4)</f>
        <v>0</v>
      </c>
      <c r="AF96" s="46">
        <f>SUMIFS(台帳!$I$2:$I$2000,台帳!$A$2:$A$2000,$A96,台帳!$F$2:$F$2000,AF$4)</f>
        <v>0</v>
      </c>
      <c r="AG96" s="46">
        <f>SUMIFS(台帳!$I$2:$I$2000,台帳!$A$2:$A$2000,$A96,台帳!$F$2:$F$2000,AG$4)</f>
        <v>0</v>
      </c>
      <c r="AH96" s="46">
        <f>SUMIFS(台帳!$I$2:$I$2000,台帳!$A$2:$A$2000,$A96,台帳!$F$2:$F$2000,AH$4)</f>
        <v>0</v>
      </c>
      <c r="AI96" s="46">
        <f>SUMIFS(台帳!$I$2:$I$2000,台帳!$A$2:$A$2000,$A96,台帳!$F$2:$F$2000,AI$4)</f>
        <v>0</v>
      </c>
      <c r="AJ96" s="46">
        <f>SUMIFS(台帳!$I$2:$I$2000,台帳!$A$2:$A$2000,$A96,台帳!$F$2:$F$2000,AJ$4)</f>
        <v>0</v>
      </c>
      <c r="AK96" s="46">
        <f>SUMIFS(台帳!$I$2:$I$2000,台帳!$A$2:$A$2000,$A96,台帳!$F$2:$F$2000,AK$4)</f>
        <v>0</v>
      </c>
      <c r="AL96" s="46">
        <f>SUMIFS(台帳!$I$2:$I$2000,台帳!$A$2:$A$2000,$A96,台帳!$F$2:$F$2000,AL$4)</f>
        <v>0</v>
      </c>
      <c r="AM96" s="46">
        <f>SUMIFS(台帳!$I$2:$I$2000,台帳!$A$2:$A$2000,$A96,台帳!$F$2:$F$2000,AM$4)</f>
        <v>0</v>
      </c>
      <c r="AN96" s="46">
        <f>SUMIFS(台帳!$I$2:$I$2000,台帳!$A$2:$A$2000,$A96,台帳!$F$2:$F$2000,AN$4)</f>
        <v>0</v>
      </c>
      <c r="AO96" s="46">
        <f>SUMIFS(台帳!$I$2:$I$2000,台帳!$A$2:$A$2000,$A96,台帳!$F$2:$F$2000,AO$4)</f>
        <v>0</v>
      </c>
      <c r="AP96" s="46">
        <f>SUMIFS(台帳!$I$2:$I$2000,台帳!$A$2:$A$2000,$A96,台帳!$F$2:$F$2000,AP$4)</f>
        <v>0</v>
      </c>
      <c r="AQ96" s="46">
        <f>SUMIFS(台帳!$I$2:$I$2000,台帳!$A$2:$A$2000,$A96,台帳!$F$2:$F$2000,AQ$4)</f>
        <v>0</v>
      </c>
      <c r="AR96" s="46">
        <f>SUM(C96:AQ96)</f>
        <v>3</v>
      </c>
    </row>
    <row r="97" spans="1:44" ht="17.25" x14ac:dyDescent="0.35">
      <c r="A97" s="44">
        <v>46224</v>
      </c>
      <c r="B97" s="45" t="str">
        <f>CHOOSE(WEEKDAY(A97),"日","月","火","水","木","金","土")</f>
        <v>火</v>
      </c>
      <c r="C97" s="46">
        <f>SUMIFS(台帳!$I$2:$I$2000,台帳!$A$2:$A$2000,$A97,台帳!$F$2:$F$2000,C$4)</f>
        <v>0</v>
      </c>
      <c r="D97" s="46">
        <f>SUMIFS(台帳!$I$2:$I$2000,台帳!$A$2:$A$2000,$A97,台帳!$F$2:$F$2000,D$4)</f>
        <v>0</v>
      </c>
      <c r="E97" s="46">
        <f>SUMIFS(台帳!$I$2:$I$2000,台帳!$A$2:$A$2000,$A97,台帳!$F$2:$F$2000,E$4)</f>
        <v>0</v>
      </c>
      <c r="F97" s="46">
        <f>SUMIFS(台帳!$I$2:$I$2000,台帳!$A$2:$A$2000,$A97,台帳!$F$2:$F$2000,F$4)</f>
        <v>0</v>
      </c>
      <c r="G97" s="46">
        <f>SUMIFS(台帳!$I$2:$I$2000,台帳!$A$2:$A$2000,$A97,台帳!$F$2:$F$2000,G$4)</f>
        <v>0</v>
      </c>
      <c r="H97" s="46">
        <f>SUMIFS(台帳!$I$2:$I$2000,台帳!$A$2:$A$2000,$A97,台帳!$F$2:$F$2000,H$4)</f>
        <v>0</v>
      </c>
      <c r="I97" s="46">
        <f>SUMIFS(台帳!$I$2:$I$2000,台帳!$A$2:$A$2000,$A97,台帳!$F$2:$F$2000,I$4)</f>
        <v>0</v>
      </c>
      <c r="J97" s="46">
        <f>SUMIFS(台帳!$I$2:$I$2000,台帳!$A$2:$A$2000,$A97,台帳!$F$2:$F$2000,J$4)</f>
        <v>0</v>
      </c>
      <c r="K97" s="46">
        <f>SUMIFS(台帳!$I$2:$I$2000,台帳!$A$2:$A$2000,$A97,台帳!$F$2:$F$2000,K$4)</f>
        <v>0</v>
      </c>
      <c r="L97" s="46">
        <f>SUMIFS(台帳!$I$2:$I$2000,台帳!$A$2:$A$2000,$A97,台帳!$F$2:$F$2000,L$4)</f>
        <v>0</v>
      </c>
      <c r="M97" s="46">
        <f>SUMIFS(台帳!$I$2:$I$2000,台帳!$A$2:$A$2000,$A97,台帳!$F$2:$F$2000,M$4)</f>
        <v>0</v>
      </c>
      <c r="N97" s="46">
        <f>SUMIFS(台帳!$I$2:$I$2000,台帳!$A$2:$A$2000,$A97,台帳!$F$2:$F$2000,N$4)</f>
        <v>0</v>
      </c>
      <c r="O97" s="46">
        <f>SUMIFS(台帳!$I$2:$I$2000,台帳!$A$2:$A$2000,$A97,台帳!$F$2:$F$2000,O$4)</f>
        <v>0</v>
      </c>
      <c r="P97" s="46">
        <f>SUMIFS(台帳!$I$2:$I$2000,台帳!$A$2:$A$2000,$A97,台帳!$F$2:$F$2000,P$4)</f>
        <v>0</v>
      </c>
      <c r="Q97" s="46">
        <f>SUMIFS(台帳!$I$2:$I$2000,台帳!$A$2:$A$2000,$A97,台帳!$F$2:$F$2000,Q$4)</f>
        <v>0</v>
      </c>
      <c r="R97" s="46">
        <f>SUMIFS(台帳!$I$2:$I$2000,台帳!$A$2:$A$2000,$A97,台帳!$F$2:$F$2000,R$4)</f>
        <v>0</v>
      </c>
      <c r="S97" s="46">
        <f>SUMIFS(台帳!$I$2:$I$2000,台帳!$A$2:$A$2000,$A97,台帳!$F$2:$F$2000,S$4)</f>
        <v>3</v>
      </c>
      <c r="T97" s="46">
        <f>SUMIFS(台帳!$I$2:$I$2000,台帳!$A$2:$A$2000,$A97,台帳!$F$2:$F$2000,T$4)</f>
        <v>0</v>
      </c>
      <c r="U97" s="46">
        <f>SUMIFS(台帳!$I$2:$I$2000,台帳!$A$2:$A$2000,$A97,台帳!$F$2:$F$2000,U$4)</f>
        <v>0</v>
      </c>
      <c r="V97" s="46">
        <f>SUMIFS(台帳!$I$2:$I$2000,台帳!$A$2:$A$2000,$A97,台帳!$F$2:$F$2000,V$4)</f>
        <v>0</v>
      </c>
      <c r="W97" s="46">
        <f>SUMIFS(台帳!$I$2:$I$2000,台帳!$A$2:$A$2000,$A97,台帳!$F$2:$F$2000,W$4)</f>
        <v>0</v>
      </c>
      <c r="X97" s="46">
        <f>SUMIFS(台帳!$I$2:$I$2000,台帳!$A$2:$A$2000,$A97,台帳!$F$2:$F$2000,X$4)</f>
        <v>0</v>
      </c>
      <c r="Y97" s="46">
        <f>SUMIFS(台帳!$I$2:$I$2000,台帳!$A$2:$A$2000,$A97,台帳!$F$2:$F$2000,Y$4)</f>
        <v>0</v>
      </c>
      <c r="Z97" s="46">
        <f>SUMIFS(台帳!$I$2:$I$2000,台帳!$A$2:$A$2000,$A97,台帳!$F$2:$F$2000,Z$4)</f>
        <v>0</v>
      </c>
      <c r="AA97" s="46">
        <f>SUMIFS(台帳!$I$2:$I$2000,台帳!$A$2:$A$2000,$A97,台帳!$F$2:$F$2000,AA$4)</f>
        <v>0</v>
      </c>
      <c r="AB97" s="46">
        <f>SUMIFS(台帳!$I$2:$I$2000,台帳!$A$2:$A$2000,$A97,台帳!$F$2:$F$2000,AB$4)</f>
        <v>0</v>
      </c>
      <c r="AC97" s="46">
        <f>SUMIFS(台帳!$I$2:$I$2000,台帳!$A$2:$A$2000,$A97,台帳!$F$2:$F$2000,AC$4)</f>
        <v>0</v>
      </c>
      <c r="AD97" s="46">
        <f>SUMIFS(台帳!$I$2:$I$2000,台帳!$A$2:$A$2000,$A97,台帳!$F$2:$F$2000,AD$4)</f>
        <v>0</v>
      </c>
      <c r="AE97" s="46">
        <f>SUMIFS(台帳!$I$2:$I$2000,台帳!$A$2:$A$2000,$A97,台帳!$F$2:$F$2000,AE$4)</f>
        <v>0</v>
      </c>
      <c r="AF97" s="46">
        <f>SUMIFS(台帳!$I$2:$I$2000,台帳!$A$2:$A$2000,$A97,台帳!$F$2:$F$2000,AF$4)</f>
        <v>0</v>
      </c>
      <c r="AG97" s="46">
        <f>SUMIFS(台帳!$I$2:$I$2000,台帳!$A$2:$A$2000,$A97,台帳!$F$2:$F$2000,AG$4)</f>
        <v>0</v>
      </c>
      <c r="AH97" s="46">
        <f>SUMIFS(台帳!$I$2:$I$2000,台帳!$A$2:$A$2000,$A97,台帳!$F$2:$F$2000,AH$4)</f>
        <v>0</v>
      </c>
      <c r="AI97" s="46">
        <f>SUMIFS(台帳!$I$2:$I$2000,台帳!$A$2:$A$2000,$A97,台帳!$F$2:$F$2000,AI$4)</f>
        <v>0</v>
      </c>
      <c r="AJ97" s="46">
        <f>SUMIFS(台帳!$I$2:$I$2000,台帳!$A$2:$A$2000,$A97,台帳!$F$2:$F$2000,AJ$4)</f>
        <v>0</v>
      </c>
      <c r="AK97" s="46">
        <f>SUMIFS(台帳!$I$2:$I$2000,台帳!$A$2:$A$2000,$A97,台帳!$F$2:$F$2000,AK$4)</f>
        <v>0</v>
      </c>
      <c r="AL97" s="46">
        <f>SUMIFS(台帳!$I$2:$I$2000,台帳!$A$2:$A$2000,$A97,台帳!$F$2:$F$2000,AL$4)</f>
        <v>0</v>
      </c>
      <c r="AM97" s="46">
        <f>SUMIFS(台帳!$I$2:$I$2000,台帳!$A$2:$A$2000,$A97,台帳!$F$2:$F$2000,AM$4)</f>
        <v>0</v>
      </c>
      <c r="AN97" s="46">
        <f>SUMIFS(台帳!$I$2:$I$2000,台帳!$A$2:$A$2000,$A97,台帳!$F$2:$F$2000,AN$4)</f>
        <v>0</v>
      </c>
      <c r="AO97" s="46">
        <f>SUMIFS(台帳!$I$2:$I$2000,台帳!$A$2:$A$2000,$A97,台帳!$F$2:$F$2000,AO$4)</f>
        <v>0</v>
      </c>
      <c r="AP97" s="46">
        <f>SUMIFS(台帳!$I$2:$I$2000,台帳!$A$2:$A$2000,$A97,台帳!$F$2:$F$2000,AP$4)</f>
        <v>0</v>
      </c>
      <c r="AQ97" s="46">
        <f>SUMIFS(台帳!$I$2:$I$2000,台帳!$A$2:$A$2000,$A97,台帳!$F$2:$F$2000,AQ$4)</f>
        <v>0</v>
      </c>
      <c r="AR97" s="46">
        <f>SUM(C97:AQ97)</f>
        <v>3</v>
      </c>
    </row>
    <row r="98" spans="1:44" ht="17.25" x14ac:dyDescent="0.35">
      <c r="A98" s="44">
        <v>46225</v>
      </c>
      <c r="B98" s="45" t="str">
        <f>CHOOSE(WEEKDAY(A98),"日","月","火","水","木","金","土")</f>
        <v>水</v>
      </c>
      <c r="C98" s="46">
        <f>SUMIFS(台帳!$I$2:$I$2000,台帳!$A$2:$A$2000,$A98,台帳!$F$2:$F$2000,C$4)</f>
        <v>0</v>
      </c>
      <c r="D98" s="46">
        <f>SUMIFS(台帳!$I$2:$I$2000,台帳!$A$2:$A$2000,$A98,台帳!$F$2:$F$2000,D$4)</f>
        <v>0</v>
      </c>
      <c r="E98" s="46">
        <f>SUMIFS(台帳!$I$2:$I$2000,台帳!$A$2:$A$2000,$A98,台帳!$F$2:$F$2000,E$4)</f>
        <v>0</v>
      </c>
      <c r="F98" s="46">
        <f>SUMIFS(台帳!$I$2:$I$2000,台帳!$A$2:$A$2000,$A98,台帳!$F$2:$F$2000,F$4)</f>
        <v>0</v>
      </c>
      <c r="G98" s="46">
        <f>SUMIFS(台帳!$I$2:$I$2000,台帳!$A$2:$A$2000,$A98,台帳!$F$2:$F$2000,G$4)</f>
        <v>0</v>
      </c>
      <c r="H98" s="46">
        <f>SUMIFS(台帳!$I$2:$I$2000,台帳!$A$2:$A$2000,$A98,台帳!$F$2:$F$2000,H$4)</f>
        <v>0</v>
      </c>
      <c r="I98" s="46">
        <f>SUMIFS(台帳!$I$2:$I$2000,台帳!$A$2:$A$2000,$A98,台帳!$F$2:$F$2000,I$4)</f>
        <v>0</v>
      </c>
      <c r="J98" s="46">
        <f>SUMIFS(台帳!$I$2:$I$2000,台帳!$A$2:$A$2000,$A98,台帳!$F$2:$F$2000,J$4)</f>
        <v>0</v>
      </c>
      <c r="K98" s="46">
        <f>SUMIFS(台帳!$I$2:$I$2000,台帳!$A$2:$A$2000,$A98,台帳!$F$2:$F$2000,K$4)</f>
        <v>0</v>
      </c>
      <c r="L98" s="46">
        <f>SUMIFS(台帳!$I$2:$I$2000,台帳!$A$2:$A$2000,$A98,台帳!$F$2:$F$2000,L$4)</f>
        <v>0</v>
      </c>
      <c r="M98" s="46">
        <f>SUMIFS(台帳!$I$2:$I$2000,台帳!$A$2:$A$2000,$A98,台帳!$F$2:$F$2000,M$4)</f>
        <v>0</v>
      </c>
      <c r="N98" s="46">
        <f>SUMIFS(台帳!$I$2:$I$2000,台帳!$A$2:$A$2000,$A98,台帳!$F$2:$F$2000,N$4)</f>
        <v>0</v>
      </c>
      <c r="O98" s="46">
        <f>SUMIFS(台帳!$I$2:$I$2000,台帳!$A$2:$A$2000,$A98,台帳!$F$2:$F$2000,O$4)</f>
        <v>0</v>
      </c>
      <c r="P98" s="46">
        <f>SUMIFS(台帳!$I$2:$I$2000,台帳!$A$2:$A$2000,$A98,台帳!$F$2:$F$2000,P$4)</f>
        <v>0</v>
      </c>
      <c r="Q98" s="46">
        <f>SUMIFS(台帳!$I$2:$I$2000,台帳!$A$2:$A$2000,$A98,台帳!$F$2:$F$2000,Q$4)</f>
        <v>0</v>
      </c>
      <c r="R98" s="46">
        <f>SUMIFS(台帳!$I$2:$I$2000,台帳!$A$2:$A$2000,$A98,台帳!$F$2:$F$2000,R$4)</f>
        <v>0</v>
      </c>
      <c r="S98" s="46">
        <f>SUMIFS(台帳!$I$2:$I$2000,台帳!$A$2:$A$2000,$A98,台帳!$F$2:$F$2000,S$4)</f>
        <v>3</v>
      </c>
      <c r="T98" s="46">
        <f>SUMIFS(台帳!$I$2:$I$2000,台帳!$A$2:$A$2000,$A98,台帳!$F$2:$F$2000,T$4)</f>
        <v>0</v>
      </c>
      <c r="U98" s="46">
        <f>SUMIFS(台帳!$I$2:$I$2000,台帳!$A$2:$A$2000,$A98,台帳!$F$2:$F$2000,U$4)</f>
        <v>0</v>
      </c>
      <c r="V98" s="46">
        <f>SUMIFS(台帳!$I$2:$I$2000,台帳!$A$2:$A$2000,$A98,台帳!$F$2:$F$2000,V$4)</f>
        <v>0</v>
      </c>
      <c r="W98" s="46">
        <f>SUMIFS(台帳!$I$2:$I$2000,台帳!$A$2:$A$2000,$A98,台帳!$F$2:$F$2000,W$4)</f>
        <v>0</v>
      </c>
      <c r="X98" s="46">
        <f>SUMIFS(台帳!$I$2:$I$2000,台帳!$A$2:$A$2000,$A98,台帳!$F$2:$F$2000,X$4)</f>
        <v>0</v>
      </c>
      <c r="Y98" s="46">
        <f>SUMIFS(台帳!$I$2:$I$2000,台帳!$A$2:$A$2000,$A98,台帳!$F$2:$F$2000,Y$4)</f>
        <v>0</v>
      </c>
      <c r="Z98" s="46">
        <f>SUMIFS(台帳!$I$2:$I$2000,台帳!$A$2:$A$2000,$A98,台帳!$F$2:$F$2000,Z$4)</f>
        <v>0</v>
      </c>
      <c r="AA98" s="46">
        <f>SUMIFS(台帳!$I$2:$I$2000,台帳!$A$2:$A$2000,$A98,台帳!$F$2:$F$2000,AA$4)</f>
        <v>0</v>
      </c>
      <c r="AB98" s="46">
        <f>SUMIFS(台帳!$I$2:$I$2000,台帳!$A$2:$A$2000,$A98,台帳!$F$2:$F$2000,AB$4)</f>
        <v>0</v>
      </c>
      <c r="AC98" s="46">
        <f>SUMIFS(台帳!$I$2:$I$2000,台帳!$A$2:$A$2000,$A98,台帳!$F$2:$F$2000,AC$4)</f>
        <v>0</v>
      </c>
      <c r="AD98" s="46">
        <f>SUMIFS(台帳!$I$2:$I$2000,台帳!$A$2:$A$2000,$A98,台帳!$F$2:$F$2000,AD$4)</f>
        <v>0</v>
      </c>
      <c r="AE98" s="46">
        <f>SUMIFS(台帳!$I$2:$I$2000,台帳!$A$2:$A$2000,$A98,台帳!$F$2:$F$2000,AE$4)</f>
        <v>0</v>
      </c>
      <c r="AF98" s="46">
        <f>SUMIFS(台帳!$I$2:$I$2000,台帳!$A$2:$A$2000,$A98,台帳!$F$2:$F$2000,AF$4)</f>
        <v>0</v>
      </c>
      <c r="AG98" s="46">
        <f>SUMIFS(台帳!$I$2:$I$2000,台帳!$A$2:$A$2000,$A98,台帳!$F$2:$F$2000,AG$4)</f>
        <v>0</v>
      </c>
      <c r="AH98" s="46">
        <f>SUMIFS(台帳!$I$2:$I$2000,台帳!$A$2:$A$2000,$A98,台帳!$F$2:$F$2000,AH$4)</f>
        <v>0</v>
      </c>
      <c r="AI98" s="46">
        <f>SUMIFS(台帳!$I$2:$I$2000,台帳!$A$2:$A$2000,$A98,台帳!$F$2:$F$2000,AI$4)</f>
        <v>0</v>
      </c>
      <c r="AJ98" s="46">
        <f>SUMIFS(台帳!$I$2:$I$2000,台帳!$A$2:$A$2000,$A98,台帳!$F$2:$F$2000,AJ$4)</f>
        <v>0</v>
      </c>
      <c r="AK98" s="46">
        <f>SUMIFS(台帳!$I$2:$I$2000,台帳!$A$2:$A$2000,$A98,台帳!$F$2:$F$2000,AK$4)</f>
        <v>0</v>
      </c>
      <c r="AL98" s="46">
        <f>SUMIFS(台帳!$I$2:$I$2000,台帳!$A$2:$A$2000,$A98,台帳!$F$2:$F$2000,AL$4)</f>
        <v>0</v>
      </c>
      <c r="AM98" s="46">
        <f>SUMIFS(台帳!$I$2:$I$2000,台帳!$A$2:$A$2000,$A98,台帳!$F$2:$F$2000,AM$4)</f>
        <v>0</v>
      </c>
      <c r="AN98" s="46">
        <f>SUMIFS(台帳!$I$2:$I$2000,台帳!$A$2:$A$2000,$A98,台帳!$F$2:$F$2000,AN$4)</f>
        <v>0</v>
      </c>
      <c r="AO98" s="46">
        <f>SUMIFS(台帳!$I$2:$I$2000,台帳!$A$2:$A$2000,$A98,台帳!$F$2:$F$2000,AO$4)</f>
        <v>0</v>
      </c>
      <c r="AP98" s="46">
        <f>SUMIFS(台帳!$I$2:$I$2000,台帳!$A$2:$A$2000,$A98,台帳!$F$2:$F$2000,AP$4)</f>
        <v>0</v>
      </c>
      <c r="AQ98" s="46">
        <f>SUMIFS(台帳!$I$2:$I$2000,台帳!$A$2:$A$2000,$A98,台帳!$F$2:$F$2000,AQ$4)</f>
        <v>0</v>
      </c>
      <c r="AR98" s="46">
        <f>SUM(C98:AQ98)</f>
        <v>3</v>
      </c>
    </row>
    <row r="99" spans="1:44" ht="17.25" x14ac:dyDescent="0.35">
      <c r="A99" s="44">
        <v>46226</v>
      </c>
      <c r="B99" s="45" t="str">
        <f>CHOOSE(WEEKDAY(A99),"日","月","火","水","木","金","土")</f>
        <v>木</v>
      </c>
      <c r="C99" s="46">
        <f>SUMIFS(台帳!$I$2:$I$2000,台帳!$A$2:$A$2000,$A99,台帳!$F$2:$F$2000,C$4)</f>
        <v>0</v>
      </c>
      <c r="D99" s="46">
        <f>SUMIFS(台帳!$I$2:$I$2000,台帳!$A$2:$A$2000,$A99,台帳!$F$2:$F$2000,D$4)</f>
        <v>0</v>
      </c>
      <c r="E99" s="46">
        <f>SUMIFS(台帳!$I$2:$I$2000,台帳!$A$2:$A$2000,$A99,台帳!$F$2:$F$2000,E$4)</f>
        <v>0</v>
      </c>
      <c r="F99" s="46">
        <f>SUMIFS(台帳!$I$2:$I$2000,台帳!$A$2:$A$2000,$A99,台帳!$F$2:$F$2000,F$4)</f>
        <v>0</v>
      </c>
      <c r="G99" s="46">
        <f>SUMIFS(台帳!$I$2:$I$2000,台帳!$A$2:$A$2000,$A99,台帳!$F$2:$F$2000,G$4)</f>
        <v>0</v>
      </c>
      <c r="H99" s="46">
        <f>SUMIFS(台帳!$I$2:$I$2000,台帳!$A$2:$A$2000,$A99,台帳!$F$2:$F$2000,H$4)</f>
        <v>0</v>
      </c>
      <c r="I99" s="46">
        <f>SUMIFS(台帳!$I$2:$I$2000,台帳!$A$2:$A$2000,$A99,台帳!$F$2:$F$2000,I$4)</f>
        <v>0</v>
      </c>
      <c r="J99" s="46">
        <f>SUMIFS(台帳!$I$2:$I$2000,台帳!$A$2:$A$2000,$A99,台帳!$F$2:$F$2000,J$4)</f>
        <v>0</v>
      </c>
      <c r="K99" s="46">
        <f>SUMIFS(台帳!$I$2:$I$2000,台帳!$A$2:$A$2000,$A99,台帳!$F$2:$F$2000,K$4)</f>
        <v>0</v>
      </c>
      <c r="L99" s="46">
        <f>SUMIFS(台帳!$I$2:$I$2000,台帳!$A$2:$A$2000,$A99,台帳!$F$2:$F$2000,L$4)</f>
        <v>0</v>
      </c>
      <c r="M99" s="46">
        <f>SUMIFS(台帳!$I$2:$I$2000,台帳!$A$2:$A$2000,$A99,台帳!$F$2:$F$2000,M$4)</f>
        <v>0</v>
      </c>
      <c r="N99" s="46">
        <f>SUMIFS(台帳!$I$2:$I$2000,台帳!$A$2:$A$2000,$A99,台帳!$F$2:$F$2000,N$4)</f>
        <v>0</v>
      </c>
      <c r="O99" s="46">
        <f>SUMIFS(台帳!$I$2:$I$2000,台帳!$A$2:$A$2000,$A99,台帳!$F$2:$F$2000,O$4)</f>
        <v>0</v>
      </c>
      <c r="P99" s="46">
        <f>SUMIFS(台帳!$I$2:$I$2000,台帳!$A$2:$A$2000,$A99,台帳!$F$2:$F$2000,P$4)</f>
        <v>0</v>
      </c>
      <c r="Q99" s="46">
        <f>SUMIFS(台帳!$I$2:$I$2000,台帳!$A$2:$A$2000,$A99,台帳!$F$2:$F$2000,Q$4)</f>
        <v>0</v>
      </c>
      <c r="R99" s="46">
        <f>SUMIFS(台帳!$I$2:$I$2000,台帳!$A$2:$A$2000,$A99,台帳!$F$2:$F$2000,R$4)</f>
        <v>0</v>
      </c>
      <c r="S99" s="46">
        <f>SUMIFS(台帳!$I$2:$I$2000,台帳!$A$2:$A$2000,$A99,台帳!$F$2:$F$2000,S$4)</f>
        <v>2</v>
      </c>
      <c r="T99" s="46">
        <f>SUMIFS(台帳!$I$2:$I$2000,台帳!$A$2:$A$2000,$A99,台帳!$F$2:$F$2000,T$4)</f>
        <v>0</v>
      </c>
      <c r="U99" s="46">
        <f>SUMIFS(台帳!$I$2:$I$2000,台帳!$A$2:$A$2000,$A99,台帳!$F$2:$F$2000,U$4)</f>
        <v>0</v>
      </c>
      <c r="V99" s="46">
        <f>SUMIFS(台帳!$I$2:$I$2000,台帳!$A$2:$A$2000,$A99,台帳!$F$2:$F$2000,V$4)</f>
        <v>0</v>
      </c>
      <c r="W99" s="46">
        <f>SUMIFS(台帳!$I$2:$I$2000,台帳!$A$2:$A$2000,$A99,台帳!$F$2:$F$2000,W$4)</f>
        <v>0</v>
      </c>
      <c r="X99" s="46">
        <f>SUMIFS(台帳!$I$2:$I$2000,台帳!$A$2:$A$2000,$A99,台帳!$F$2:$F$2000,X$4)</f>
        <v>0</v>
      </c>
      <c r="Y99" s="46">
        <f>SUMIFS(台帳!$I$2:$I$2000,台帳!$A$2:$A$2000,$A99,台帳!$F$2:$F$2000,Y$4)</f>
        <v>0</v>
      </c>
      <c r="Z99" s="46">
        <f>SUMIFS(台帳!$I$2:$I$2000,台帳!$A$2:$A$2000,$A99,台帳!$F$2:$F$2000,Z$4)</f>
        <v>0</v>
      </c>
      <c r="AA99" s="46">
        <f>SUMIFS(台帳!$I$2:$I$2000,台帳!$A$2:$A$2000,$A99,台帳!$F$2:$F$2000,AA$4)</f>
        <v>0</v>
      </c>
      <c r="AB99" s="46">
        <f>SUMIFS(台帳!$I$2:$I$2000,台帳!$A$2:$A$2000,$A99,台帳!$F$2:$F$2000,AB$4)</f>
        <v>0</v>
      </c>
      <c r="AC99" s="46">
        <f>SUMIFS(台帳!$I$2:$I$2000,台帳!$A$2:$A$2000,$A99,台帳!$F$2:$F$2000,AC$4)</f>
        <v>0</v>
      </c>
      <c r="AD99" s="46">
        <f>SUMIFS(台帳!$I$2:$I$2000,台帳!$A$2:$A$2000,$A99,台帳!$F$2:$F$2000,AD$4)</f>
        <v>0</v>
      </c>
      <c r="AE99" s="46">
        <f>SUMIFS(台帳!$I$2:$I$2000,台帳!$A$2:$A$2000,$A99,台帳!$F$2:$F$2000,AE$4)</f>
        <v>0</v>
      </c>
      <c r="AF99" s="46">
        <f>SUMIFS(台帳!$I$2:$I$2000,台帳!$A$2:$A$2000,$A99,台帳!$F$2:$F$2000,AF$4)</f>
        <v>0</v>
      </c>
      <c r="AG99" s="46">
        <f>SUMIFS(台帳!$I$2:$I$2000,台帳!$A$2:$A$2000,$A99,台帳!$F$2:$F$2000,AG$4)</f>
        <v>0</v>
      </c>
      <c r="AH99" s="46">
        <f>SUMIFS(台帳!$I$2:$I$2000,台帳!$A$2:$A$2000,$A99,台帳!$F$2:$F$2000,AH$4)</f>
        <v>0</v>
      </c>
      <c r="AI99" s="46">
        <f>SUMIFS(台帳!$I$2:$I$2000,台帳!$A$2:$A$2000,$A99,台帳!$F$2:$F$2000,AI$4)</f>
        <v>0</v>
      </c>
      <c r="AJ99" s="46">
        <f>SUMIFS(台帳!$I$2:$I$2000,台帳!$A$2:$A$2000,$A99,台帳!$F$2:$F$2000,AJ$4)</f>
        <v>0</v>
      </c>
      <c r="AK99" s="46">
        <f>SUMIFS(台帳!$I$2:$I$2000,台帳!$A$2:$A$2000,$A99,台帳!$F$2:$F$2000,AK$4)</f>
        <v>0</v>
      </c>
      <c r="AL99" s="46">
        <f>SUMIFS(台帳!$I$2:$I$2000,台帳!$A$2:$A$2000,$A99,台帳!$F$2:$F$2000,AL$4)</f>
        <v>0</v>
      </c>
      <c r="AM99" s="46">
        <f>SUMIFS(台帳!$I$2:$I$2000,台帳!$A$2:$A$2000,$A99,台帳!$F$2:$F$2000,AM$4)</f>
        <v>0</v>
      </c>
      <c r="AN99" s="46">
        <f>SUMIFS(台帳!$I$2:$I$2000,台帳!$A$2:$A$2000,$A99,台帳!$F$2:$F$2000,AN$4)</f>
        <v>0</v>
      </c>
      <c r="AO99" s="46">
        <f>SUMIFS(台帳!$I$2:$I$2000,台帳!$A$2:$A$2000,$A99,台帳!$F$2:$F$2000,AO$4)</f>
        <v>0</v>
      </c>
      <c r="AP99" s="46">
        <f>SUMIFS(台帳!$I$2:$I$2000,台帳!$A$2:$A$2000,$A99,台帳!$F$2:$F$2000,AP$4)</f>
        <v>0</v>
      </c>
      <c r="AQ99" s="46">
        <f>SUMIFS(台帳!$I$2:$I$2000,台帳!$A$2:$A$2000,$A99,台帳!$F$2:$F$2000,AQ$4)</f>
        <v>0</v>
      </c>
      <c r="AR99" s="46">
        <f>SUM(C99:AQ99)</f>
        <v>2</v>
      </c>
    </row>
    <row r="100" spans="1:44" ht="17.25" x14ac:dyDescent="0.35">
      <c r="A100" s="44">
        <v>46227</v>
      </c>
      <c r="B100" s="45" t="str">
        <f>CHOOSE(WEEKDAY(A100),"日","月","火","水","木","金","土")</f>
        <v>金</v>
      </c>
      <c r="C100" s="46">
        <f>SUMIFS(台帳!$I$2:$I$2000,台帳!$A$2:$A$2000,$A100,台帳!$F$2:$F$2000,C$4)</f>
        <v>0</v>
      </c>
      <c r="D100" s="46">
        <f>SUMIFS(台帳!$I$2:$I$2000,台帳!$A$2:$A$2000,$A100,台帳!$F$2:$F$2000,D$4)</f>
        <v>0</v>
      </c>
      <c r="E100" s="46">
        <f>SUMIFS(台帳!$I$2:$I$2000,台帳!$A$2:$A$2000,$A100,台帳!$F$2:$F$2000,E$4)</f>
        <v>0</v>
      </c>
      <c r="F100" s="46">
        <f>SUMIFS(台帳!$I$2:$I$2000,台帳!$A$2:$A$2000,$A100,台帳!$F$2:$F$2000,F$4)</f>
        <v>0</v>
      </c>
      <c r="G100" s="46">
        <f>SUMIFS(台帳!$I$2:$I$2000,台帳!$A$2:$A$2000,$A100,台帳!$F$2:$F$2000,G$4)</f>
        <v>0</v>
      </c>
      <c r="H100" s="46">
        <f>SUMIFS(台帳!$I$2:$I$2000,台帳!$A$2:$A$2000,$A100,台帳!$F$2:$F$2000,H$4)</f>
        <v>0</v>
      </c>
      <c r="I100" s="46">
        <f>SUMIFS(台帳!$I$2:$I$2000,台帳!$A$2:$A$2000,$A100,台帳!$F$2:$F$2000,I$4)</f>
        <v>0</v>
      </c>
      <c r="J100" s="46">
        <f>SUMIFS(台帳!$I$2:$I$2000,台帳!$A$2:$A$2000,$A100,台帳!$F$2:$F$2000,J$4)</f>
        <v>0</v>
      </c>
      <c r="K100" s="46">
        <f>SUMIFS(台帳!$I$2:$I$2000,台帳!$A$2:$A$2000,$A100,台帳!$F$2:$F$2000,K$4)</f>
        <v>0</v>
      </c>
      <c r="L100" s="46">
        <f>SUMIFS(台帳!$I$2:$I$2000,台帳!$A$2:$A$2000,$A100,台帳!$F$2:$F$2000,L$4)</f>
        <v>0</v>
      </c>
      <c r="M100" s="46">
        <f>SUMIFS(台帳!$I$2:$I$2000,台帳!$A$2:$A$2000,$A100,台帳!$F$2:$F$2000,M$4)</f>
        <v>0</v>
      </c>
      <c r="N100" s="46">
        <f>SUMIFS(台帳!$I$2:$I$2000,台帳!$A$2:$A$2000,$A100,台帳!$F$2:$F$2000,N$4)</f>
        <v>0</v>
      </c>
      <c r="O100" s="46">
        <f>SUMIFS(台帳!$I$2:$I$2000,台帳!$A$2:$A$2000,$A100,台帳!$F$2:$F$2000,O$4)</f>
        <v>0</v>
      </c>
      <c r="P100" s="46">
        <f>SUMIFS(台帳!$I$2:$I$2000,台帳!$A$2:$A$2000,$A100,台帳!$F$2:$F$2000,P$4)</f>
        <v>0</v>
      </c>
      <c r="Q100" s="46">
        <f>SUMIFS(台帳!$I$2:$I$2000,台帳!$A$2:$A$2000,$A100,台帳!$F$2:$F$2000,Q$4)</f>
        <v>0</v>
      </c>
      <c r="R100" s="46">
        <f>SUMIFS(台帳!$I$2:$I$2000,台帳!$A$2:$A$2000,$A100,台帳!$F$2:$F$2000,R$4)</f>
        <v>0</v>
      </c>
      <c r="S100" s="46">
        <f>SUMIFS(台帳!$I$2:$I$2000,台帳!$A$2:$A$2000,$A100,台帳!$F$2:$F$2000,S$4)</f>
        <v>2</v>
      </c>
      <c r="T100" s="46">
        <f>SUMIFS(台帳!$I$2:$I$2000,台帳!$A$2:$A$2000,$A100,台帳!$F$2:$F$2000,T$4)</f>
        <v>0</v>
      </c>
      <c r="U100" s="46">
        <f>SUMIFS(台帳!$I$2:$I$2000,台帳!$A$2:$A$2000,$A100,台帳!$F$2:$F$2000,U$4)</f>
        <v>0</v>
      </c>
      <c r="V100" s="46">
        <f>SUMIFS(台帳!$I$2:$I$2000,台帳!$A$2:$A$2000,$A100,台帳!$F$2:$F$2000,V$4)</f>
        <v>0</v>
      </c>
      <c r="W100" s="46">
        <f>SUMIFS(台帳!$I$2:$I$2000,台帳!$A$2:$A$2000,$A100,台帳!$F$2:$F$2000,W$4)</f>
        <v>0</v>
      </c>
      <c r="X100" s="46">
        <f>SUMIFS(台帳!$I$2:$I$2000,台帳!$A$2:$A$2000,$A100,台帳!$F$2:$F$2000,X$4)</f>
        <v>0</v>
      </c>
      <c r="Y100" s="46">
        <f>SUMIFS(台帳!$I$2:$I$2000,台帳!$A$2:$A$2000,$A100,台帳!$F$2:$F$2000,Y$4)</f>
        <v>0</v>
      </c>
      <c r="Z100" s="46">
        <f>SUMIFS(台帳!$I$2:$I$2000,台帳!$A$2:$A$2000,$A100,台帳!$F$2:$F$2000,Z$4)</f>
        <v>0</v>
      </c>
      <c r="AA100" s="46">
        <f>SUMIFS(台帳!$I$2:$I$2000,台帳!$A$2:$A$2000,$A100,台帳!$F$2:$F$2000,AA$4)</f>
        <v>0</v>
      </c>
      <c r="AB100" s="46">
        <f>SUMIFS(台帳!$I$2:$I$2000,台帳!$A$2:$A$2000,$A100,台帳!$F$2:$F$2000,AB$4)</f>
        <v>0</v>
      </c>
      <c r="AC100" s="46">
        <f>SUMIFS(台帳!$I$2:$I$2000,台帳!$A$2:$A$2000,$A100,台帳!$F$2:$F$2000,AC$4)</f>
        <v>0</v>
      </c>
      <c r="AD100" s="46">
        <f>SUMIFS(台帳!$I$2:$I$2000,台帳!$A$2:$A$2000,$A100,台帳!$F$2:$F$2000,AD$4)</f>
        <v>0</v>
      </c>
      <c r="AE100" s="46">
        <f>SUMIFS(台帳!$I$2:$I$2000,台帳!$A$2:$A$2000,$A100,台帳!$F$2:$F$2000,AE$4)</f>
        <v>0</v>
      </c>
      <c r="AF100" s="46">
        <f>SUMIFS(台帳!$I$2:$I$2000,台帳!$A$2:$A$2000,$A100,台帳!$F$2:$F$2000,AF$4)</f>
        <v>0</v>
      </c>
      <c r="AG100" s="46">
        <f>SUMIFS(台帳!$I$2:$I$2000,台帳!$A$2:$A$2000,$A100,台帳!$F$2:$F$2000,AG$4)</f>
        <v>0</v>
      </c>
      <c r="AH100" s="46">
        <f>SUMIFS(台帳!$I$2:$I$2000,台帳!$A$2:$A$2000,$A100,台帳!$F$2:$F$2000,AH$4)</f>
        <v>0</v>
      </c>
      <c r="AI100" s="46">
        <f>SUMIFS(台帳!$I$2:$I$2000,台帳!$A$2:$A$2000,$A100,台帳!$F$2:$F$2000,AI$4)</f>
        <v>0</v>
      </c>
      <c r="AJ100" s="46">
        <f>SUMIFS(台帳!$I$2:$I$2000,台帳!$A$2:$A$2000,$A100,台帳!$F$2:$F$2000,AJ$4)</f>
        <v>0</v>
      </c>
      <c r="AK100" s="46">
        <f>SUMIFS(台帳!$I$2:$I$2000,台帳!$A$2:$A$2000,$A100,台帳!$F$2:$F$2000,AK$4)</f>
        <v>0</v>
      </c>
      <c r="AL100" s="46">
        <f>SUMIFS(台帳!$I$2:$I$2000,台帳!$A$2:$A$2000,$A100,台帳!$F$2:$F$2000,AL$4)</f>
        <v>0</v>
      </c>
      <c r="AM100" s="46">
        <f>SUMIFS(台帳!$I$2:$I$2000,台帳!$A$2:$A$2000,$A100,台帳!$F$2:$F$2000,AM$4)</f>
        <v>0</v>
      </c>
      <c r="AN100" s="46">
        <f>SUMIFS(台帳!$I$2:$I$2000,台帳!$A$2:$A$2000,$A100,台帳!$F$2:$F$2000,AN$4)</f>
        <v>0</v>
      </c>
      <c r="AO100" s="46">
        <f>SUMIFS(台帳!$I$2:$I$2000,台帳!$A$2:$A$2000,$A100,台帳!$F$2:$F$2000,AO$4)</f>
        <v>0</v>
      </c>
      <c r="AP100" s="46">
        <f>SUMIFS(台帳!$I$2:$I$2000,台帳!$A$2:$A$2000,$A100,台帳!$F$2:$F$2000,AP$4)</f>
        <v>0</v>
      </c>
      <c r="AQ100" s="46">
        <f>SUMIFS(台帳!$I$2:$I$2000,台帳!$A$2:$A$2000,$A100,台帳!$F$2:$F$2000,AQ$4)</f>
        <v>0</v>
      </c>
      <c r="AR100" s="46">
        <f>SUM(C100:AQ100)</f>
        <v>2</v>
      </c>
    </row>
    <row r="101" spans="1:44" ht="17.25" x14ac:dyDescent="0.35">
      <c r="A101" s="44">
        <v>46228</v>
      </c>
      <c r="B101" s="45" t="str">
        <f>CHOOSE(WEEKDAY(A101),"日","月","火","水","木","金","土")</f>
        <v>土</v>
      </c>
      <c r="C101" s="46">
        <f>SUMIFS(台帳!$I$2:$I$2000,台帳!$A$2:$A$2000,$A101,台帳!$F$2:$F$2000,C$4)</f>
        <v>0</v>
      </c>
      <c r="D101" s="46">
        <f>SUMIFS(台帳!$I$2:$I$2000,台帳!$A$2:$A$2000,$A101,台帳!$F$2:$F$2000,D$4)</f>
        <v>0</v>
      </c>
      <c r="E101" s="46">
        <f>SUMIFS(台帳!$I$2:$I$2000,台帳!$A$2:$A$2000,$A101,台帳!$F$2:$F$2000,E$4)</f>
        <v>0</v>
      </c>
      <c r="F101" s="46">
        <f>SUMIFS(台帳!$I$2:$I$2000,台帳!$A$2:$A$2000,$A101,台帳!$F$2:$F$2000,F$4)</f>
        <v>0</v>
      </c>
      <c r="G101" s="46">
        <f>SUMIFS(台帳!$I$2:$I$2000,台帳!$A$2:$A$2000,$A101,台帳!$F$2:$F$2000,G$4)</f>
        <v>0</v>
      </c>
      <c r="H101" s="46">
        <f>SUMIFS(台帳!$I$2:$I$2000,台帳!$A$2:$A$2000,$A101,台帳!$F$2:$F$2000,H$4)</f>
        <v>0</v>
      </c>
      <c r="I101" s="46">
        <f>SUMIFS(台帳!$I$2:$I$2000,台帳!$A$2:$A$2000,$A101,台帳!$F$2:$F$2000,I$4)</f>
        <v>0</v>
      </c>
      <c r="J101" s="46">
        <f>SUMIFS(台帳!$I$2:$I$2000,台帳!$A$2:$A$2000,$A101,台帳!$F$2:$F$2000,J$4)</f>
        <v>0</v>
      </c>
      <c r="K101" s="46">
        <f>SUMIFS(台帳!$I$2:$I$2000,台帳!$A$2:$A$2000,$A101,台帳!$F$2:$F$2000,K$4)</f>
        <v>0</v>
      </c>
      <c r="L101" s="46">
        <f>SUMIFS(台帳!$I$2:$I$2000,台帳!$A$2:$A$2000,$A101,台帳!$F$2:$F$2000,L$4)</f>
        <v>0</v>
      </c>
      <c r="M101" s="46">
        <f>SUMIFS(台帳!$I$2:$I$2000,台帳!$A$2:$A$2000,$A101,台帳!$F$2:$F$2000,M$4)</f>
        <v>0</v>
      </c>
      <c r="N101" s="46">
        <f>SUMIFS(台帳!$I$2:$I$2000,台帳!$A$2:$A$2000,$A101,台帳!$F$2:$F$2000,N$4)</f>
        <v>0</v>
      </c>
      <c r="O101" s="46">
        <f>SUMIFS(台帳!$I$2:$I$2000,台帳!$A$2:$A$2000,$A101,台帳!$F$2:$F$2000,O$4)</f>
        <v>0</v>
      </c>
      <c r="P101" s="46">
        <f>SUMIFS(台帳!$I$2:$I$2000,台帳!$A$2:$A$2000,$A101,台帳!$F$2:$F$2000,P$4)</f>
        <v>0</v>
      </c>
      <c r="Q101" s="46">
        <f>SUMIFS(台帳!$I$2:$I$2000,台帳!$A$2:$A$2000,$A101,台帳!$F$2:$F$2000,Q$4)</f>
        <v>0</v>
      </c>
      <c r="R101" s="46">
        <f>SUMIFS(台帳!$I$2:$I$2000,台帳!$A$2:$A$2000,$A101,台帳!$F$2:$F$2000,R$4)</f>
        <v>0</v>
      </c>
      <c r="S101" s="46">
        <f>SUMIFS(台帳!$I$2:$I$2000,台帳!$A$2:$A$2000,$A101,台帳!$F$2:$F$2000,S$4)</f>
        <v>2</v>
      </c>
      <c r="T101" s="46">
        <f>SUMIFS(台帳!$I$2:$I$2000,台帳!$A$2:$A$2000,$A101,台帳!$F$2:$F$2000,T$4)</f>
        <v>0</v>
      </c>
      <c r="U101" s="46">
        <f>SUMIFS(台帳!$I$2:$I$2000,台帳!$A$2:$A$2000,$A101,台帳!$F$2:$F$2000,U$4)</f>
        <v>0</v>
      </c>
      <c r="V101" s="46">
        <f>SUMIFS(台帳!$I$2:$I$2000,台帳!$A$2:$A$2000,$A101,台帳!$F$2:$F$2000,V$4)</f>
        <v>0</v>
      </c>
      <c r="W101" s="46">
        <f>SUMIFS(台帳!$I$2:$I$2000,台帳!$A$2:$A$2000,$A101,台帳!$F$2:$F$2000,W$4)</f>
        <v>0</v>
      </c>
      <c r="X101" s="46">
        <f>SUMIFS(台帳!$I$2:$I$2000,台帳!$A$2:$A$2000,$A101,台帳!$F$2:$F$2000,X$4)</f>
        <v>0</v>
      </c>
      <c r="Y101" s="46">
        <f>SUMIFS(台帳!$I$2:$I$2000,台帳!$A$2:$A$2000,$A101,台帳!$F$2:$F$2000,Y$4)</f>
        <v>0</v>
      </c>
      <c r="Z101" s="46">
        <f>SUMIFS(台帳!$I$2:$I$2000,台帳!$A$2:$A$2000,$A101,台帳!$F$2:$F$2000,Z$4)</f>
        <v>0</v>
      </c>
      <c r="AA101" s="46">
        <f>SUMIFS(台帳!$I$2:$I$2000,台帳!$A$2:$A$2000,$A101,台帳!$F$2:$F$2000,AA$4)</f>
        <v>0</v>
      </c>
      <c r="AB101" s="46">
        <f>SUMIFS(台帳!$I$2:$I$2000,台帳!$A$2:$A$2000,$A101,台帳!$F$2:$F$2000,AB$4)</f>
        <v>0</v>
      </c>
      <c r="AC101" s="46">
        <f>SUMIFS(台帳!$I$2:$I$2000,台帳!$A$2:$A$2000,$A101,台帳!$F$2:$F$2000,AC$4)</f>
        <v>0</v>
      </c>
      <c r="AD101" s="46">
        <f>SUMIFS(台帳!$I$2:$I$2000,台帳!$A$2:$A$2000,$A101,台帳!$F$2:$F$2000,AD$4)</f>
        <v>0</v>
      </c>
      <c r="AE101" s="46">
        <f>SUMIFS(台帳!$I$2:$I$2000,台帳!$A$2:$A$2000,$A101,台帳!$F$2:$F$2000,AE$4)</f>
        <v>0</v>
      </c>
      <c r="AF101" s="46">
        <f>SUMIFS(台帳!$I$2:$I$2000,台帳!$A$2:$A$2000,$A101,台帳!$F$2:$F$2000,AF$4)</f>
        <v>0</v>
      </c>
      <c r="AG101" s="46">
        <f>SUMIFS(台帳!$I$2:$I$2000,台帳!$A$2:$A$2000,$A101,台帳!$F$2:$F$2000,AG$4)</f>
        <v>0</v>
      </c>
      <c r="AH101" s="46">
        <f>SUMIFS(台帳!$I$2:$I$2000,台帳!$A$2:$A$2000,$A101,台帳!$F$2:$F$2000,AH$4)</f>
        <v>0</v>
      </c>
      <c r="AI101" s="46">
        <f>SUMIFS(台帳!$I$2:$I$2000,台帳!$A$2:$A$2000,$A101,台帳!$F$2:$F$2000,AI$4)</f>
        <v>0</v>
      </c>
      <c r="AJ101" s="46">
        <f>SUMIFS(台帳!$I$2:$I$2000,台帳!$A$2:$A$2000,$A101,台帳!$F$2:$F$2000,AJ$4)</f>
        <v>0</v>
      </c>
      <c r="AK101" s="46">
        <f>SUMIFS(台帳!$I$2:$I$2000,台帳!$A$2:$A$2000,$A101,台帳!$F$2:$F$2000,AK$4)</f>
        <v>0</v>
      </c>
      <c r="AL101" s="46">
        <f>SUMIFS(台帳!$I$2:$I$2000,台帳!$A$2:$A$2000,$A101,台帳!$F$2:$F$2000,AL$4)</f>
        <v>0</v>
      </c>
      <c r="AM101" s="46">
        <f>SUMIFS(台帳!$I$2:$I$2000,台帳!$A$2:$A$2000,$A101,台帳!$F$2:$F$2000,AM$4)</f>
        <v>0</v>
      </c>
      <c r="AN101" s="46">
        <f>SUMIFS(台帳!$I$2:$I$2000,台帳!$A$2:$A$2000,$A101,台帳!$F$2:$F$2000,AN$4)</f>
        <v>0</v>
      </c>
      <c r="AO101" s="46">
        <f>SUMIFS(台帳!$I$2:$I$2000,台帳!$A$2:$A$2000,$A101,台帳!$F$2:$F$2000,AO$4)</f>
        <v>0</v>
      </c>
      <c r="AP101" s="46">
        <f>SUMIFS(台帳!$I$2:$I$2000,台帳!$A$2:$A$2000,$A101,台帳!$F$2:$F$2000,AP$4)</f>
        <v>0</v>
      </c>
      <c r="AQ101" s="46">
        <f>SUMIFS(台帳!$I$2:$I$2000,台帳!$A$2:$A$2000,$A101,台帳!$F$2:$F$2000,AQ$4)</f>
        <v>0</v>
      </c>
      <c r="AR101" s="46">
        <f>SUM(C101:AQ101)</f>
        <v>2</v>
      </c>
    </row>
    <row r="102" spans="1:44" ht="17.25" x14ac:dyDescent="0.35">
      <c r="A102" s="44">
        <v>46229</v>
      </c>
      <c r="B102" s="45" t="str">
        <f>CHOOSE(WEEKDAY(A102),"日","月","火","水","木","金","土")</f>
        <v>日</v>
      </c>
      <c r="C102" s="46">
        <f>SUMIFS(台帳!$I$2:$I$2000,台帳!$A$2:$A$2000,$A102,台帳!$F$2:$F$2000,C$4)</f>
        <v>0</v>
      </c>
      <c r="D102" s="46">
        <f>SUMIFS(台帳!$I$2:$I$2000,台帳!$A$2:$A$2000,$A102,台帳!$F$2:$F$2000,D$4)</f>
        <v>0</v>
      </c>
      <c r="E102" s="46">
        <f>SUMIFS(台帳!$I$2:$I$2000,台帳!$A$2:$A$2000,$A102,台帳!$F$2:$F$2000,E$4)</f>
        <v>0</v>
      </c>
      <c r="F102" s="46">
        <f>SUMIFS(台帳!$I$2:$I$2000,台帳!$A$2:$A$2000,$A102,台帳!$F$2:$F$2000,F$4)</f>
        <v>0</v>
      </c>
      <c r="G102" s="46">
        <f>SUMIFS(台帳!$I$2:$I$2000,台帳!$A$2:$A$2000,$A102,台帳!$F$2:$F$2000,G$4)</f>
        <v>0</v>
      </c>
      <c r="H102" s="46">
        <f>SUMIFS(台帳!$I$2:$I$2000,台帳!$A$2:$A$2000,$A102,台帳!$F$2:$F$2000,H$4)</f>
        <v>0</v>
      </c>
      <c r="I102" s="46">
        <f>SUMIFS(台帳!$I$2:$I$2000,台帳!$A$2:$A$2000,$A102,台帳!$F$2:$F$2000,I$4)</f>
        <v>0</v>
      </c>
      <c r="J102" s="46">
        <f>SUMIFS(台帳!$I$2:$I$2000,台帳!$A$2:$A$2000,$A102,台帳!$F$2:$F$2000,J$4)</f>
        <v>0</v>
      </c>
      <c r="K102" s="46">
        <f>SUMIFS(台帳!$I$2:$I$2000,台帳!$A$2:$A$2000,$A102,台帳!$F$2:$F$2000,K$4)</f>
        <v>0</v>
      </c>
      <c r="L102" s="46">
        <f>SUMIFS(台帳!$I$2:$I$2000,台帳!$A$2:$A$2000,$A102,台帳!$F$2:$F$2000,L$4)</f>
        <v>0</v>
      </c>
      <c r="M102" s="46">
        <f>SUMIFS(台帳!$I$2:$I$2000,台帳!$A$2:$A$2000,$A102,台帳!$F$2:$F$2000,M$4)</f>
        <v>0</v>
      </c>
      <c r="N102" s="46">
        <f>SUMIFS(台帳!$I$2:$I$2000,台帳!$A$2:$A$2000,$A102,台帳!$F$2:$F$2000,N$4)</f>
        <v>0</v>
      </c>
      <c r="O102" s="46">
        <f>SUMIFS(台帳!$I$2:$I$2000,台帳!$A$2:$A$2000,$A102,台帳!$F$2:$F$2000,O$4)</f>
        <v>0</v>
      </c>
      <c r="P102" s="46">
        <f>SUMIFS(台帳!$I$2:$I$2000,台帳!$A$2:$A$2000,$A102,台帳!$F$2:$F$2000,P$4)</f>
        <v>0</v>
      </c>
      <c r="Q102" s="46">
        <f>SUMIFS(台帳!$I$2:$I$2000,台帳!$A$2:$A$2000,$A102,台帳!$F$2:$F$2000,Q$4)</f>
        <v>0</v>
      </c>
      <c r="R102" s="46">
        <f>SUMIFS(台帳!$I$2:$I$2000,台帳!$A$2:$A$2000,$A102,台帳!$F$2:$F$2000,R$4)</f>
        <v>0</v>
      </c>
      <c r="S102" s="46">
        <f>SUMIFS(台帳!$I$2:$I$2000,台帳!$A$2:$A$2000,$A102,台帳!$F$2:$F$2000,S$4)</f>
        <v>0</v>
      </c>
      <c r="T102" s="46">
        <f>SUMIFS(台帳!$I$2:$I$2000,台帳!$A$2:$A$2000,$A102,台帳!$F$2:$F$2000,T$4)</f>
        <v>0</v>
      </c>
      <c r="U102" s="46">
        <f>SUMIFS(台帳!$I$2:$I$2000,台帳!$A$2:$A$2000,$A102,台帳!$F$2:$F$2000,U$4)</f>
        <v>0</v>
      </c>
      <c r="V102" s="46">
        <f>SUMIFS(台帳!$I$2:$I$2000,台帳!$A$2:$A$2000,$A102,台帳!$F$2:$F$2000,V$4)</f>
        <v>0</v>
      </c>
      <c r="W102" s="46">
        <f>SUMIFS(台帳!$I$2:$I$2000,台帳!$A$2:$A$2000,$A102,台帳!$F$2:$F$2000,W$4)</f>
        <v>0</v>
      </c>
      <c r="X102" s="46">
        <f>SUMIFS(台帳!$I$2:$I$2000,台帳!$A$2:$A$2000,$A102,台帳!$F$2:$F$2000,X$4)</f>
        <v>0</v>
      </c>
      <c r="Y102" s="46">
        <f>SUMIFS(台帳!$I$2:$I$2000,台帳!$A$2:$A$2000,$A102,台帳!$F$2:$F$2000,Y$4)</f>
        <v>0</v>
      </c>
      <c r="Z102" s="46">
        <f>SUMIFS(台帳!$I$2:$I$2000,台帳!$A$2:$A$2000,$A102,台帳!$F$2:$F$2000,Z$4)</f>
        <v>0</v>
      </c>
      <c r="AA102" s="46">
        <f>SUMIFS(台帳!$I$2:$I$2000,台帳!$A$2:$A$2000,$A102,台帳!$F$2:$F$2000,AA$4)</f>
        <v>0</v>
      </c>
      <c r="AB102" s="46">
        <f>SUMIFS(台帳!$I$2:$I$2000,台帳!$A$2:$A$2000,$A102,台帳!$F$2:$F$2000,AB$4)</f>
        <v>0</v>
      </c>
      <c r="AC102" s="46">
        <f>SUMIFS(台帳!$I$2:$I$2000,台帳!$A$2:$A$2000,$A102,台帳!$F$2:$F$2000,AC$4)</f>
        <v>0</v>
      </c>
      <c r="AD102" s="46">
        <f>SUMIFS(台帳!$I$2:$I$2000,台帳!$A$2:$A$2000,$A102,台帳!$F$2:$F$2000,AD$4)</f>
        <v>0</v>
      </c>
      <c r="AE102" s="46">
        <f>SUMIFS(台帳!$I$2:$I$2000,台帳!$A$2:$A$2000,$A102,台帳!$F$2:$F$2000,AE$4)</f>
        <v>0</v>
      </c>
      <c r="AF102" s="46">
        <f>SUMIFS(台帳!$I$2:$I$2000,台帳!$A$2:$A$2000,$A102,台帳!$F$2:$F$2000,AF$4)</f>
        <v>0</v>
      </c>
      <c r="AG102" s="46">
        <f>SUMIFS(台帳!$I$2:$I$2000,台帳!$A$2:$A$2000,$A102,台帳!$F$2:$F$2000,AG$4)</f>
        <v>0</v>
      </c>
      <c r="AH102" s="46">
        <f>SUMIFS(台帳!$I$2:$I$2000,台帳!$A$2:$A$2000,$A102,台帳!$F$2:$F$2000,AH$4)</f>
        <v>0</v>
      </c>
      <c r="AI102" s="46">
        <f>SUMIFS(台帳!$I$2:$I$2000,台帳!$A$2:$A$2000,$A102,台帳!$F$2:$F$2000,AI$4)</f>
        <v>0</v>
      </c>
      <c r="AJ102" s="46">
        <f>SUMIFS(台帳!$I$2:$I$2000,台帳!$A$2:$A$2000,$A102,台帳!$F$2:$F$2000,AJ$4)</f>
        <v>0</v>
      </c>
      <c r="AK102" s="46">
        <f>SUMIFS(台帳!$I$2:$I$2000,台帳!$A$2:$A$2000,$A102,台帳!$F$2:$F$2000,AK$4)</f>
        <v>0</v>
      </c>
      <c r="AL102" s="46">
        <f>SUMIFS(台帳!$I$2:$I$2000,台帳!$A$2:$A$2000,$A102,台帳!$F$2:$F$2000,AL$4)</f>
        <v>0</v>
      </c>
      <c r="AM102" s="46">
        <f>SUMIFS(台帳!$I$2:$I$2000,台帳!$A$2:$A$2000,$A102,台帳!$F$2:$F$2000,AM$4)</f>
        <v>0</v>
      </c>
      <c r="AN102" s="46">
        <f>SUMIFS(台帳!$I$2:$I$2000,台帳!$A$2:$A$2000,$A102,台帳!$F$2:$F$2000,AN$4)</f>
        <v>0</v>
      </c>
      <c r="AO102" s="46">
        <f>SUMIFS(台帳!$I$2:$I$2000,台帳!$A$2:$A$2000,$A102,台帳!$F$2:$F$2000,AO$4)</f>
        <v>0</v>
      </c>
      <c r="AP102" s="46">
        <f>SUMIFS(台帳!$I$2:$I$2000,台帳!$A$2:$A$2000,$A102,台帳!$F$2:$F$2000,AP$4)</f>
        <v>0</v>
      </c>
      <c r="AQ102" s="46">
        <f>SUMIFS(台帳!$I$2:$I$2000,台帳!$A$2:$A$2000,$A102,台帳!$F$2:$F$2000,AQ$4)</f>
        <v>0</v>
      </c>
      <c r="AR102" s="46">
        <f>SUM(C102:AQ102)</f>
        <v>0</v>
      </c>
    </row>
    <row r="103" spans="1:44" ht="17.25" x14ac:dyDescent="0.35">
      <c r="A103" s="44">
        <v>46230</v>
      </c>
      <c r="B103" s="45" t="str">
        <f>CHOOSE(WEEKDAY(A103),"日","月","火","水","木","金","土")</f>
        <v>月</v>
      </c>
      <c r="C103" s="46">
        <f>SUMIFS(台帳!$I$2:$I$2000,台帳!$A$2:$A$2000,$A103,台帳!$F$2:$F$2000,C$4)</f>
        <v>0</v>
      </c>
      <c r="D103" s="46">
        <f>SUMIFS(台帳!$I$2:$I$2000,台帳!$A$2:$A$2000,$A103,台帳!$F$2:$F$2000,D$4)</f>
        <v>0</v>
      </c>
      <c r="E103" s="46">
        <f>SUMIFS(台帳!$I$2:$I$2000,台帳!$A$2:$A$2000,$A103,台帳!$F$2:$F$2000,E$4)</f>
        <v>0</v>
      </c>
      <c r="F103" s="46">
        <f>SUMIFS(台帳!$I$2:$I$2000,台帳!$A$2:$A$2000,$A103,台帳!$F$2:$F$2000,F$4)</f>
        <v>0</v>
      </c>
      <c r="G103" s="46">
        <f>SUMIFS(台帳!$I$2:$I$2000,台帳!$A$2:$A$2000,$A103,台帳!$F$2:$F$2000,G$4)</f>
        <v>0</v>
      </c>
      <c r="H103" s="46">
        <f>SUMIFS(台帳!$I$2:$I$2000,台帳!$A$2:$A$2000,$A103,台帳!$F$2:$F$2000,H$4)</f>
        <v>0</v>
      </c>
      <c r="I103" s="46">
        <f>SUMIFS(台帳!$I$2:$I$2000,台帳!$A$2:$A$2000,$A103,台帳!$F$2:$F$2000,I$4)</f>
        <v>0</v>
      </c>
      <c r="J103" s="46">
        <f>SUMIFS(台帳!$I$2:$I$2000,台帳!$A$2:$A$2000,$A103,台帳!$F$2:$F$2000,J$4)</f>
        <v>0</v>
      </c>
      <c r="K103" s="46">
        <f>SUMIFS(台帳!$I$2:$I$2000,台帳!$A$2:$A$2000,$A103,台帳!$F$2:$F$2000,K$4)</f>
        <v>0</v>
      </c>
      <c r="L103" s="46">
        <f>SUMIFS(台帳!$I$2:$I$2000,台帳!$A$2:$A$2000,$A103,台帳!$F$2:$F$2000,L$4)</f>
        <v>0</v>
      </c>
      <c r="M103" s="46">
        <f>SUMIFS(台帳!$I$2:$I$2000,台帳!$A$2:$A$2000,$A103,台帳!$F$2:$F$2000,M$4)</f>
        <v>0</v>
      </c>
      <c r="N103" s="46">
        <f>SUMIFS(台帳!$I$2:$I$2000,台帳!$A$2:$A$2000,$A103,台帳!$F$2:$F$2000,N$4)</f>
        <v>0</v>
      </c>
      <c r="O103" s="46">
        <f>SUMIFS(台帳!$I$2:$I$2000,台帳!$A$2:$A$2000,$A103,台帳!$F$2:$F$2000,O$4)</f>
        <v>0</v>
      </c>
      <c r="P103" s="46">
        <f>SUMIFS(台帳!$I$2:$I$2000,台帳!$A$2:$A$2000,$A103,台帳!$F$2:$F$2000,P$4)</f>
        <v>0</v>
      </c>
      <c r="Q103" s="46">
        <f>SUMIFS(台帳!$I$2:$I$2000,台帳!$A$2:$A$2000,$A103,台帳!$F$2:$F$2000,Q$4)</f>
        <v>0</v>
      </c>
      <c r="R103" s="46">
        <f>SUMIFS(台帳!$I$2:$I$2000,台帳!$A$2:$A$2000,$A103,台帳!$F$2:$F$2000,R$4)</f>
        <v>0</v>
      </c>
      <c r="S103" s="46">
        <f>SUMIFS(台帳!$I$2:$I$2000,台帳!$A$2:$A$2000,$A103,台帳!$F$2:$F$2000,S$4)</f>
        <v>0</v>
      </c>
      <c r="T103" s="46">
        <f>SUMIFS(台帳!$I$2:$I$2000,台帳!$A$2:$A$2000,$A103,台帳!$F$2:$F$2000,T$4)</f>
        <v>0</v>
      </c>
      <c r="U103" s="46">
        <f>SUMIFS(台帳!$I$2:$I$2000,台帳!$A$2:$A$2000,$A103,台帳!$F$2:$F$2000,U$4)</f>
        <v>0</v>
      </c>
      <c r="V103" s="46">
        <f>SUMIFS(台帳!$I$2:$I$2000,台帳!$A$2:$A$2000,$A103,台帳!$F$2:$F$2000,V$4)</f>
        <v>0</v>
      </c>
      <c r="W103" s="46">
        <f>SUMIFS(台帳!$I$2:$I$2000,台帳!$A$2:$A$2000,$A103,台帳!$F$2:$F$2000,W$4)</f>
        <v>0</v>
      </c>
      <c r="X103" s="46">
        <f>SUMIFS(台帳!$I$2:$I$2000,台帳!$A$2:$A$2000,$A103,台帳!$F$2:$F$2000,X$4)</f>
        <v>0</v>
      </c>
      <c r="Y103" s="46">
        <f>SUMIFS(台帳!$I$2:$I$2000,台帳!$A$2:$A$2000,$A103,台帳!$F$2:$F$2000,Y$4)</f>
        <v>0</v>
      </c>
      <c r="Z103" s="46">
        <f>SUMIFS(台帳!$I$2:$I$2000,台帳!$A$2:$A$2000,$A103,台帳!$F$2:$F$2000,Z$4)</f>
        <v>2</v>
      </c>
      <c r="AA103" s="46">
        <f>SUMIFS(台帳!$I$2:$I$2000,台帳!$A$2:$A$2000,$A103,台帳!$F$2:$F$2000,AA$4)</f>
        <v>0</v>
      </c>
      <c r="AB103" s="46">
        <f>SUMIFS(台帳!$I$2:$I$2000,台帳!$A$2:$A$2000,$A103,台帳!$F$2:$F$2000,AB$4)</f>
        <v>0</v>
      </c>
      <c r="AC103" s="46">
        <f>SUMIFS(台帳!$I$2:$I$2000,台帳!$A$2:$A$2000,$A103,台帳!$F$2:$F$2000,AC$4)</f>
        <v>0</v>
      </c>
      <c r="AD103" s="46">
        <f>SUMIFS(台帳!$I$2:$I$2000,台帳!$A$2:$A$2000,$A103,台帳!$F$2:$F$2000,AD$4)</f>
        <v>0</v>
      </c>
      <c r="AE103" s="46">
        <f>SUMIFS(台帳!$I$2:$I$2000,台帳!$A$2:$A$2000,$A103,台帳!$F$2:$F$2000,AE$4)</f>
        <v>0</v>
      </c>
      <c r="AF103" s="46">
        <f>SUMIFS(台帳!$I$2:$I$2000,台帳!$A$2:$A$2000,$A103,台帳!$F$2:$F$2000,AF$4)</f>
        <v>0</v>
      </c>
      <c r="AG103" s="46">
        <f>SUMIFS(台帳!$I$2:$I$2000,台帳!$A$2:$A$2000,$A103,台帳!$F$2:$F$2000,AG$4)</f>
        <v>0</v>
      </c>
      <c r="AH103" s="46">
        <f>SUMIFS(台帳!$I$2:$I$2000,台帳!$A$2:$A$2000,$A103,台帳!$F$2:$F$2000,AH$4)</f>
        <v>0</v>
      </c>
      <c r="AI103" s="46">
        <f>SUMIFS(台帳!$I$2:$I$2000,台帳!$A$2:$A$2000,$A103,台帳!$F$2:$F$2000,AI$4)</f>
        <v>0</v>
      </c>
      <c r="AJ103" s="46">
        <f>SUMIFS(台帳!$I$2:$I$2000,台帳!$A$2:$A$2000,$A103,台帳!$F$2:$F$2000,AJ$4)</f>
        <v>0</v>
      </c>
      <c r="AK103" s="46">
        <f>SUMIFS(台帳!$I$2:$I$2000,台帳!$A$2:$A$2000,$A103,台帳!$F$2:$F$2000,AK$4)</f>
        <v>0</v>
      </c>
      <c r="AL103" s="46">
        <f>SUMIFS(台帳!$I$2:$I$2000,台帳!$A$2:$A$2000,$A103,台帳!$F$2:$F$2000,AL$4)</f>
        <v>0</v>
      </c>
      <c r="AM103" s="46">
        <f>SUMIFS(台帳!$I$2:$I$2000,台帳!$A$2:$A$2000,$A103,台帳!$F$2:$F$2000,AM$4)</f>
        <v>0</v>
      </c>
      <c r="AN103" s="46">
        <f>SUMIFS(台帳!$I$2:$I$2000,台帳!$A$2:$A$2000,$A103,台帳!$F$2:$F$2000,AN$4)</f>
        <v>0</v>
      </c>
      <c r="AO103" s="46">
        <f>SUMIFS(台帳!$I$2:$I$2000,台帳!$A$2:$A$2000,$A103,台帳!$F$2:$F$2000,AO$4)</f>
        <v>2</v>
      </c>
      <c r="AP103" s="46">
        <f>SUMIFS(台帳!$I$2:$I$2000,台帳!$A$2:$A$2000,$A103,台帳!$F$2:$F$2000,AP$4)</f>
        <v>0</v>
      </c>
      <c r="AQ103" s="46">
        <f>SUMIFS(台帳!$I$2:$I$2000,台帳!$A$2:$A$2000,$A103,台帳!$F$2:$F$2000,AQ$4)</f>
        <v>0</v>
      </c>
      <c r="AR103" s="46">
        <f>SUM(C103:AQ103)</f>
        <v>4</v>
      </c>
    </row>
    <row r="104" spans="1:44" ht="17.25" x14ac:dyDescent="0.35">
      <c r="A104" s="44">
        <v>46231</v>
      </c>
      <c r="B104" s="45" t="str">
        <f>CHOOSE(WEEKDAY(A104),"日","月","火","水","木","金","土")</f>
        <v>火</v>
      </c>
      <c r="C104" s="46">
        <f>SUMIFS(台帳!$I$2:$I$2000,台帳!$A$2:$A$2000,$A104,台帳!$F$2:$F$2000,C$4)</f>
        <v>0</v>
      </c>
      <c r="D104" s="46">
        <f>SUMIFS(台帳!$I$2:$I$2000,台帳!$A$2:$A$2000,$A104,台帳!$F$2:$F$2000,D$4)</f>
        <v>0</v>
      </c>
      <c r="E104" s="46">
        <f>SUMIFS(台帳!$I$2:$I$2000,台帳!$A$2:$A$2000,$A104,台帳!$F$2:$F$2000,E$4)</f>
        <v>0</v>
      </c>
      <c r="F104" s="46">
        <f>SUMIFS(台帳!$I$2:$I$2000,台帳!$A$2:$A$2000,$A104,台帳!$F$2:$F$2000,F$4)</f>
        <v>0</v>
      </c>
      <c r="G104" s="46">
        <f>SUMIFS(台帳!$I$2:$I$2000,台帳!$A$2:$A$2000,$A104,台帳!$F$2:$F$2000,G$4)</f>
        <v>0</v>
      </c>
      <c r="H104" s="46">
        <f>SUMIFS(台帳!$I$2:$I$2000,台帳!$A$2:$A$2000,$A104,台帳!$F$2:$F$2000,H$4)</f>
        <v>0</v>
      </c>
      <c r="I104" s="46">
        <f>SUMIFS(台帳!$I$2:$I$2000,台帳!$A$2:$A$2000,$A104,台帳!$F$2:$F$2000,I$4)</f>
        <v>0</v>
      </c>
      <c r="J104" s="46">
        <f>SUMIFS(台帳!$I$2:$I$2000,台帳!$A$2:$A$2000,$A104,台帳!$F$2:$F$2000,J$4)</f>
        <v>0</v>
      </c>
      <c r="K104" s="46">
        <f>SUMIFS(台帳!$I$2:$I$2000,台帳!$A$2:$A$2000,$A104,台帳!$F$2:$F$2000,K$4)</f>
        <v>0</v>
      </c>
      <c r="L104" s="46">
        <f>SUMIFS(台帳!$I$2:$I$2000,台帳!$A$2:$A$2000,$A104,台帳!$F$2:$F$2000,L$4)</f>
        <v>0</v>
      </c>
      <c r="M104" s="46">
        <f>SUMIFS(台帳!$I$2:$I$2000,台帳!$A$2:$A$2000,$A104,台帳!$F$2:$F$2000,M$4)</f>
        <v>0</v>
      </c>
      <c r="N104" s="46">
        <f>SUMIFS(台帳!$I$2:$I$2000,台帳!$A$2:$A$2000,$A104,台帳!$F$2:$F$2000,N$4)</f>
        <v>0</v>
      </c>
      <c r="O104" s="46">
        <f>SUMIFS(台帳!$I$2:$I$2000,台帳!$A$2:$A$2000,$A104,台帳!$F$2:$F$2000,O$4)</f>
        <v>0</v>
      </c>
      <c r="P104" s="46">
        <f>SUMIFS(台帳!$I$2:$I$2000,台帳!$A$2:$A$2000,$A104,台帳!$F$2:$F$2000,P$4)</f>
        <v>0</v>
      </c>
      <c r="Q104" s="46">
        <f>SUMIFS(台帳!$I$2:$I$2000,台帳!$A$2:$A$2000,$A104,台帳!$F$2:$F$2000,Q$4)</f>
        <v>0</v>
      </c>
      <c r="R104" s="46">
        <f>SUMIFS(台帳!$I$2:$I$2000,台帳!$A$2:$A$2000,$A104,台帳!$F$2:$F$2000,R$4)</f>
        <v>0</v>
      </c>
      <c r="S104" s="46">
        <f>SUMIFS(台帳!$I$2:$I$2000,台帳!$A$2:$A$2000,$A104,台帳!$F$2:$F$2000,S$4)</f>
        <v>0</v>
      </c>
      <c r="T104" s="46">
        <f>SUMIFS(台帳!$I$2:$I$2000,台帳!$A$2:$A$2000,$A104,台帳!$F$2:$F$2000,T$4)</f>
        <v>0</v>
      </c>
      <c r="U104" s="46">
        <f>SUMIFS(台帳!$I$2:$I$2000,台帳!$A$2:$A$2000,$A104,台帳!$F$2:$F$2000,U$4)</f>
        <v>0</v>
      </c>
      <c r="V104" s="46">
        <f>SUMIFS(台帳!$I$2:$I$2000,台帳!$A$2:$A$2000,$A104,台帳!$F$2:$F$2000,V$4)</f>
        <v>0</v>
      </c>
      <c r="W104" s="46">
        <f>SUMIFS(台帳!$I$2:$I$2000,台帳!$A$2:$A$2000,$A104,台帳!$F$2:$F$2000,W$4)</f>
        <v>0</v>
      </c>
      <c r="X104" s="46">
        <f>SUMIFS(台帳!$I$2:$I$2000,台帳!$A$2:$A$2000,$A104,台帳!$F$2:$F$2000,X$4)</f>
        <v>0</v>
      </c>
      <c r="Y104" s="46">
        <f>SUMIFS(台帳!$I$2:$I$2000,台帳!$A$2:$A$2000,$A104,台帳!$F$2:$F$2000,Y$4)</f>
        <v>0</v>
      </c>
      <c r="Z104" s="46">
        <f>SUMIFS(台帳!$I$2:$I$2000,台帳!$A$2:$A$2000,$A104,台帳!$F$2:$F$2000,Z$4)</f>
        <v>0</v>
      </c>
      <c r="AA104" s="46">
        <f>SUMIFS(台帳!$I$2:$I$2000,台帳!$A$2:$A$2000,$A104,台帳!$F$2:$F$2000,AA$4)</f>
        <v>0</v>
      </c>
      <c r="AB104" s="46">
        <f>SUMIFS(台帳!$I$2:$I$2000,台帳!$A$2:$A$2000,$A104,台帳!$F$2:$F$2000,AB$4)</f>
        <v>0</v>
      </c>
      <c r="AC104" s="46">
        <f>SUMIFS(台帳!$I$2:$I$2000,台帳!$A$2:$A$2000,$A104,台帳!$F$2:$F$2000,AC$4)</f>
        <v>0</v>
      </c>
      <c r="AD104" s="46">
        <f>SUMIFS(台帳!$I$2:$I$2000,台帳!$A$2:$A$2000,$A104,台帳!$F$2:$F$2000,AD$4)</f>
        <v>0</v>
      </c>
      <c r="AE104" s="46">
        <f>SUMIFS(台帳!$I$2:$I$2000,台帳!$A$2:$A$2000,$A104,台帳!$F$2:$F$2000,AE$4)</f>
        <v>0</v>
      </c>
      <c r="AF104" s="46">
        <f>SUMIFS(台帳!$I$2:$I$2000,台帳!$A$2:$A$2000,$A104,台帳!$F$2:$F$2000,AF$4)</f>
        <v>0</v>
      </c>
      <c r="AG104" s="46">
        <f>SUMIFS(台帳!$I$2:$I$2000,台帳!$A$2:$A$2000,$A104,台帳!$F$2:$F$2000,AG$4)</f>
        <v>0</v>
      </c>
      <c r="AH104" s="46">
        <f>SUMIFS(台帳!$I$2:$I$2000,台帳!$A$2:$A$2000,$A104,台帳!$F$2:$F$2000,AH$4)</f>
        <v>0</v>
      </c>
      <c r="AI104" s="46">
        <f>SUMIFS(台帳!$I$2:$I$2000,台帳!$A$2:$A$2000,$A104,台帳!$F$2:$F$2000,AI$4)</f>
        <v>0</v>
      </c>
      <c r="AJ104" s="46">
        <f>SUMIFS(台帳!$I$2:$I$2000,台帳!$A$2:$A$2000,$A104,台帳!$F$2:$F$2000,AJ$4)</f>
        <v>0</v>
      </c>
      <c r="AK104" s="46">
        <f>SUMIFS(台帳!$I$2:$I$2000,台帳!$A$2:$A$2000,$A104,台帳!$F$2:$F$2000,AK$4)</f>
        <v>0</v>
      </c>
      <c r="AL104" s="46">
        <f>SUMIFS(台帳!$I$2:$I$2000,台帳!$A$2:$A$2000,$A104,台帳!$F$2:$F$2000,AL$4)</f>
        <v>0</v>
      </c>
      <c r="AM104" s="46">
        <f>SUMIFS(台帳!$I$2:$I$2000,台帳!$A$2:$A$2000,$A104,台帳!$F$2:$F$2000,AM$4)</f>
        <v>0</v>
      </c>
      <c r="AN104" s="46">
        <f>SUMIFS(台帳!$I$2:$I$2000,台帳!$A$2:$A$2000,$A104,台帳!$F$2:$F$2000,AN$4)</f>
        <v>0</v>
      </c>
      <c r="AO104" s="46">
        <f>SUMIFS(台帳!$I$2:$I$2000,台帳!$A$2:$A$2000,$A104,台帳!$F$2:$F$2000,AO$4)</f>
        <v>0</v>
      </c>
      <c r="AP104" s="46">
        <f>SUMIFS(台帳!$I$2:$I$2000,台帳!$A$2:$A$2000,$A104,台帳!$F$2:$F$2000,AP$4)</f>
        <v>0</v>
      </c>
      <c r="AQ104" s="46">
        <f>SUMIFS(台帳!$I$2:$I$2000,台帳!$A$2:$A$2000,$A104,台帳!$F$2:$F$2000,AQ$4)</f>
        <v>0</v>
      </c>
      <c r="AR104" s="46">
        <f>SUM(C104:AQ104)</f>
        <v>0</v>
      </c>
    </row>
    <row r="105" spans="1:44" ht="17.25" x14ac:dyDescent="0.35">
      <c r="A105" s="44">
        <v>46232</v>
      </c>
      <c r="B105" s="45" t="str">
        <f>CHOOSE(WEEKDAY(A105),"日","月","火","水","木","金","土")</f>
        <v>水</v>
      </c>
      <c r="C105" s="46">
        <f>SUMIFS(台帳!$I$2:$I$2000,台帳!$A$2:$A$2000,$A105,台帳!$F$2:$F$2000,C$4)</f>
        <v>0</v>
      </c>
      <c r="D105" s="46">
        <f>SUMIFS(台帳!$I$2:$I$2000,台帳!$A$2:$A$2000,$A105,台帳!$F$2:$F$2000,D$4)</f>
        <v>0</v>
      </c>
      <c r="E105" s="46">
        <f>SUMIFS(台帳!$I$2:$I$2000,台帳!$A$2:$A$2000,$A105,台帳!$F$2:$F$2000,E$4)</f>
        <v>0</v>
      </c>
      <c r="F105" s="46">
        <f>SUMIFS(台帳!$I$2:$I$2000,台帳!$A$2:$A$2000,$A105,台帳!$F$2:$F$2000,F$4)</f>
        <v>0</v>
      </c>
      <c r="G105" s="46">
        <f>SUMIFS(台帳!$I$2:$I$2000,台帳!$A$2:$A$2000,$A105,台帳!$F$2:$F$2000,G$4)</f>
        <v>0</v>
      </c>
      <c r="H105" s="46">
        <f>SUMIFS(台帳!$I$2:$I$2000,台帳!$A$2:$A$2000,$A105,台帳!$F$2:$F$2000,H$4)</f>
        <v>0</v>
      </c>
      <c r="I105" s="46">
        <f>SUMIFS(台帳!$I$2:$I$2000,台帳!$A$2:$A$2000,$A105,台帳!$F$2:$F$2000,I$4)</f>
        <v>0</v>
      </c>
      <c r="J105" s="46">
        <f>SUMIFS(台帳!$I$2:$I$2000,台帳!$A$2:$A$2000,$A105,台帳!$F$2:$F$2000,J$4)</f>
        <v>0</v>
      </c>
      <c r="K105" s="46">
        <f>SUMIFS(台帳!$I$2:$I$2000,台帳!$A$2:$A$2000,$A105,台帳!$F$2:$F$2000,K$4)</f>
        <v>0</v>
      </c>
      <c r="L105" s="46">
        <f>SUMIFS(台帳!$I$2:$I$2000,台帳!$A$2:$A$2000,$A105,台帳!$F$2:$F$2000,L$4)</f>
        <v>0</v>
      </c>
      <c r="M105" s="46">
        <f>SUMIFS(台帳!$I$2:$I$2000,台帳!$A$2:$A$2000,$A105,台帳!$F$2:$F$2000,M$4)</f>
        <v>0</v>
      </c>
      <c r="N105" s="46">
        <f>SUMIFS(台帳!$I$2:$I$2000,台帳!$A$2:$A$2000,$A105,台帳!$F$2:$F$2000,N$4)</f>
        <v>0</v>
      </c>
      <c r="O105" s="46">
        <f>SUMIFS(台帳!$I$2:$I$2000,台帳!$A$2:$A$2000,$A105,台帳!$F$2:$F$2000,O$4)</f>
        <v>0</v>
      </c>
      <c r="P105" s="46">
        <f>SUMIFS(台帳!$I$2:$I$2000,台帳!$A$2:$A$2000,$A105,台帳!$F$2:$F$2000,P$4)</f>
        <v>0</v>
      </c>
      <c r="Q105" s="46">
        <f>SUMIFS(台帳!$I$2:$I$2000,台帳!$A$2:$A$2000,$A105,台帳!$F$2:$F$2000,Q$4)</f>
        <v>0</v>
      </c>
      <c r="R105" s="46">
        <f>SUMIFS(台帳!$I$2:$I$2000,台帳!$A$2:$A$2000,$A105,台帳!$F$2:$F$2000,R$4)</f>
        <v>2</v>
      </c>
      <c r="S105" s="46">
        <f>SUMIFS(台帳!$I$2:$I$2000,台帳!$A$2:$A$2000,$A105,台帳!$F$2:$F$2000,S$4)</f>
        <v>0</v>
      </c>
      <c r="T105" s="46">
        <f>SUMIFS(台帳!$I$2:$I$2000,台帳!$A$2:$A$2000,$A105,台帳!$F$2:$F$2000,T$4)</f>
        <v>0</v>
      </c>
      <c r="U105" s="46">
        <f>SUMIFS(台帳!$I$2:$I$2000,台帳!$A$2:$A$2000,$A105,台帳!$F$2:$F$2000,U$4)</f>
        <v>0</v>
      </c>
      <c r="V105" s="46">
        <f>SUMIFS(台帳!$I$2:$I$2000,台帳!$A$2:$A$2000,$A105,台帳!$F$2:$F$2000,V$4)</f>
        <v>0</v>
      </c>
      <c r="W105" s="46">
        <f>SUMIFS(台帳!$I$2:$I$2000,台帳!$A$2:$A$2000,$A105,台帳!$F$2:$F$2000,W$4)</f>
        <v>0</v>
      </c>
      <c r="X105" s="46">
        <f>SUMIFS(台帳!$I$2:$I$2000,台帳!$A$2:$A$2000,$A105,台帳!$F$2:$F$2000,X$4)</f>
        <v>0</v>
      </c>
      <c r="Y105" s="46">
        <f>SUMIFS(台帳!$I$2:$I$2000,台帳!$A$2:$A$2000,$A105,台帳!$F$2:$F$2000,Y$4)</f>
        <v>0</v>
      </c>
      <c r="Z105" s="46">
        <f>SUMIFS(台帳!$I$2:$I$2000,台帳!$A$2:$A$2000,$A105,台帳!$F$2:$F$2000,Z$4)</f>
        <v>0</v>
      </c>
      <c r="AA105" s="46">
        <f>SUMIFS(台帳!$I$2:$I$2000,台帳!$A$2:$A$2000,$A105,台帳!$F$2:$F$2000,AA$4)</f>
        <v>3</v>
      </c>
      <c r="AB105" s="46">
        <f>SUMIFS(台帳!$I$2:$I$2000,台帳!$A$2:$A$2000,$A105,台帳!$F$2:$F$2000,AB$4)</f>
        <v>0</v>
      </c>
      <c r="AC105" s="46">
        <f>SUMIFS(台帳!$I$2:$I$2000,台帳!$A$2:$A$2000,$A105,台帳!$F$2:$F$2000,AC$4)</f>
        <v>0</v>
      </c>
      <c r="AD105" s="46">
        <f>SUMIFS(台帳!$I$2:$I$2000,台帳!$A$2:$A$2000,$A105,台帳!$F$2:$F$2000,AD$4)</f>
        <v>0</v>
      </c>
      <c r="AE105" s="46">
        <f>SUMIFS(台帳!$I$2:$I$2000,台帳!$A$2:$A$2000,$A105,台帳!$F$2:$F$2000,AE$4)</f>
        <v>0</v>
      </c>
      <c r="AF105" s="46">
        <f>SUMIFS(台帳!$I$2:$I$2000,台帳!$A$2:$A$2000,$A105,台帳!$F$2:$F$2000,AF$4)</f>
        <v>0</v>
      </c>
      <c r="AG105" s="46">
        <f>SUMIFS(台帳!$I$2:$I$2000,台帳!$A$2:$A$2000,$A105,台帳!$F$2:$F$2000,AG$4)</f>
        <v>3</v>
      </c>
      <c r="AH105" s="46">
        <f>SUMIFS(台帳!$I$2:$I$2000,台帳!$A$2:$A$2000,$A105,台帳!$F$2:$F$2000,AH$4)</f>
        <v>0</v>
      </c>
      <c r="AI105" s="46">
        <f>SUMIFS(台帳!$I$2:$I$2000,台帳!$A$2:$A$2000,$A105,台帳!$F$2:$F$2000,AI$4)</f>
        <v>0</v>
      </c>
      <c r="AJ105" s="46">
        <f>SUMIFS(台帳!$I$2:$I$2000,台帳!$A$2:$A$2000,$A105,台帳!$F$2:$F$2000,AJ$4)</f>
        <v>0</v>
      </c>
      <c r="AK105" s="46">
        <f>SUMIFS(台帳!$I$2:$I$2000,台帳!$A$2:$A$2000,$A105,台帳!$F$2:$F$2000,AK$4)</f>
        <v>0</v>
      </c>
      <c r="AL105" s="46">
        <f>SUMIFS(台帳!$I$2:$I$2000,台帳!$A$2:$A$2000,$A105,台帳!$F$2:$F$2000,AL$4)</f>
        <v>0</v>
      </c>
      <c r="AM105" s="46">
        <f>SUMIFS(台帳!$I$2:$I$2000,台帳!$A$2:$A$2000,$A105,台帳!$F$2:$F$2000,AM$4)</f>
        <v>0</v>
      </c>
      <c r="AN105" s="46">
        <f>SUMIFS(台帳!$I$2:$I$2000,台帳!$A$2:$A$2000,$A105,台帳!$F$2:$F$2000,AN$4)</f>
        <v>0</v>
      </c>
      <c r="AO105" s="46">
        <f>SUMIFS(台帳!$I$2:$I$2000,台帳!$A$2:$A$2000,$A105,台帳!$F$2:$F$2000,AO$4)</f>
        <v>0</v>
      </c>
      <c r="AP105" s="46">
        <f>SUMIFS(台帳!$I$2:$I$2000,台帳!$A$2:$A$2000,$A105,台帳!$F$2:$F$2000,AP$4)</f>
        <v>0</v>
      </c>
      <c r="AQ105" s="46">
        <f>SUMIFS(台帳!$I$2:$I$2000,台帳!$A$2:$A$2000,$A105,台帳!$F$2:$F$2000,AQ$4)</f>
        <v>0</v>
      </c>
      <c r="AR105" s="46">
        <f>SUM(C105:AQ105)</f>
        <v>8</v>
      </c>
    </row>
    <row r="106" spans="1:44" ht="17.25" x14ac:dyDescent="0.35">
      <c r="A106" s="44">
        <v>46233</v>
      </c>
      <c r="B106" s="45" t="str">
        <f>CHOOSE(WEEKDAY(A106),"日","月","火","水","木","金","土")</f>
        <v>木</v>
      </c>
      <c r="C106" s="46">
        <f>SUMIFS(台帳!$I$2:$I$2000,台帳!$A$2:$A$2000,$A106,台帳!$F$2:$F$2000,C$4)</f>
        <v>0</v>
      </c>
      <c r="D106" s="46">
        <f>SUMIFS(台帳!$I$2:$I$2000,台帳!$A$2:$A$2000,$A106,台帳!$F$2:$F$2000,D$4)</f>
        <v>0</v>
      </c>
      <c r="E106" s="46">
        <f>SUMIFS(台帳!$I$2:$I$2000,台帳!$A$2:$A$2000,$A106,台帳!$F$2:$F$2000,E$4)</f>
        <v>0</v>
      </c>
      <c r="F106" s="46">
        <f>SUMIFS(台帳!$I$2:$I$2000,台帳!$A$2:$A$2000,$A106,台帳!$F$2:$F$2000,F$4)</f>
        <v>0</v>
      </c>
      <c r="G106" s="46">
        <f>SUMIFS(台帳!$I$2:$I$2000,台帳!$A$2:$A$2000,$A106,台帳!$F$2:$F$2000,G$4)</f>
        <v>0</v>
      </c>
      <c r="H106" s="46">
        <f>SUMIFS(台帳!$I$2:$I$2000,台帳!$A$2:$A$2000,$A106,台帳!$F$2:$F$2000,H$4)</f>
        <v>0</v>
      </c>
      <c r="I106" s="46">
        <f>SUMIFS(台帳!$I$2:$I$2000,台帳!$A$2:$A$2000,$A106,台帳!$F$2:$F$2000,I$4)</f>
        <v>0</v>
      </c>
      <c r="J106" s="46">
        <f>SUMIFS(台帳!$I$2:$I$2000,台帳!$A$2:$A$2000,$A106,台帳!$F$2:$F$2000,J$4)</f>
        <v>0</v>
      </c>
      <c r="K106" s="46">
        <f>SUMIFS(台帳!$I$2:$I$2000,台帳!$A$2:$A$2000,$A106,台帳!$F$2:$F$2000,K$4)</f>
        <v>0</v>
      </c>
      <c r="L106" s="46">
        <f>SUMIFS(台帳!$I$2:$I$2000,台帳!$A$2:$A$2000,$A106,台帳!$F$2:$F$2000,L$4)</f>
        <v>0</v>
      </c>
      <c r="M106" s="46">
        <f>SUMIFS(台帳!$I$2:$I$2000,台帳!$A$2:$A$2000,$A106,台帳!$F$2:$F$2000,M$4)</f>
        <v>0</v>
      </c>
      <c r="N106" s="46">
        <f>SUMIFS(台帳!$I$2:$I$2000,台帳!$A$2:$A$2000,$A106,台帳!$F$2:$F$2000,N$4)</f>
        <v>0</v>
      </c>
      <c r="O106" s="46">
        <f>SUMIFS(台帳!$I$2:$I$2000,台帳!$A$2:$A$2000,$A106,台帳!$F$2:$F$2000,O$4)</f>
        <v>0</v>
      </c>
      <c r="P106" s="46">
        <f>SUMIFS(台帳!$I$2:$I$2000,台帳!$A$2:$A$2000,$A106,台帳!$F$2:$F$2000,P$4)</f>
        <v>0</v>
      </c>
      <c r="Q106" s="46">
        <f>SUMIFS(台帳!$I$2:$I$2000,台帳!$A$2:$A$2000,$A106,台帳!$F$2:$F$2000,Q$4)</f>
        <v>0</v>
      </c>
      <c r="R106" s="46">
        <f>SUMIFS(台帳!$I$2:$I$2000,台帳!$A$2:$A$2000,$A106,台帳!$F$2:$F$2000,R$4)</f>
        <v>2</v>
      </c>
      <c r="S106" s="46">
        <f>SUMIFS(台帳!$I$2:$I$2000,台帳!$A$2:$A$2000,$A106,台帳!$F$2:$F$2000,S$4)</f>
        <v>0</v>
      </c>
      <c r="T106" s="46">
        <f>SUMIFS(台帳!$I$2:$I$2000,台帳!$A$2:$A$2000,$A106,台帳!$F$2:$F$2000,T$4)</f>
        <v>0</v>
      </c>
      <c r="U106" s="46">
        <f>SUMIFS(台帳!$I$2:$I$2000,台帳!$A$2:$A$2000,$A106,台帳!$F$2:$F$2000,U$4)</f>
        <v>0</v>
      </c>
      <c r="V106" s="46">
        <f>SUMIFS(台帳!$I$2:$I$2000,台帳!$A$2:$A$2000,$A106,台帳!$F$2:$F$2000,V$4)</f>
        <v>0</v>
      </c>
      <c r="W106" s="46">
        <f>SUMIFS(台帳!$I$2:$I$2000,台帳!$A$2:$A$2000,$A106,台帳!$F$2:$F$2000,W$4)</f>
        <v>0</v>
      </c>
      <c r="X106" s="46">
        <f>SUMIFS(台帳!$I$2:$I$2000,台帳!$A$2:$A$2000,$A106,台帳!$F$2:$F$2000,X$4)</f>
        <v>0</v>
      </c>
      <c r="Y106" s="46">
        <f>SUMIFS(台帳!$I$2:$I$2000,台帳!$A$2:$A$2000,$A106,台帳!$F$2:$F$2000,Y$4)</f>
        <v>0</v>
      </c>
      <c r="Z106" s="46">
        <f>SUMIFS(台帳!$I$2:$I$2000,台帳!$A$2:$A$2000,$A106,台帳!$F$2:$F$2000,Z$4)</f>
        <v>0</v>
      </c>
      <c r="AA106" s="46">
        <f>SUMIFS(台帳!$I$2:$I$2000,台帳!$A$2:$A$2000,$A106,台帳!$F$2:$F$2000,AA$4)</f>
        <v>3</v>
      </c>
      <c r="AB106" s="46">
        <f>SUMIFS(台帳!$I$2:$I$2000,台帳!$A$2:$A$2000,$A106,台帳!$F$2:$F$2000,AB$4)</f>
        <v>0</v>
      </c>
      <c r="AC106" s="46">
        <f>SUMIFS(台帳!$I$2:$I$2000,台帳!$A$2:$A$2000,$A106,台帳!$F$2:$F$2000,AC$4)</f>
        <v>0</v>
      </c>
      <c r="AD106" s="46">
        <f>SUMIFS(台帳!$I$2:$I$2000,台帳!$A$2:$A$2000,$A106,台帳!$F$2:$F$2000,AD$4)</f>
        <v>0</v>
      </c>
      <c r="AE106" s="46">
        <f>SUMIFS(台帳!$I$2:$I$2000,台帳!$A$2:$A$2000,$A106,台帳!$F$2:$F$2000,AE$4)</f>
        <v>0</v>
      </c>
      <c r="AF106" s="46">
        <f>SUMIFS(台帳!$I$2:$I$2000,台帳!$A$2:$A$2000,$A106,台帳!$F$2:$F$2000,AF$4)</f>
        <v>0</v>
      </c>
      <c r="AG106" s="46">
        <f>SUMIFS(台帳!$I$2:$I$2000,台帳!$A$2:$A$2000,$A106,台帳!$F$2:$F$2000,AG$4)</f>
        <v>3</v>
      </c>
      <c r="AH106" s="46">
        <f>SUMIFS(台帳!$I$2:$I$2000,台帳!$A$2:$A$2000,$A106,台帳!$F$2:$F$2000,AH$4)</f>
        <v>0</v>
      </c>
      <c r="AI106" s="46">
        <f>SUMIFS(台帳!$I$2:$I$2000,台帳!$A$2:$A$2000,$A106,台帳!$F$2:$F$2000,AI$4)</f>
        <v>0</v>
      </c>
      <c r="AJ106" s="46">
        <f>SUMIFS(台帳!$I$2:$I$2000,台帳!$A$2:$A$2000,$A106,台帳!$F$2:$F$2000,AJ$4)</f>
        <v>0</v>
      </c>
      <c r="AK106" s="46">
        <f>SUMIFS(台帳!$I$2:$I$2000,台帳!$A$2:$A$2000,$A106,台帳!$F$2:$F$2000,AK$4)</f>
        <v>0</v>
      </c>
      <c r="AL106" s="46">
        <f>SUMIFS(台帳!$I$2:$I$2000,台帳!$A$2:$A$2000,$A106,台帳!$F$2:$F$2000,AL$4)</f>
        <v>0</v>
      </c>
      <c r="AM106" s="46">
        <f>SUMIFS(台帳!$I$2:$I$2000,台帳!$A$2:$A$2000,$A106,台帳!$F$2:$F$2000,AM$4)</f>
        <v>0</v>
      </c>
      <c r="AN106" s="46">
        <f>SUMIFS(台帳!$I$2:$I$2000,台帳!$A$2:$A$2000,$A106,台帳!$F$2:$F$2000,AN$4)</f>
        <v>0</v>
      </c>
      <c r="AO106" s="46">
        <f>SUMIFS(台帳!$I$2:$I$2000,台帳!$A$2:$A$2000,$A106,台帳!$F$2:$F$2000,AO$4)</f>
        <v>0</v>
      </c>
      <c r="AP106" s="46">
        <f>SUMIFS(台帳!$I$2:$I$2000,台帳!$A$2:$A$2000,$A106,台帳!$F$2:$F$2000,AP$4)</f>
        <v>0</v>
      </c>
      <c r="AQ106" s="46">
        <f>SUMIFS(台帳!$I$2:$I$2000,台帳!$A$2:$A$2000,$A106,台帳!$F$2:$F$2000,AQ$4)</f>
        <v>0</v>
      </c>
      <c r="AR106" s="46">
        <f>SUM(C106:AQ106)</f>
        <v>8</v>
      </c>
    </row>
    <row r="107" spans="1:44" ht="17.25" x14ac:dyDescent="0.35">
      <c r="A107" s="44">
        <v>46234</v>
      </c>
      <c r="B107" s="45" t="str">
        <f>CHOOSE(WEEKDAY(A107),"日","月","火","水","木","金","土")</f>
        <v>金</v>
      </c>
      <c r="C107" s="46">
        <f>SUMIFS(台帳!$I$2:$I$2000,台帳!$A$2:$A$2000,$A107,台帳!$F$2:$F$2000,C$4)</f>
        <v>0</v>
      </c>
      <c r="D107" s="46">
        <f>SUMIFS(台帳!$I$2:$I$2000,台帳!$A$2:$A$2000,$A107,台帳!$F$2:$F$2000,D$4)</f>
        <v>0</v>
      </c>
      <c r="E107" s="46">
        <f>SUMIFS(台帳!$I$2:$I$2000,台帳!$A$2:$A$2000,$A107,台帳!$F$2:$F$2000,E$4)</f>
        <v>0</v>
      </c>
      <c r="F107" s="46">
        <f>SUMIFS(台帳!$I$2:$I$2000,台帳!$A$2:$A$2000,$A107,台帳!$F$2:$F$2000,F$4)</f>
        <v>0</v>
      </c>
      <c r="G107" s="46">
        <f>SUMIFS(台帳!$I$2:$I$2000,台帳!$A$2:$A$2000,$A107,台帳!$F$2:$F$2000,G$4)</f>
        <v>0</v>
      </c>
      <c r="H107" s="46">
        <f>SUMIFS(台帳!$I$2:$I$2000,台帳!$A$2:$A$2000,$A107,台帳!$F$2:$F$2000,H$4)</f>
        <v>0</v>
      </c>
      <c r="I107" s="46">
        <f>SUMIFS(台帳!$I$2:$I$2000,台帳!$A$2:$A$2000,$A107,台帳!$F$2:$F$2000,I$4)</f>
        <v>0</v>
      </c>
      <c r="J107" s="46">
        <f>SUMIFS(台帳!$I$2:$I$2000,台帳!$A$2:$A$2000,$A107,台帳!$F$2:$F$2000,J$4)</f>
        <v>0</v>
      </c>
      <c r="K107" s="46">
        <f>SUMIFS(台帳!$I$2:$I$2000,台帳!$A$2:$A$2000,$A107,台帳!$F$2:$F$2000,K$4)</f>
        <v>0</v>
      </c>
      <c r="L107" s="46">
        <f>SUMIFS(台帳!$I$2:$I$2000,台帳!$A$2:$A$2000,$A107,台帳!$F$2:$F$2000,L$4)</f>
        <v>0</v>
      </c>
      <c r="M107" s="46">
        <f>SUMIFS(台帳!$I$2:$I$2000,台帳!$A$2:$A$2000,$A107,台帳!$F$2:$F$2000,M$4)</f>
        <v>0</v>
      </c>
      <c r="N107" s="46">
        <f>SUMIFS(台帳!$I$2:$I$2000,台帳!$A$2:$A$2000,$A107,台帳!$F$2:$F$2000,N$4)</f>
        <v>0</v>
      </c>
      <c r="O107" s="46">
        <f>SUMIFS(台帳!$I$2:$I$2000,台帳!$A$2:$A$2000,$A107,台帳!$F$2:$F$2000,O$4)</f>
        <v>0</v>
      </c>
      <c r="P107" s="46">
        <f>SUMIFS(台帳!$I$2:$I$2000,台帳!$A$2:$A$2000,$A107,台帳!$F$2:$F$2000,P$4)</f>
        <v>0</v>
      </c>
      <c r="Q107" s="46">
        <f>SUMIFS(台帳!$I$2:$I$2000,台帳!$A$2:$A$2000,$A107,台帳!$F$2:$F$2000,Q$4)</f>
        <v>0</v>
      </c>
      <c r="R107" s="46">
        <f>SUMIFS(台帳!$I$2:$I$2000,台帳!$A$2:$A$2000,$A107,台帳!$F$2:$F$2000,R$4)</f>
        <v>0</v>
      </c>
      <c r="S107" s="46">
        <f>SUMIFS(台帳!$I$2:$I$2000,台帳!$A$2:$A$2000,$A107,台帳!$F$2:$F$2000,S$4)</f>
        <v>0</v>
      </c>
      <c r="T107" s="46">
        <f>SUMIFS(台帳!$I$2:$I$2000,台帳!$A$2:$A$2000,$A107,台帳!$F$2:$F$2000,T$4)</f>
        <v>0</v>
      </c>
      <c r="U107" s="46">
        <f>SUMIFS(台帳!$I$2:$I$2000,台帳!$A$2:$A$2000,$A107,台帳!$F$2:$F$2000,U$4)</f>
        <v>4</v>
      </c>
      <c r="V107" s="46">
        <f>SUMIFS(台帳!$I$2:$I$2000,台帳!$A$2:$A$2000,$A107,台帳!$F$2:$F$2000,V$4)</f>
        <v>0</v>
      </c>
      <c r="W107" s="46">
        <f>SUMIFS(台帳!$I$2:$I$2000,台帳!$A$2:$A$2000,$A107,台帳!$F$2:$F$2000,W$4)</f>
        <v>0</v>
      </c>
      <c r="X107" s="46">
        <f>SUMIFS(台帳!$I$2:$I$2000,台帳!$A$2:$A$2000,$A107,台帳!$F$2:$F$2000,X$4)</f>
        <v>0</v>
      </c>
      <c r="Y107" s="46">
        <f>SUMIFS(台帳!$I$2:$I$2000,台帳!$A$2:$A$2000,$A107,台帳!$F$2:$F$2000,Y$4)</f>
        <v>0</v>
      </c>
      <c r="Z107" s="46">
        <f>SUMIFS(台帳!$I$2:$I$2000,台帳!$A$2:$A$2000,$A107,台帳!$F$2:$F$2000,Z$4)</f>
        <v>0</v>
      </c>
      <c r="AA107" s="46">
        <f>SUMIFS(台帳!$I$2:$I$2000,台帳!$A$2:$A$2000,$A107,台帳!$F$2:$F$2000,AA$4)</f>
        <v>3</v>
      </c>
      <c r="AB107" s="46">
        <f>SUMIFS(台帳!$I$2:$I$2000,台帳!$A$2:$A$2000,$A107,台帳!$F$2:$F$2000,AB$4)</f>
        <v>0</v>
      </c>
      <c r="AC107" s="46">
        <f>SUMIFS(台帳!$I$2:$I$2000,台帳!$A$2:$A$2000,$A107,台帳!$F$2:$F$2000,AC$4)</f>
        <v>0</v>
      </c>
      <c r="AD107" s="46">
        <f>SUMIFS(台帳!$I$2:$I$2000,台帳!$A$2:$A$2000,$A107,台帳!$F$2:$F$2000,AD$4)</f>
        <v>0</v>
      </c>
      <c r="AE107" s="46">
        <f>SUMIFS(台帳!$I$2:$I$2000,台帳!$A$2:$A$2000,$A107,台帳!$F$2:$F$2000,AE$4)</f>
        <v>0</v>
      </c>
      <c r="AF107" s="46">
        <f>SUMIFS(台帳!$I$2:$I$2000,台帳!$A$2:$A$2000,$A107,台帳!$F$2:$F$2000,AF$4)</f>
        <v>0</v>
      </c>
      <c r="AG107" s="46">
        <f>SUMIFS(台帳!$I$2:$I$2000,台帳!$A$2:$A$2000,$A107,台帳!$F$2:$F$2000,AG$4)</f>
        <v>2</v>
      </c>
      <c r="AH107" s="46">
        <f>SUMIFS(台帳!$I$2:$I$2000,台帳!$A$2:$A$2000,$A107,台帳!$F$2:$F$2000,AH$4)</f>
        <v>0</v>
      </c>
      <c r="AI107" s="46">
        <f>SUMIFS(台帳!$I$2:$I$2000,台帳!$A$2:$A$2000,$A107,台帳!$F$2:$F$2000,AI$4)</f>
        <v>0</v>
      </c>
      <c r="AJ107" s="46">
        <f>SUMIFS(台帳!$I$2:$I$2000,台帳!$A$2:$A$2000,$A107,台帳!$F$2:$F$2000,AJ$4)</f>
        <v>0</v>
      </c>
      <c r="AK107" s="46">
        <f>SUMIFS(台帳!$I$2:$I$2000,台帳!$A$2:$A$2000,$A107,台帳!$F$2:$F$2000,AK$4)</f>
        <v>0</v>
      </c>
      <c r="AL107" s="46">
        <f>SUMIFS(台帳!$I$2:$I$2000,台帳!$A$2:$A$2000,$A107,台帳!$F$2:$F$2000,AL$4)</f>
        <v>0</v>
      </c>
      <c r="AM107" s="46">
        <f>SUMIFS(台帳!$I$2:$I$2000,台帳!$A$2:$A$2000,$A107,台帳!$F$2:$F$2000,AM$4)</f>
        <v>0</v>
      </c>
      <c r="AN107" s="46">
        <f>SUMIFS(台帳!$I$2:$I$2000,台帳!$A$2:$A$2000,$A107,台帳!$F$2:$F$2000,AN$4)</f>
        <v>0</v>
      </c>
      <c r="AO107" s="46">
        <f>SUMIFS(台帳!$I$2:$I$2000,台帳!$A$2:$A$2000,$A107,台帳!$F$2:$F$2000,AO$4)</f>
        <v>0</v>
      </c>
      <c r="AP107" s="46">
        <f>SUMIFS(台帳!$I$2:$I$2000,台帳!$A$2:$A$2000,$A107,台帳!$F$2:$F$2000,AP$4)</f>
        <v>0</v>
      </c>
      <c r="AQ107" s="46">
        <f>SUMIFS(台帳!$I$2:$I$2000,台帳!$A$2:$A$2000,$A107,台帳!$F$2:$F$2000,AQ$4)</f>
        <v>0</v>
      </c>
      <c r="AR107" s="46">
        <f>SUM(C107:AQ107)</f>
        <v>9</v>
      </c>
    </row>
    <row r="108" spans="1:44" ht="17.25" x14ac:dyDescent="0.35">
      <c r="A108" s="44">
        <v>46235</v>
      </c>
      <c r="B108" s="45" t="str">
        <f>CHOOSE(WEEKDAY(A108),"日","月","火","水","木","金","土")</f>
        <v>土</v>
      </c>
      <c r="C108" s="46">
        <f>SUMIFS(台帳!$I$2:$I$2000,台帳!$A$2:$A$2000,$A108,台帳!$F$2:$F$2000,C$4)</f>
        <v>0</v>
      </c>
      <c r="D108" s="46">
        <f>SUMIFS(台帳!$I$2:$I$2000,台帳!$A$2:$A$2000,$A108,台帳!$F$2:$F$2000,D$4)</f>
        <v>0</v>
      </c>
      <c r="E108" s="46">
        <f>SUMIFS(台帳!$I$2:$I$2000,台帳!$A$2:$A$2000,$A108,台帳!$F$2:$F$2000,E$4)</f>
        <v>0</v>
      </c>
      <c r="F108" s="46">
        <f>SUMIFS(台帳!$I$2:$I$2000,台帳!$A$2:$A$2000,$A108,台帳!$F$2:$F$2000,F$4)</f>
        <v>0</v>
      </c>
      <c r="G108" s="46">
        <f>SUMIFS(台帳!$I$2:$I$2000,台帳!$A$2:$A$2000,$A108,台帳!$F$2:$F$2000,G$4)</f>
        <v>0</v>
      </c>
      <c r="H108" s="46">
        <f>SUMIFS(台帳!$I$2:$I$2000,台帳!$A$2:$A$2000,$A108,台帳!$F$2:$F$2000,H$4)</f>
        <v>0</v>
      </c>
      <c r="I108" s="46">
        <f>SUMIFS(台帳!$I$2:$I$2000,台帳!$A$2:$A$2000,$A108,台帳!$F$2:$F$2000,I$4)</f>
        <v>0</v>
      </c>
      <c r="J108" s="46">
        <f>SUMIFS(台帳!$I$2:$I$2000,台帳!$A$2:$A$2000,$A108,台帳!$F$2:$F$2000,J$4)</f>
        <v>0</v>
      </c>
      <c r="K108" s="46">
        <f>SUMIFS(台帳!$I$2:$I$2000,台帳!$A$2:$A$2000,$A108,台帳!$F$2:$F$2000,K$4)</f>
        <v>0</v>
      </c>
      <c r="L108" s="46">
        <f>SUMIFS(台帳!$I$2:$I$2000,台帳!$A$2:$A$2000,$A108,台帳!$F$2:$F$2000,L$4)</f>
        <v>0</v>
      </c>
      <c r="M108" s="46">
        <f>SUMIFS(台帳!$I$2:$I$2000,台帳!$A$2:$A$2000,$A108,台帳!$F$2:$F$2000,M$4)</f>
        <v>0</v>
      </c>
      <c r="N108" s="46">
        <f>SUMIFS(台帳!$I$2:$I$2000,台帳!$A$2:$A$2000,$A108,台帳!$F$2:$F$2000,N$4)</f>
        <v>0</v>
      </c>
      <c r="O108" s="46">
        <f>SUMIFS(台帳!$I$2:$I$2000,台帳!$A$2:$A$2000,$A108,台帳!$F$2:$F$2000,O$4)</f>
        <v>0</v>
      </c>
      <c r="P108" s="46">
        <f>SUMIFS(台帳!$I$2:$I$2000,台帳!$A$2:$A$2000,$A108,台帳!$F$2:$F$2000,P$4)</f>
        <v>0</v>
      </c>
      <c r="Q108" s="46">
        <f>SUMIFS(台帳!$I$2:$I$2000,台帳!$A$2:$A$2000,$A108,台帳!$F$2:$F$2000,Q$4)</f>
        <v>0</v>
      </c>
      <c r="R108" s="46">
        <f>SUMIFS(台帳!$I$2:$I$2000,台帳!$A$2:$A$2000,$A108,台帳!$F$2:$F$2000,R$4)</f>
        <v>0</v>
      </c>
      <c r="S108" s="46">
        <f>SUMIFS(台帳!$I$2:$I$2000,台帳!$A$2:$A$2000,$A108,台帳!$F$2:$F$2000,S$4)</f>
        <v>0</v>
      </c>
      <c r="T108" s="46">
        <f>SUMIFS(台帳!$I$2:$I$2000,台帳!$A$2:$A$2000,$A108,台帳!$F$2:$F$2000,T$4)</f>
        <v>0</v>
      </c>
      <c r="U108" s="46">
        <f>SUMIFS(台帳!$I$2:$I$2000,台帳!$A$2:$A$2000,$A108,台帳!$F$2:$F$2000,U$4)</f>
        <v>0</v>
      </c>
      <c r="V108" s="46">
        <f>SUMIFS(台帳!$I$2:$I$2000,台帳!$A$2:$A$2000,$A108,台帳!$F$2:$F$2000,V$4)</f>
        <v>0</v>
      </c>
      <c r="W108" s="46">
        <f>SUMIFS(台帳!$I$2:$I$2000,台帳!$A$2:$A$2000,$A108,台帳!$F$2:$F$2000,W$4)</f>
        <v>4</v>
      </c>
      <c r="X108" s="46">
        <f>SUMIFS(台帳!$I$2:$I$2000,台帳!$A$2:$A$2000,$A108,台帳!$F$2:$F$2000,X$4)</f>
        <v>0</v>
      </c>
      <c r="Y108" s="46">
        <f>SUMIFS(台帳!$I$2:$I$2000,台帳!$A$2:$A$2000,$A108,台帳!$F$2:$F$2000,Y$4)</f>
        <v>0</v>
      </c>
      <c r="Z108" s="46">
        <f>SUMIFS(台帳!$I$2:$I$2000,台帳!$A$2:$A$2000,$A108,台帳!$F$2:$F$2000,Z$4)</f>
        <v>0</v>
      </c>
      <c r="AA108" s="46">
        <f>SUMIFS(台帳!$I$2:$I$2000,台帳!$A$2:$A$2000,$A108,台帳!$F$2:$F$2000,AA$4)</f>
        <v>0</v>
      </c>
      <c r="AB108" s="46">
        <f>SUMIFS(台帳!$I$2:$I$2000,台帳!$A$2:$A$2000,$A108,台帳!$F$2:$F$2000,AB$4)</f>
        <v>0</v>
      </c>
      <c r="AC108" s="46">
        <f>SUMIFS(台帳!$I$2:$I$2000,台帳!$A$2:$A$2000,$A108,台帳!$F$2:$F$2000,AC$4)</f>
        <v>0</v>
      </c>
      <c r="AD108" s="46">
        <f>SUMIFS(台帳!$I$2:$I$2000,台帳!$A$2:$A$2000,$A108,台帳!$F$2:$F$2000,AD$4)</f>
        <v>0</v>
      </c>
      <c r="AE108" s="46">
        <f>SUMIFS(台帳!$I$2:$I$2000,台帳!$A$2:$A$2000,$A108,台帳!$F$2:$F$2000,AE$4)</f>
        <v>0</v>
      </c>
      <c r="AF108" s="46">
        <f>SUMIFS(台帳!$I$2:$I$2000,台帳!$A$2:$A$2000,$A108,台帳!$F$2:$F$2000,AF$4)</f>
        <v>0</v>
      </c>
      <c r="AG108" s="46">
        <f>SUMIFS(台帳!$I$2:$I$2000,台帳!$A$2:$A$2000,$A108,台帳!$F$2:$F$2000,AG$4)</f>
        <v>3</v>
      </c>
      <c r="AH108" s="46">
        <f>SUMIFS(台帳!$I$2:$I$2000,台帳!$A$2:$A$2000,$A108,台帳!$F$2:$F$2000,AH$4)</f>
        <v>0</v>
      </c>
      <c r="AI108" s="46">
        <f>SUMIFS(台帳!$I$2:$I$2000,台帳!$A$2:$A$2000,$A108,台帳!$F$2:$F$2000,AI$4)</f>
        <v>0</v>
      </c>
      <c r="AJ108" s="46">
        <f>SUMIFS(台帳!$I$2:$I$2000,台帳!$A$2:$A$2000,$A108,台帳!$F$2:$F$2000,AJ$4)</f>
        <v>0</v>
      </c>
      <c r="AK108" s="46">
        <f>SUMIFS(台帳!$I$2:$I$2000,台帳!$A$2:$A$2000,$A108,台帳!$F$2:$F$2000,AK$4)</f>
        <v>0</v>
      </c>
      <c r="AL108" s="46">
        <f>SUMIFS(台帳!$I$2:$I$2000,台帳!$A$2:$A$2000,$A108,台帳!$F$2:$F$2000,AL$4)</f>
        <v>0</v>
      </c>
      <c r="AM108" s="46">
        <f>SUMIFS(台帳!$I$2:$I$2000,台帳!$A$2:$A$2000,$A108,台帳!$F$2:$F$2000,AM$4)</f>
        <v>0</v>
      </c>
      <c r="AN108" s="46">
        <f>SUMIFS(台帳!$I$2:$I$2000,台帳!$A$2:$A$2000,$A108,台帳!$F$2:$F$2000,AN$4)</f>
        <v>0</v>
      </c>
      <c r="AO108" s="46">
        <f>SUMIFS(台帳!$I$2:$I$2000,台帳!$A$2:$A$2000,$A108,台帳!$F$2:$F$2000,AO$4)</f>
        <v>0</v>
      </c>
      <c r="AP108" s="46">
        <f>SUMIFS(台帳!$I$2:$I$2000,台帳!$A$2:$A$2000,$A108,台帳!$F$2:$F$2000,AP$4)</f>
        <v>0</v>
      </c>
      <c r="AQ108" s="46">
        <f>SUMIFS(台帳!$I$2:$I$2000,台帳!$A$2:$A$2000,$A108,台帳!$F$2:$F$2000,AQ$4)</f>
        <v>0</v>
      </c>
      <c r="AR108" s="46">
        <f>SUM(C108:AQ108)</f>
        <v>7</v>
      </c>
    </row>
    <row r="109" spans="1:44" ht="17.25" x14ac:dyDescent="0.35">
      <c r="A109" s="44">
        <v>46236</v>
      </c>
      <c r="B109" s="45" t="str">
        <f>CHOOSE(WEEKDAY(A109),"日","月","火","水","木","金","土")</f>
        <v>日</v>
      </c>
      <c r="C109" s="46">
        <f>SUMIFS(台帳!$I$2:$I$2000,台帳!$A$2:$A$2000,$A109,台帳!$F$2:$F$2000,C$4)</f>
        <v>0</v>
      </c>
      <c r="D109" s="46">
        <f>SUMIFS(台帳!$I$2:$I$2000,台帳!$A$2:$A$2000,$A109,台帳!$F$2:$F$2000,D$4)</f>
        <v>0</v>
      </c>
      <c r="E109" s="46">
        <f>SUMIFS(台帳!$I$2:$I$2000,台帳!$A$2:$A$2000,$A109,台帳!$F$2:$F$2000,E$4)</f>
        <v>0</v>
      </c>
      <c r="F109" s="46">
        <f>SUMIFS(台帳!$I$2:$I$2000,台帳!$A$2:$A$2000,$A109,台帳!$F$2:$F$2000,F$4)</f>
        <v>0</v>
      </c>
      <c r="G109" s="46">
        <f>SUMIFS(台帳!$I$2:$I$2000,台帳!$A$2:$A$2000,$A109,台帳!$F$2:$F$2000,G$4)</f>
        <v>0</v>
      </c>
      <c r="H109" s="46">
        <f>SUMIFS(台帳!$I$2:$I$2000,台帳!$A$2:$A$2000,$A109,台帳!$F$2:$F$2000,H$4)</f>
        <v>0</v>
      </c>
      <c r="I109" s="46">
        <f>SUMIFS(台帳!$I$2:$I$2000,台帳!$A$2:$A$2000,$A109,台帳!$F$2:$F$2000,I$4)</f>
        <v>0</v>
      </c>
      <c r="J109" s="46">
        <f>SUMIFS(台帳!$I$2:$I$2000,台帳!$A$2:$A$2000,$A109,台帳!$F$2:$F$2000,J$4)</f>
        <v>0</v>
      </c>
      <c r="K109" s="46">
        <f>SUMIFS(台帳!$I$2:$I$2000,台帳!$A$2:$A$2000,$A109,台帳!$F$2:$F$2000,K$4)</f>
        <v>0</v>
      </c>
      <c r="L109" s="46">
        <f>SUMIFS(台帳!$I$2:$I$2000,台帳!$A$2:$A$2000,$A109,台帳!$F$2:$F$2000,L$4)</f>
        <v>0</v>
      </c>
      <c r="M109" s="46">
        <f>SUMIFS(台帳!$I$2:$I$2000,台帳!$A$2:$A$2000,$A109,台帳!$F$2:$F$2000,M$4)</f>
        <v>0</v>
      </c>
      <c r="N109" s="46">
        <f>SUMIFS(台帳!$I$2:$I$2000,台帳!$A$2:$A$2000,$A109,台帳!$F$2:$F$2000,N$4)</f>
        <v>0</v>
      </c>
      <c r="O109" s="46">
        <f>SUMIFS(台帳!$I$2:$I$2000,台帳!$A$2:$A$2000,$A109,台帳!$F$2:$F$2000,O$4)</f>
        <v>0</v>
      </c>
      <c r="P109" s="46">
        <f>SUMIFS(台帳!$I$2:$I$2000,台帳!$A$2:$A$2000,$A109,台帳!$F$2:$F$2000,P$4)</f>
        <v>0</v>
      </c>
      <c r="Q109" s="46">
        <f>SUMIFS(台帳!$I$2:$I$2000,台帳!$A$2:$A$2000,$A109,台帳!$F$2:$F$2000,Q$4)</f>
        <v>0</v>
      </c>
      <c r="R109" s="46">
        <f>SUMIFS(台帳!$I$2:$I$2000,台帳!$A$2:$A$2000,$A109,台帳!$F$2:$F$2000,R$4)</f>
        <v>0</v>
      </c>
      <c r="S109" s="46">
        <f>SUMIFS(台帳!$I$2:$I$2000,台帳!$A$2:$A$2000,$A109,台帳!$F$2:$F$2000,S$4)</f>
        <v>0</v>
      </c>
      <c r="T109" s="46">
        <f>SUMIFS(台帳!$I$2:$I$2000,台帳!$A$2:$A$2000,$A109,台帳!$F$2:$F$2000,T$4)</f>
        <v>0</v>
      </c>
      <c r="U109" s="46">
        <f>SUMIFS(台帳!$I$2:$I$2000,台帳!$A$2:$A$2000,$A109,台帳!$F$2:$F$2000,U$4)</f>
        <v>0</v>
      </c>
      <c r="V109" s="46">
        <f>SUMIFS(台帳!$I$2:$I$2000,台帳!$A$2:$A$2000,$A109,台帳!$F$2:$F$2000,V$4)</f>
        <v>0</v>
      </c>
      <c r="W109" s="46">
        <f>SUMIFS(台帳!$I$2:$I$2000,台帳!$A$2:$A$2000,$A109,台帳!$F$2:$F$2000,W$4)</f>
        <v>1</v>
      </c>
      <c r="X109" s="46">
        <f>SUMIFS(台帳!$I$2:$I$2000,台帳!$A$2:$A$2000,$A109,台帳!$F$2:$F$2000,X$4)</f>
        <v>0</v>
      </c>
      <c r="Y109" s="46">
        <f>SUMIFS(台帳!$I$2:$I$2000,台帳!$A$2:$A$2000,$A109,台帳!$F$2:$F$2000,Y$4)</f>
        <v>0</v>
      </c>
      <c r="Z109" s="46">
        <f>SUMIFS(台帳!$I$2:$I$2000,台帳!$A$2:$A$2000,$A109,台帳!$F$2:$F$2000,Z$4)</f>
        <v>0</v>
      </c>
      <c r="AA109" s="46">
        <f>SUMIFS(台帳!$I$2:$I$2000,台帳!$A$2:$A$2000,$A109,台帳!$F$2:$F$2000,AA$4)</f>
        <v>0</v>
      </c>
      <c r="AB109" s="46">
        <f>SUMIFS(台帳!$I$2:$I$2000,台帳!$A$2:$A$2000,$A109,台帳!$F$2:$F$2000,AB$4)</f>
        <v>0</v>
      </c>
      <c r="AC109" s="46">
        <f>SUMIFS(台帳!$I$2:$I$2000,台帳!$A$2:$A$2000,$A109,台帳!$F$2:$F$2000,AC$4)</f>
        <v>0</v>
      </c>
      <c r="AD109" s="46">
        <f>SUMIFS(台帳!$I$2:$I$2000,台帳!$A$2:$A$2000,$A109,台帳!$F$2:$F$2000,AD$4)</f>
        <v>0</v>
      </c>
      <c r="AE109" s="46">
        <f>SUMIFS(台帳!$I$2:$I$2000,台帳!$A$2:$A$2000,$A109,台帳!$F$2:$F$2000,AE$4)</f>
        <v>0</v>
      </c>
      <c r="AF109" s="46">
        <f>SUMIFS(台帳!$I$2:$I$2000,台帳!$A$2:$A$2000,$A109,台帳!$F$2:$F$2000,AF$4)</f>
        <v>0</v>
      </c>
      <c r="AG109" s="46">
        <f>SUMIFS(台帳!$I$2:$I$2000,台帳!$A$2:$A$2000,$A109,台帳!$F$2:$F$2000,AG$4)</f>
        <v>0</v>
      </c>
      <c r="AH109" s="46">
        <f>SUMIFS(台帳!$I$2:$I$2000,台帳!$A$2:$A$2000,$A109,台帳!$F$2:$F$2000,AH$4)</f>
        <v>0</v>
      </c>
      <c r="AI109" s="46">
        <f>SUMIFS(台帳!$I$2:$I$2000,台帳!$A$2:$A$2000,$A109,台帳!$F$2:$F$2000,AI$4)</f>
        <v>0</v>
      </c>
      <c r="AJ109" s="46">
        <f>SUMIFS(台帳!$I$2:$I$2000,台帳!$A$2:$A$2000,$A109,台帳!$F$2:$F$2000,AJ$4)</f>
        <v>0</v>
      </c>
      <c r="AK109" s="46">
        <f>SUMIFS(台帳!$I$2:$I$2000,台帳!$A$2:$A$2000,$A109,台帳!$F$2:$F$2000,AK$4)</f>
        <v>0</v>
      </c>
      <c r="AL109" s="46">
        <f>SUMIFS(台帳!$I$2:$I$2000,台帳!$A$2:$A$2000,$A109,台帳!$F$2:$F$2000,AL$4)</f>
        <v>0</v>
      </c>
      <c r="AM109" s="46">
        <f>SUMIFS(台帳!$I$2:$I$2000,台帳!$A$2:$A$2000,$A109,台帳!$F$2:$F$2000,AM$4)</f>
        <v>0</v>
      </c>
      <c r="AN109" s="46">
        <f>SUMIFS(台帳!$I$2:$I$2000,台帳!$A$2:$A$2000,$A109,台帳!$F$2:$F$2000,AN$4)</f>
        <v>0</v>
      </c>
      <c r="AO109" s="46">
        <f>SUMIFS(台帳!$I$2:$I$2000,台帳!$A$2:$A$2000,$A109,台帳!$F$2:$F$2000,AO$4)</f>
        <v>0</v>
      </c>
      <c r="AP109" s="46">
        <f>SUMIFS(台帳!$I$2:$I$2000,台帳!$A$2:$A$2000,$A109,台帳!$F$2:$F$2000,AP$4)</f>
        <v>0</v>
      </c>
      <c r="AQ109" s="46">
        <f>SUMIFS(台帳!$I$2:$I$2000,台帳!$A$2:$A$2000,$A109,台帳!$F$2:$F$2000,AQ$4)</f>
        <v>0</v>
      </c>
      <c r="AR109" s="46">
        <f>SUM(C109:AQ109)</f>
        <v>1</v>
      </c>
    </row>
    <row r="110" spans="1:44" ht="17.25" x14ac:dyDescent="0.35">
      <c r="A110" s="44">
        <v>46237</v>
      </c>
      <c r="B110" s="45" t="str">
        <f>CHOOSE(WEEKDAY(A110),"日","月","火","水","木","金","土")</f>
        <v>月</v>
      </c>
      <c r="C110" s="46">
        <f>SUMIFS(台帳!$I$2:$I$2000,台帳!$A$2:$A$2000,$A110,台帳!$F$2:$F$2000,C$4)</f>
        <v>0</v>
      </c>
      <c r="D110" s="46">
        <f>SUMIFS(台帳!$I$2:$I$2000,台帳!$A$2:$A$2000,$A110,台帳!$F$2:$F$2000,D$4)</f>
        <v>0</v>
      </c>
      <c r="E110" s="46">
        <f>SUMIFS(台帳!$I$2:$I$2000,台帳!$A$2:$A$2000,$A110,台帳!$F$2:$F$2000,E$4)</f>
        <v>0</v>
      </c>
      <c r="F110" s="46">
        <f>SUMIFS(台帳!$I$2:$I$2000,台帳!$A$2:$A$2000,$A110,台帳!$F$2:$F$2000,F$4)</f>
        <v>0</v>
      </c>
      <c r="G110" s="46">
        <f>SUMIFS(台帳!$I$2:$I$2000,台帳!$A$2:$A$2000,$A110,台帳!$F$2:$F$2000,G$4)</f>
        <v>0</v>
      </c>
      <c r="H110" s="46">
        <f>SUMIFS(台帳!$I$2:$I$2000,台帳!$A$2:$A$2000,$A110,台帳!$F$2:$F$2000,H$4)</f>
        <v>0</v>
      </c>
      <c r="I110" s="46">
        <f>SUMIFS(台帳!$I$2:$I$2000,台帳!$A$2:$A$2000,$A110,台帳!$F$2:$F$2000,I$4)</f>
        <v>0</v>
      </c>
      <c r="J110" s="46">
        <f>SUMIFS(台帳!$I$2:$I$2000,台帳!$A$2:$A$2000,$A110,台帳!$F$2:$F$2000,J$4)</f>
        <v>0</v>
      </c>
      <c r="K110" s="46">
        <f>SUMIFS(台帳!$I$2:$I$2000,台帳!$A$2:$A$2000,$A110,台帳!$F$2:$F$2000,K$4)</f>
        <v>0</v>
      </c>
      <c r="L110" s="46">
        <f>SUMIFS(台帳!$I$2:$I$2000,台帳!$A$2:$A$2000,$A110,台帳!$F$2:$F$2000,L$4)</f>
        <v>0</v>
      </c>
      <c r="M110" s="46">
        <f>SUMIFS(台帳!$I$2:$I$2000,台帳!$A$2:$A$2000,$A110,台帳!$F$2:$F$2000,M$4)</f>
        <v>0</v>
      </c>
      <c r="N110" s="46">
        <f>SUMIFS(台帳!$I$2:$I$2000,台帳!$A$2:$A$2000,$A110,台帳!$F$2:$F$2000,N$4)</f>
        <v>0</v>
      </c>
      <c r="O110" s="46">
        <f>SUMIFS(台帳!$I$2:$I$2000,台帳!$A$2:$A$2000,$A110,台帳!$F$2:$F$2000,O$4)</f>
        <v>0</v>
      </c>
      <c r="P110" s="46">
        <f>SUMIFS(台帳!$I$2:$I$2000,台帳!$A$2:$A$2000,$A110,台帳!$F$2:$F$2000,P$4)</f>
        <v>0</v>
      </c>
      <c r="Q110" s="46">
        <f>SUMIFS(台帳!$I$2:$I$2000,台帳!$A$2:$A$2000,$A110,台帳!$F$2:$F$2000,Q$4)</f>
        <v>0</v>
      </c>
      <c r="R110" s="46">
        <f>SUMIFS(台帳!$I$2:$I$2000,台帳!$A$2:$A$2000,$A110,台帳!$F$2:$F$2000,R$4)</f>
        <v>0</v>
      </c>
      <c r="S110" s="46">
        <f>SUMIFS(台帳!$I$2:$I$2000,台帳!$A$2:$A$2000,$A110,台帳!$F$2:$F$2000,S$4)</f>
        <v>0</v>
      </c>
      <c r="T110" s="46">
        <f>SUMIFS(台帳!$I$2:$I$2000,台帳!$A$2:$A$2000,$A110,台帳!$F$2:$F$2000,T$4)</f>
        <v>0</v>
      </c>
      <c r="U110" s="46">
        <f>SUMIFS(台帳!$I$2:$I$2000,台帳!$A$2:$A$2000,$A110,台帳!$F$2:$F$2000,U$4)</f>
        <v>0</v>
      </c>
      <c r="V110" s="46">
        <f>SUMIFS(台帳!$I$2:$I$2000,台帳!$A$2:$A$2000,$A110,台帳!$F$2:$F$2000,V$4)</f>
        <v>0</v>
      </c>
      <c r="W110" s="46">
        <f>SUMIFS(台帳!$I$2:$I$2000,台帳!$A$2:$A$2000,$A110,台帳!$F$2:$F$2000,W$4)</f>
        <v>4</v>
      </c>
      <c r="X110" s="46">
        <f>SUMIFS(台帳!$I$2:$I$2000,台帳!$A$2:$A$2000,$A110,台帳!$F$2:$F$2000,X$4)</f>
        <v>0</v>
      </c>
      <c r="Y110" s="46">
        <f>SUMIFS(台帳!$I$2:$I$2000,台帳!$A$2:$A$2000,$A110,台帳!$F$2:$F$2000,Y$4)</f>
        <v>0</v>
      </c>
      <c r="Z110" s="46">
        <f>SUMIFS(台帳!$I$2:$I$2000,台帳!$A$2:$A$2000,$A110,台帳!$F$2:$F$2000,Z$4)</f>
        <v>0</v>
      </c>
      <c r="AA110" s="46">
        <f>SUMIFS(台帳!$I$2:$I$2000,台帳!$A$2:$A$2000,$A110,台帳!$F$2:$F$2000,AA$4)</f>
        <v>2</v>
      </c>
      <c r="AB110" s="46">
        <f>SUMIFS(台帳!$I$2:$I$2000,台帳!$A$2:$A$2000,$A110,台帳!$F$2:$F$2000,AB$4)</f>
        <v>0</v>
      </c>
      <c r="AC110" s="46">
        <f>SUMIFS(台帳!$I$2:$I$2000,台帳!$A$2:$A$2000,$A110,台帳!$F$2:$F$2000,AC$4)</f>
        <v>0</v>
      </c>
      <c r="AD110" s="46">
        <f>SUMIFS(台帳!$I$2:$I$2000,台帳!$A$2:$A$2000,$A110,台帳!$F$2:$F$2000,AD$4)</f>
        <v>0</v>
      </c>
      <c r="AE110" s="46">
        <f>SUMIFS(台帳!$I$2:$I$2000,台帳!$A$2:$A$2000,$A110,台帳!$F$2:$F$2000,AE$4)</f>
        <v>0</v>
      </c>
      <c r="AF110" s="46">
        <f>SUMIFS(台帳!$I$2:$I$2000,台帳!$A$2:$A$2000,$A110,台帳!$F$2:$F$2000,AF$4)</f>
        <v>0</v>
      </c>
      <c r="AG110" s="46">
        <f>SUMIFS(台帳!$I$2:$I$2000,台帳!$A$2:$A$2000,$A110,台帳!$F$2:$F$2000,AG$4)</f>
        <v>2</v>
      </c>
      <c r="AH110" s="46">
        <f>SUMIFS(台帳!$I$2:$I$2000,台帳!$A$2:$A$2000,$A110,台帳!$F$2:$F$2000,AH$4)</f>
        <v>0</v>
      </c>
      <c r="AI110" s="46">
        <f>SUMIFS(台帳!$I$2:$I$2000,台帳!$A$2:$A$2000,$A110,台帳!$F$2:$F$2000,AI$4)</f>
        <v>0</v>
      </c>
      <c r="AJ110" s="46">
        <f>SUMIFS(台帳!$I$2:$I$2000,台帳!$A$2:$A$2000,$A110,台帳!$F$2:$F$2000,AJ$4)</f>
        <v>0</v>
      </c>
      <c r="AK110" s="46">
        <f>SUMIFS(台帳!$I$2:$I$2000,台帳!$A$2:$A$2000,$A110,台帳!$F$2:$F$2000,AK$4)</f>
        <v>0</v>
      </c>
      <c r="AL110" s="46">
        <f>SUMIFS(台帳!$I$2:$I$2000,台帳!$A$2:$A$2000,$A110,台帳!$F$2:$F$2000,AL$4)</f>
        <v>0</v>
      </c>
      <c r="AM110" s="46">
        <f>SUMIFS(台帳!$I$2:$I$2000,台帳!$A$2:$A$2000,$A110,台帳!$F$2:$F$2000,AM$4)</f>
        <v>0</v>
      </c>
      <c r="AN110" s="46">
        <f>SUMIFS(台帳!$I$2:$I$2000,台帳!$A$2:$A$2000,$A110,台帳!$F$2:$F$2000,AN$4)</f>
        <v>0</v>
      </c>
      <c r="AO110" s="46">
        <f>SUMIFS(台帳!$I$2:$I$2000,台帳!$A$2:$A$2000,$A110,台帳!$F$2:$F$2000,AO$4)</f>
        <v>0</v>
      </c>
      <c r="AP110" s="46">
        <f>SUMIFS(台帳!$I$2:$I$2000,台帳!$A$2:$A$2000,$A110,台帳!$F$2:$F$2000,AP$4)</f>
        <v>0</v>
      </c>
      <c r="AQ110" s="46">
        <f>SUMIFS(台帳!$I$2:$I$2000,台帳!$A$2:$A$2000,$A110,台帳!$F$2:$F$2000,AQ$4)</f>
        <v>0</v>
      </c>
      <c r="AR110" s="46">
        <f>SUM(C110:AQ110)</f>
        <v>8</v>
      </c>
    </row>
    <row r="111" spans="1:44" ht="17.25" x14ac:dyDescent="0.35">
      <c r="A111" s="44">
        <v>46238</v>
      </c>
      <c r="B111" s="45" t="str">
        <f>CHOOSE(WEEKDAY(A111),"日","月","火","水","木","金","土")</f>
        <v>火</v>
      </c>
      <c r="C111" s="46">
        <f>SUMIFS(台帳!$I$2:$I$2000,台帳!$A$2:$A$2000,$A111,台帳!$F$2:$F$2000,C$4)</f>
        <v>0</v>
      </c>
      <c r="D111" s="46">
        <f>SUMIFS(台帳!$I$2:$I$2000,台帳!$A$2:$A$2000,$A111,台帳!$F$2:$F$2000,D$4)</f>
        <v>0</v>
      </c>
      <c r="E111" s="46">
        <f>SUMIFS(台帳!$I$2:$I$2000,台帳!$A$2:$A$2000,$A111,台帳!$F$2:$F$2000,E$4)</f>
        <v>0</v>
      </c>
      <c r="F111" s="46">
        <f>SUMIFS(台帳!$I$2:$I$2000,台帳!$A$2:$A$2000,$A111,台帳!$F$2:$F$2000,F$4)</f>
        <v>0</v>
      </c>
      <c r="G111" s="46">
        <f>SUMIFS(台帳!$I$2:$I$2000,台帳!$A$2:$A$2000,$A111,台帳!$F$2:$F$2000,G$4)</f>
        <v>0</v>
      </c>
      <c r="H111" s="46">
        <f>SUMIFS(台帳!$I$2:$I$2000,台帳!$A$2:$A$2000,$A111,台帳!$F$2:$F$2000,H$4)</f>
        <v>0</v>
      </c>
      <c r="I111" s="46">
        <f>SUMIFS(台帳!$I$2:$I$2000,台帳!$A$2:$A$2000,$A111,台帳!$F$2:$F$2000,I$4)</f>
        <v>0</v>
      </c>
      <c r="J111" s="46">
        <f>SUMIFS(台帳!$I$2:$I$2000,台帳!$A$2:$A$2000,$A111,台帳!$F$2:$F$2000,J$4)</f>
        <v>0</v>
      </c>
      <c r="K111" s="46">
        <f>SUMIFS(台帳!$I$2:$I$2000,台帳!$A$2:$A$2000,$A111,台帳!$F$2:$F$2000,K$4)</f>
        <v>0</v>
      </c>
      <c r="L111" s="46">
        <f>SUMIFS(台帳!$I$2:$I$2000,台帳!$A$2:$A$2000,$A111,台帳!$F$2:$F$2000,L$4)</f>
        <v>0</v>
      </c>
      <c r="M111" s="46">
        <f>SUMIFS(台帳!$I$2:$I$2000,台帳!$A$2:$A$2000,$A111,台帳!$F$2:$F$2000,M$4)</f>
        <v>0</v>
      </c>
      <c r="N111" s="46">
        <f>SUMIFS(台帳!$I$2:$I$2000,台帳!$A$2:$A$2000,$A111,台帳!$F$2:$F$2000,N$4)</f>
        <v>0</v>
      </c>
      <c r="O111" s="46">
        <f>SUMIFS(台帳!$I$2:$I$2000,台帳!$A$2:$A$2000,$A111,台帳!$F$2:$F$2000,O$4)</f>
        <v>0</v>
      </c>
      <c r="P111" s="46">
        <f>SUMIFS(台帳!$I$2:$I$2000,台帳!$A$2:$A$2000,$A111,台帳!$F$2:$F$2000,P$4)</f>
        <v>0</v>
      </c>
      <c r="Q111" s="46">
        <f>SUMIFS(台帳!$I$2:$I$2000,台帳!$A$2:$A$2000,$A111,台帳!$F$2:$F$2000,Q$4)</f>
        <v>0</v>
      </c>
      <c r="R111" s="46">
        <f>SUMIFS(台帳!$I$2:$I$2000,台帳!$A$2:$A$2000,$A111,台帳!$F$2:$F$2000,R$4)</f>
        <v>0</v>
      </c>
      <c r="S111" s="46">
        <f>SUMIFS(台帳!$I$2:$I$2000,台帳!$A$2:$A$2000,$A111,台帳!$F$2:$F$2000,S$4)</f>
        <v>0</v>
      </c>
      <c r="T111" s="46">
        <f>SUMIFS(台帳!$I$2:$I$2000,台帳!$A$2:$A$2000,$A111,台帳!$F$2:$F$2000,T$4)</f>
        <v>0</v>
      </c>
      <c r="U111" s="46">
        <f>SUMIFS(台帳!$I$2:$I$2000,台帳!$A$2:$A$2000,$A111,台帳!$F$2:$F$2000,U$4)</f>
        <v>0</v>
      </c>
      <c r="V111" s="46">
        <f>SUMIFS(台帳!$I$2:$I$2000,台帳!$A$2:$A$2000,$A111,台帳!$F$2:$F$2000,V$4)</f>
        <v>0</v>
      </c>
      <c r="W111" s="46">
        <f>SUMIFS(台帳!$I$2:$I$2000,台帳!$A$2:$A$2000,$A111,台帳!$F$2:$F$2000,W$4)</f>
        <v>4</v>
      </c>
      <c r="X111" s="46">
        <f>SUMIFS(台帳!$I$2:$I$2000,台帳!$A$2:$A$2000,$A111,台帳!$F$2:$F$2000,X$4)</f>
        <v>0</v>
      </c>
      <c r="Y111" s="46">
        <f>SUMIFS(台帳!$I$2:$I$2000,台帳!$A$2:$A$2000,$A111,台帳!$F$2:$F$2000,Y$4)</f>
        <v>0</v>
      </c>
      <c r="Z111" s="46">
        <f>SUMIFS(台帳!$I$2:$I$2000,台帳!$A$2:$A$2000,$A111,台帳!$F$2:$F$2000,Z$4)</f>
        <v>0</v>
      </c>
      <c r="AA111" s="46">
        <f>SUMIFS(台帳!$I$2:$I$2000,台帳!$A$2:$A$2000,$A111,台帳!$F$2:$F$2000,AA$4)</f>
        <v>0</v>
      </c>
      <c r="AB111" s="46">
        <f>SUMIFS(台帳!$I$2:$I$2000,台帳!$A$2:$A$2000,$A111,台帳!$F$2:$F$2000,AB$4)</f>
        <v>1</v>
      </c>
      <c r="AC111" s="46">
        <f>SUMIFS(台帳!$I$2:$I$2000,台帳!$A$2:$A$2000,$A111,台帳!$F$2:$F$2000,AC$4)</f>
        <v>0</v>
      </c>
      <c r="AD111" s="46">
        <f>SUMIFS(台帳!$I$2:$I$2000,台帳!$A$2:$A$2000,$A111,台帳!$F$2:$F$2000,AD$4)</f>
        <v>0</v>
      </c>
      <c r="AE111" s="46">
        <f>SUMIFS(台帳!$I$2:$I$2000,台帳!$A$2:$A$2000,$A111,台帳!$F$2:$F$2000,AE$4)</f>
        <v>0</v>
      </c>
      <c r="AF111" s="46">
        <f>SUMIFS(台帳!$I$2:$I$2000,台帳!$A$2:$A$2000,$A111,台帳!$F$2:$F$2000,AF$4)</f>
        <v>0</v>
      </c>
      <c r="AG111" s="46">
        <f>SUMIFS(台帳!$I$2:$I$2000,台帳!$A$2:$A$2000,$A111,台帳!$F$2:$F$2000,AG$4)</f>
        <v>0</v>
      </c>
      <c r="AH111" s="46">
        <f>SUMIFS(台帳!$I$2:$I$2000,台帳!$A$2:$A$2000,$A111,台帳!$F$2:$F$2000,AH$4)</f>
        <v>0</v>
      </c>
      <c r="AI111" s="46">
        <f>SUMIFS(台帳!$I$2:$I$2000,台帳!$A$2:$A$2000,$A111,台帳!$F$2:$F$2000,AI$4)</f>
        <v>0</v>
      </c>
      <c r="AJ111" s="46">
        <f>SUMIFS(台帳!$I$2:$I$2000,台帳!$A$2:$A$2000,$A111,台帳!$F$2:$F$2000,AJ$4)</f>
        <v>2</v>
      </c>
      <c r="AK111" s="46">
        <f>SUMIFS(台帳!$I$2:$I$2000,台帳!$A$2:$A$2000,$A111,台帳!$F$2:$F$2000,AK$4)</f>
        <v>0</v>
      </c>
      <c r="AL111" s="46">
        <f>SUMIFS(台帳!$I$2:$I$2000,台帳!$A$2:$A$2000,$A111,台帳!$F$2:$F$2000,AL$4)</f>
        <v>0</v>
      </c>
      <c r="AM111" s="46">
        <f>SUMIFS(台帳!$I$2:$I$2000,台帳!$A$2:$A$2000,$A111,台帳!$F$2:$F$2000,AM$4)</f>
        <v>0</v>
      </c>
      <c r="AN111" s="46">
        <f>SUMIFS(台帳!$I$2:$I$2000,台帳!$A$2:$A$2000,$A111,台帳!$F$2:$F$2000,AN$4)</f>
        <v>0</v>
      </c>
      <c r="AO111" s="46">
        <f>SUMIFS(台帳!$I$2:$I$2000,台帳!$A$2:$A$2000,$A111,台帳!$F$2:$F$2000,AO$4)</f>
        <v>0</v>
      </c>
      <c r="AP111" s="46">
        <f>SUMIFS(台帳!$I$2:$I$2000,台帳!$A$2:$A$2000,$A111,台帳!$F$2:$F$2000,AP$4)</f>
        <v>0</v>
      </c>
      <c r="AQ111" s="46">
        <f>SUMIFS(台帳!$I$2:$I$2000,台帳!$A$2:$A$2000,$A111,台帳!$F$2:$F$2000,AQ$4)</f>
        <v>0</v>
      </c>
      <c r="AR111" s="46">
        <f>SUM(C111:AQ111)</f>
        <v>7</v>
      </c>
    </row>
    <row r="112" spans="1:44" ht="17.25" x14ac:dyDescent="0.35">
      <c r="A112" s="44">
        <v>46239</v>
      </c>
      <c r="B112" s="45" t="str">
        <f>CHOOSE(WEEKDAY(A112),"日","月","火","水","木","金","土")</f>
        <v>水</v>
      </c>
      <c r="C112" s="46">
        <f>SUMIFS(台帳!$I$2:$I$2000,台帳!$A$2:$A$2000,$A112,台帳!$F$2:$F$2000,C$4)</f>
        <v>0</v>
      </c>
      <c r="D112" s="46">
        <f>SUMIFS(台帳!$I$2:$I$2000,台帳!$A$2:$A$2000,$A112,台帳!$F$2:$F$2000,D$4)</f>
        <v>0</v>
      </c>
      <c r="E112" s="46">
        <f>SUMIFS(台帳!$I$2:$I$2000,台帳!$A$2:$A$2000,$A112,台帳!$F$2:$F$2000,E$4)</f>
        <v>0</v>
      </c>
      <c r="F112" s="46">
        <f>SUMIFS(台帳!$I$2:$I$2000,台帳!$A$2:$A$2000,$A112,台帳!$F$2:$F$2000,F$4)</f>
        <v>0</v>
      </c>
      <c r="G112" s="46">
        <f>SUMIFS(台帳!$I$2:$I$2000,台帳!$A$2:$A$2000,$A112,台帳!$F$2:$F$2000,G$4)</f>
        <v>0</v>
      </c>
      <c r="H112" s="46">
        <f>SUMIFS(台帳!$I$2:$I$2000,台帳!$A$2:$A$2000,$A112,台帳!$F$2:$F$2000,H$4)</f>
        <v>0</v>
      </c>
      <c r="I112" s="46">
        <f>SUMIFS(台帳!$I$2:$I$2000,台帳!$A$2:$A$2000,$A112,台帳!$F$2:$F$2000,I$4)</f>
        <v>0</v>
      </c>
      <c r="J112" s="46">
        <f>SUMIFS(台帳!$I$2:$I$2000,台帳!$A$2:$A$2000,$A112,台帳!$F$2:$F$2000,J$4)</f>
        <v>0</v>
      </c>
      <c r="K112" s="46">
        <f>SUMIFS(台帳!$I$2:$I$2000,台帳!$A$2:$A$2000,$A112,台帳!$F$2:$F$2000,K$4)</f>
        <v>0</v>
      </c>
      <c r="L112" s="46">
        <f>SUMIFS(台帳!$I$2:$I$2000,台帳!$A$2:$A$2000,$A112,台帳!$F$2:$F$2000,L$4)</f>
        <v>0</v>
      </c>
      <c r="M112" s="46">
        <f>SUMIFS(台帳!$I$2:$I$2000,台帳!$A$2:$A$2000,$A112,台帳!$F$2:$F$2000,M$4)</f>
        <v>0</v>
      </c>
      <c r="N112" s="46">
        <f>SUMIFS(台帳!$I$2:$I$2000,台帳!$A$2:$A$2000,$A112,台帳!$F$2:$F$2000,N$4)</f>
        <v>0</v>
      </c>
      <c r="O112" s="46">
        <f>SUMIFS(台帳!$I$2:$I$2000,台帳!$A$2:$A$2000,$A112,台帳!$F$2:$F$2000,O$4)</f>
        <v>0</v>
      </c>
      <c r="P112" s="46">
        <f>SUMIFS(台帳!$I$2:$I$2000,台帳!$A$2:$A$2000,$A112,台帳!$F$2:$F$2000,P$4)</f>
        <v>0</v>
      </c>
      <c r="Q112" s="46">
        <f>SUMIFS(台帳!$I$2:$I$2000,台帳!$A$2:$A$2000,$A112,台帳!$F$2:$F$2000,Q$4)</f>
        <v>0</v>
      </c>
      <c r="R112" s="46">
        <f>SUMIFS(台帳!$I$2:$I$2000,台帳!$A$2:$A$2000,$A112,台帳!$F$2:$F$2000,R$4)</f>
        <v>0</v>
      </c>
      <c r="S112" s="46">
        <f>SUMIFS(台帳!$I$2:$I$2000,台帳!$A$2:$A$2000,$A112,台帳!$F$2:$F$2000,S$4)</f>
        <v>0</v>
      </c>
      <c r="T112" s="46">
        <f>SUMIFS(台帳!$I$2:$I$2000,台帳!$A$2:$A$2000,$A112,台帳!$F$2:$F$2000,T$4)</f>
        <v>0</v>
      </c>
      <c r="U112" s="46">
        <f>SUMIFS(台帳!$I$2:$I$2000,台帳!$A$2:$A$2000,$A112,台帳!$F$2:$F$2000,U$4)</f>
        <v>0</v>
      </c>
      <c r="V112" s="46">
        <f>SUMIFS(台帳!$I$2:$I$2000,台帳!$A$2:$A$2000,$A112,台帳!$F$2:$F$2000,V$4)</f>
        <v>0</v>
      </c>
      <c r="W112" s="46">
        <f>SUMIFS(台帳!$I$2:$I$2000,台帳!$A$2:$A$2000,$A112,台帳!$F$2:$F$2000,W$4)</f>
        <v>4</v>
      </c>
      <c r="X112" s="46">
        <f>SUMIFS(台帳!$I$2:$I$2000,台帳!$A$2:$A$2000,$A112,台帳!$F$2:$F$2000,X$4)</f>
        <v>0</v>
      </c>
      <c r="Y112" s="46">
        <f>SUMIFS(台帳!$I$2:$I$2000,台帳!$A$2:$A$2000,$A112,台帳!$F$2:$F$2000,Y$4)</f>
        <v>0</v>
      </c>
      <c r="Z112" s="46">
        <f>SUMIFS(台帳!$I$2:$I$2000,台帳!$A$2:$A$2000,$A112,台帳!$F$2:$F$2000,Z$4)</f>
        <v>0</v>
      </c>
      <c r="AA112" s="46">
        <f>SUMIFS(台帳!$I$2:$I$2000,台帳!$A$2:$A$2000,$A112,台帳!$F$2:$F$2000,AA$4)</f>
        <v>0</v>
      </c>
      <c r="AB112" s="46">
        <f>SUMIFS(台帳!$I$2:$I$2000,台帳!$A$2:$A$2000,$A112,台帳!$F$2:$F$2000,AB$4)</f>
        <v>1</v>
      </c>
      <c r="AC112" s="46">
        <f>SUMIFS(台帳!$I$2:$I$2000,台帳!$A$2:$A$2000,$A112,台帳!$F$2:$F$2000,AC$4)</f>
        <v>0</v>
      </c>
      <c r="AD112" s="46">
        <f>SUMIFS(台帳!$I$2:$I$2000,台帳!$A$2:$A$2000,$A112,台帳!$F$2:$F$2000,AD$4)</f>
        <v>0</v>
      </c>
      <c r="AE112" s="46">
        <f>SUMIFS(台帳!$I$2:$I$2000,台帳!$A$2:$A$2000,$A112,台帳!$F$2:$F$2000,AE$4)</f>
        <v>0</v>
      </c>
      <c r="AF112" s="46">
        <f>SUMIFS(台帳!$I$2:$I$2000,台帳!$A$2:$A$2000,$A112,台帳!$F$2:$F$2000,AF$4)</f>
        <v>0</v>
      </c>
      <c r="AG112" s="46">
        <f>SUMIFS(台帳!$I$2:$I$2000,台帳!$A$2:$A$2000,$A112,台帳!$F$2:$F$2000,AG$4)</f>
        <v>0</v>
      </c>
      <c r="AH112" s="46">
        <f>SUMIFS(台帳!$I$2:$I$2000,台帳!$A$2:$A$2000,$A112,台帳!$F$2:$F$2000,AH$4)</f>
        <v>0</v>
      </c>
      <c r="AI112" s="46">
        <f>SUMIFS(台帳!$I$2:$I$2000,台帳!$A$2:$A$2000,$A112,台帳!$F$2:$F$2000,AI$4)</f>
        <v>0</v>
      </c>
      <c r="AJ112" s="46">
        <f>SUMIFS(台帳!$I$2:$I$2000,台帳!$A$2:$A$2000,$A112,台帳!$F$2:$F$2000,AJ$4)</f>
        <v>0</v>
      </c>
      <c r="AK112" s="46">
        <f>SUMIFS(台帳!$I$2:$I$2000,台帳!$A$2:$A$2000,$A112,台帳!$F$2:$F$2000,AK$4)</f>
        <v>0</v>
      </c>
      <c r="AL112" s="46">
        <f>SUMIFS(台帳!$I$2:$I$2000,台帳!$A$2:$A$2000,$A112,台帳!$F$2:$F$2000,AL$4)</f>
        <v>0</v>
      </c>
      <c r="AM112" s="46">
        <f>SUMIFS(台帳!$I$2:$I$2000,台帳!$A$2:$A$2000,$A112,台帳!$F$2:$F$2000,AM$4)</f>
        <v>0</v>
      </c>
      <c r="AN112" s="46">
        <f>SUMIFS(台帳!$I$2:$I$2000,台帳!$A$2:$A$2000,$A112,台帳!$F$2:$F$2000,AN$4)</f>
        <v>0</v>
      </c>
      <c r="AO112" s="46">
        <f>SUMIFS(台帳!$I$2:$I$2000,台帳!$A$2:$A$2000,$A112,台帳!$F$2:$F$2000,AO$4)</f>
        <v>0</v>
      </c>
      <c r="AP112" s="46">
        <f>SUMIFS(台帳!$I$2:$I$2000,台帳!$A$2:$A$2000,$A112,台帳!$F$2:$F$2000,AP$4)</f>
        <v>0</v>
      </c>
      <c r="AQ112" s="46">
        <f>SUMIFS(台帳!$I$2:$I$2000,台帳!$A$2:$A$2000,$A112,台帳!$F$2:$F$2000,AQ$4)</f>
        <v>0</v>
      </c>
      <c r="AR112" s="46">
        <f>SUM(C112:AQ112)</f>
        <v>5</v>
      </c>
    </row>
    <row r="113" spans="1:44" ht="17.25" x14ac:dyDescent="0.35">
      <c r="A113" s="44">
        <v>46240</v>
      </c>
      <c r="B113" s="45" t="str">
        <f>CHOOSE(WEEKDAY(A113),"日","月","火","水","木","金","土")</f>
        <v>木</v>
      </c>
      <c r="C113" s="46">
        <f>SUMIFS(台帳!$I$2:$I$2000,台帳!$A$2:$A$2000,$A113,台帳!$F$2:$F$2000,C$4)</f>
        <v>0</v>
      </c>
      <c r="D113" s="46">
        <f>SUMIFS(台帳!$I$2:$I$2000,台帳!$A$2:$A$2000,$A113,台帳!$F$2:$F$2000,D$4)</f>
        <v>0</v>
      </c>
      <c r="E113" s="46">
        <f>SUMIFS(台帳!$I$2:$I$2000,台帳!$A$2:$A$2000,$A113,台帳!$F$2:$F$2000,E$4)</f>
        <v>0</v>
      </c>
      <c r="F113" s="46">
        <f>SUMIFS(台帳!$I$2:$I$2000,台帳!$A$2:$A$2000,$A113,台帳!$F$2:$F$2000,F$4)</f>
        <v>0</v>
      </c>
      <c r="G113" s="46">
        <f>SUMIFS(台帳!$I$2:$I$2000,台帳!$A$2:$A$2000,$A113,台帳!$F$2:$F$2000,G$4)</f>
        <v>0</v>
      </c>
      <c r="H113" s="46">
        <f>SUMIFS(台帳!$I$2:$I$2000,台帳!$A$2:$A$2000,$A113,台帳!$F$2:$F$2000,H$4)</f>
        <v>0</v>
      </c>
      <c r="I113" s="46">
        <f>SUMIFS(台帳!$I$2:$I$2000,台帳!$A$2:$A$2000,$A113,台帳!$F$2:$F$2000,I$4)</f>
        <v>0</v>
      </c>
      <c r="J113" s="46">
        <f>SUMIFS(台帳!$I$2:$I$2000,台帳!$A$2:$A$2000,$A113,台帳!$F$2:$F$2000,J$4)</f>
        <v>0</v>
      </c>
      <c r="K113" s="46">
        <f>SUMIFS(台帳!$I$2:$I$2000,台帳!$A$2:$A$2000,$A113,台帳!$F$2:$F$2000,K$4)</f>
        <v>0</v>
      </c>
      <c r="L113" s="46">
        <f>SUMIFS(台帳!$I$2:$I$2000,台帳!$A$2:$A$2000,$A113,台帳!$F$2:$F$2000,L$4)</f>
        <v>0</v>
      </c>
      <c r="M113" s="46">
        <f>SUMIFS(台帳!$I$2:$I$2000,台帳!$A$2:$A$2000,$A113,台帳!$F$2:$F$2000,M$4)</f>
        <v>0</v>
      </c>
      <c r="N113" s="46">
        <f>SUMIFS(台帳!$I$2:$I$2000,台帳!$A$2:$A$2000,$A113,台帳!$F$2:$F$2000,N$4)</f>
        <v>0</v>
      </c>
      <c r="O113" s="46">
        <f>SUMIFS(台帳!$I$2:$I$2000,台帳!$A$2:$A$2000,$A113,台帳!$F$2:$F$2000,O$4)</f>
        <v>0</v>
      </c>
      <c r="P113" s="46">
        <f>SUMIFS(台帳!$I$2:$I$2000,台帳!$A$2:$A$2000,$A113,台帳!$F$2:$F$2000,P$4)</f>
        <v>0</v>
      </c>
      <c r="Q113" s="46">
        <f>SUMIFS(台帳!$I$2:$I$2000,台帳!$A$2:$A$2000,$A113,台帳!$F$2:$F$2000,Q$4)</f>
        <v>0</v>
      </c>
      <c r="R113" s="46">
        <f>SUMIFS(台帳!$I$2:$I$2000,台帳!$A$2:$A$2000,$A113,台帳!$F$2:$F$2000,R$4)</f>
        <v>0</v>
      </c>
      <c r="S113" s="46">
        <f>SUMIFS(台帳!$I$2:$I$2000,台帳!$A$2:$A$2000,$A113,台帳!$F$2:$F$2000,S$4)</f>
        <v>0</v>
      </c>
      <c r="T113" s="46">
        <f>SUMIFS(台帳!$I$2:$I$2000,台帳!$A$2:$A$2000,$A113,台帳!$F$2:$F$2000,T$4)</f>
        <v>0</v>
      </c>
      <c r="U113" s="46">
        <f>SUMIFS(台帳!$I$2:$I$2000,台帳!$A$2:$A$2000,$A113,台帳!$F$2:$F$2000,U$4)</f>
        <v>0</v>
      </c>
      <c r="V113" s="46">
        <f>SUMIFS(台帳!$I$2:$I$2000,台帳!$A$2:$A$2000,$A113,台帳!$F$2:$F$2000,V$4)</f>
        <v>0</v>
      </c>
      <c r="W113" s="46">
        <f>SUMIFS(台帳!$I$2:$I$2000,台帳!$A$2:$A$2000,$A113,台帳!$F$2:$F$2000,W$4)</f>
        <v>3</v>
      </c>
      <c r="X113" s="46">
        <f>SUMIFS(台帳!$I$2:$I$2000,台帳!$A$2:$A$2000,$A113,台帳!$F$2:$F$2000,X$4)</f>
        <v>0</v>
      </c>
      <c r="Y113" s="46">
        <f>SUMIFS(台帳!$I$2:$I$2000,台帳!$A$2:$A$2000,$A113,台帳!$F$2:$F$2000,Y$4)</f>
        <v>0</v>
      </c>
      <c r="Z113" s="46">
        <f>SUMIFS(台帳!$I$2:$I$2000,台帳!$A$2:$A$2000,$A113,台帳!$F$2:$F$2000,Z$4)</f>
        <v>0</v>
      </c>
      <c r="AA113" s="46">
        <f>SUMIFS(台帳!$I$2:$I$2000,台帳!$A$2:$A$2000,$A113,台帳!$F$2:$F$2000,AA$4)</f>
        <v>0</v>
      </c>
      <c r="AB113" s="46">
        <f>SUMIFS(台帳!$I$2:$I$2000,台帳!$A$2:$A$2000,$A113,台帳!$F$2:$F$2000,AB$4)</f>
        <v>0</v>
      </c>
      <c r="AC113" s="46">
        <f>SUMIFS(台帳!$I$2:$I$2000,台帳!$A$2:$A$2000,$A113,台帳!$F$2:$F$2000,AC$4)</f>
        <v>0</v>
      </c>
      <c r="AD113" s="46">
        <f>SUMIFS(台帳!$I$2:$I$2000,台帳!$A$2:$A$2000,$A113,台帳!$F$2:$F$2000,AD$4)</f>
        <v>0</v>
      </c>
      <c r="AE113" s="46">
        <f>SUMIFS(台帳!$I$2:$I$2000,台帳!$A$2:$A$2000,$A113,台帳!$F$2:$F$2000,AE$4)</f>
        <v>0</v>
      </c>
      <c r="AF113" s="46">
        <f>SUMIFS(台帳!$I$2:$I$2000,台帳!$A$2:$A$2000,$A113,台帳!$F$2:$F$2000,AF$4)</f>
        <v>0</v>
      </c>
      <c r="AG113" s="46">
        <f>SUMIFS(台帳!$I$2:$I$2000,台帳!$A$2:$A$2000,$A113,台帳!$F$2:$F$2000,AG$4)</f>
        <v>0</v>
      </c>
      <c r="AH113" s="46">
        <f>SUMIFS(台帳!$I$2:$I$2000,台帳!$A$2:$A$2000,$A113,台帳!$F$2:$F$2000,AH$4)</f>
        <v>0</v>
      </c>
      <c r="AI113" s="46">
        <f>SUMIFS(台帳!$I$2:$I$2000,台帳!$A$2:$A$2000,$A113,台帳!$F$2:$F$2000,AI$4)</f>
        <v>0</v>
      </c>
      <c r="AJ113" s="46">
        <f>SUMIFS(台帳!$I$2:$I$2000,台帳!$A$2:$A$2000,$A113,台帳!$F$2:$F$2000,AJ$4)</f>
        <v>0</v>
      </c>
      <c r="AK113" s="46">
        <f>SUMIFS(台帳!$I$2:$I$2000,台帳!$A$2:$A$2000,$A113,台帳!$F$2:$F$2000,AK$4)</f>
        <v>0</v>
      </c>
      <c r="AL113" s="46">
        <f>SUMIFS(台帳!$I$2:$I$2000,台帳!$A$2:$A$2000,$A113,台帳!$F$2:$F$2000,AL$4)</f>
        <v>0</v>
      </c>
      <c r="AM113" s="46">
        <f>SUMIFS(台帳!$I$2:$I$2000,台帳!$A$2:$A$2000,$A113,台帳!$F$2:$F$2000,AM$4)</f>
        <v>0</v>
      </c>
      <c r="AN113" s="46">
        <f>SUMIFS(台帳!$I$2:$I$2000,台帳!$A$2:$A$2000,$A113,台帳!$F$2:$F$2000,AN$4)</f>
        <v>0</v>
      </c>
      <c r="AO113" s="46">
        <f>SUMIFS(台帳!$I$2:$I$2000,台帳!$A$2:$A$2000,$A113,台帳!$F$2:$F$2000,AO$4)</f>
        <v>0</v>
      </c>
      <c r="AP113" s="46">
        <f>SUMIFS(台帳!$I$2:$I$2000,台帳!$A$2:$A$2000,$A113,台帳!$F$2:$F$2000,AP$4)</f>
        <v>0</v>
      </c>
      <c r="AQ113" s="46">
        <f>SUMIFS(台帳!$I$2:$I$2000,台帳!$A$2:$A$2000,$A113,台帳!$F$2:$F$2000,AQ$4)</f>
        <v>0</v>
      </c>
      <c r="AR113" s="46">
        <f>SUM(C113:AQ113)</f>
        <v>3</v>
      </c>
    </row>
    <row r="114" spans="1:44" ht="17.25" x14ac:dyDescent="0.35">
      <c r="A114" s="44">
        <v>46241</v>
      </c>
      <c r="B114" s="45" t="str">
        <f>CHOOSE(WEEKDAY(A114),"日","月","火","水","木","金","土")</f>
        <v>金</v>
      </c>
      <c r="C114" s="46">
        <f>SUMIFS(台帳!$I$2:$I$2000,台帳!$A$2:$A$2000,$A114,台帳!$F$2:$F$2000,C$4)</f>
        <v>0</v>
      </c>
      <c r="D114" s="46">
        <f>SUMIFS(台帳!$I$2:$I$2000,台帳!$A$2:$A$2000,$A114,台帳!$F$2:$F$2000,D$4)</f>
        <v>0</v>
      </c>
      <c r="E114" s="46">
        <f>SUMIFS(台帳!$I$2:$I$2000,台帳!$A$2:$A$2000,$A114,台帳!$F$2:$F$2000,E$4)</f>
        <v>0</v>
      </c>
      <c r="F114" s="46">
        <f>SUMIFS(台帳!$I$2:$I$2000,台帳!$A$2:$A$2000,$A114,台帳!$F$2:$F$2000,F$4)</f>
        <v>0</v>
      </c>
      <c r="G114" s="46">
        <f>SUMIFS(台帳!$I$2:$I$2000,台帳!$A$2:$A$2000,$A114,台帳!$F$2:$F$2000,G$4)</f>
        <v>0</v>
      </c>
      <c r="H114" s="46">
        <f>SUMIFS(台帳!$I$2:$I$2000,台帳!$A$2:$A$2000,$A114,台帳!$F$2:$F$2000,H$4)</f>
        <v>0</v>
      </c>
      <c r="I114" s="46">
        <f>SUMIFS(台帳!$I$2:$I$2000,台帳!$A$2:$A$2000,$A114,台帳!$F$2:$F$2000,I$4)</f>
        <v>0</v>
      </c>
      <c r="J114" s="46">
        <f>SUMIFS(台帳!$I$2:$I$2000,台帳!$A$2:$A$2000,$A114,台帳!$F$2:$F$2000,J$4)</f>
        <v>0</v>
      </c>
      <c r="K114" s="46">
        <f>SUMIFS(台帳!$I$2:$I$2000,台帳!$A$2:$A$2000,$A114,台帳!$F$2:$F$2000,K$4)</f>
        <v>0</v>
      </c>
      <c r="L114" s="46">
        <f>SUMIFS(台帳!$I$2:$I$2000,台帳!$A$2:$A$2000,$A114,台帳!$F$2:$F$2000,L$4)</f>
        <v>0</v>
      </c>
      <c r="M114" s="46">
        <f>SUMIFS(台帳!$I$2:$I$2000,台帳!$A$2:$A$2000,$A114,台帳!$F$2:$F$2000,M$4)</f>
        <v>0</v>
      </c>
      <c r="N114" s="46">
        <f>SUMIFS(台帳!$I$2:$I$2000,台帳!$A$2:$A$2000,$A114,台帳!$F$2:$F$2000,N$4)</f>
        <v>0</v>
      </c>
      <c r="O114" s="46">
        <f>SUMIFS(台帳!$I$2:$I$2000,台帳!$A$2:$A$2000,$A114,台帳!$F$2:$F$2000,O$4)</f>
        <v>0</v>
      </c>
      <c r="P114" s="46">
        <f>SUMIFS(台帳!$I$2:$I$2000,台帳!$A$2:$A$2000,$A114,台帳!$F$2:$F$2000,P$4)</f>
        <v>0</v>
      </c>
      <c r="Q114" s="46">
        <f>SUMIFS(台帳!$I$2:$I$2000,台帳!$A$2:$A$2000,$A114,台帳!$F$2:$F$2000,Q$4)</f>
        <v>0</v>
      </c>
      <c r="R114" s="46">
        <f>SUMIFS(台帳!$I$2:$I$2000,台帳!$A$2:$A$2000,$A114,台帳!$F$2:$F$2000,R$4)</f>
        <v>0</v>
      </c>
      <c r="S114" s="46">
        <f>SUMIFS(台帳!$I$2:$I$2000,台帳!$A$2:$A$2000,$A114,台帳!$F$2:$F$2000,S$4)</f>
        <v>0</v>
      </c>
      <c r="T114" s="46">
        <f>SUMIFS(台帳!$I$2:$I$2000,台帳!$A$2:$A$2000,$A114,台帳!$F$2:$F$2000,T$4)</f>
        <v>0</v>
      </c>
      <c r="U114" s="46">
        <f>SUMIFS(台帳!$I$2:$I$2000,台帳!$A$2:$A$2000,$A114,台帳!$F$2:$F$2000,U$4)</f>
        <v>0</v>
      </c>
      <c r="V114" s="46">
        <f>SUMIFS(台帳!$I$2:$I$2000,台帳!$A$2:$A$2000,$A114,台帳!$F$2:$F$2000,V$4)</f>
        <v>0</v>
      </c>
      <c r="W114" s="46">
        <f>SUMIFS(台帳!$I$2:$I$2000,台帳!$A$2:$A$2000,$A114,台帳!$F$2:$F$2000,W$4)</f>
        <v>0</v>
      </c>
      <c r="X114" s="46">
        <f>SUMIFS(台帳!$I$2:$I$2000,台帳!$A$2:$A$2000,$A114,台帳!$F$2:$F$2000,X$4)</f>
        <v>0</v>
      </c>
      <c r="Y114" s="46">
        <f>SUMIFS(台帳!$I$2:$I$2000,台帳!$A$2:$A$2000,$A114,台帳!$F$2:$F$2000,Y$4)</f>
        <v>0</v>
      </c>
      <c r="Z114" s="46">
        <f>SUMIFS(台帳!$I$2:$I$2000,台帳!$A$2:$A$2000,$A114,台帳!$F$2:$F$2000,Z$4)</f>
        <v>0</v>
      </c>
      <c r="AA114" s="46">
        <f>SUMIFS(台帳!$I$2:$I$2000,台帳!$A$2:$A$2000,$A114,台帳!$F$2:$F$2000,AA$4)</f>
        <v>0</v>
      </c>
      <c r="AB114" s="46">
        <f>SUMIFS(台帳!$I$2:$I$2000,台帳!$A$2:$A$2000,$A114,台帳!$F$2:$F$2000,AB$4)</f>
        <v>0</v>
      </c>
      <c r="AC114" s="46">
        <f>SUMIFS(台帳!$I$2:$I$2000,台帳!$A$2:$A$2000,$A114,台帳!$F$2:$F$2000,AC$4)</f>
        <v>0</v>
      </c>
      <c r="AD114" s="46">
        <f>SUMIFS(台帳!$I$2:$I$2000,台帳!$A$2:$A$2000,$A114,台帳!$F$2:$F$2000,AD$4)</f>
        <v>0</v>
      </c>
      <c r="AE114" s="46">
        <f>SUMIFS(台帳!$I$2:$I$2000,台帳!$A$2:$A$2000,$A114,台帳!$F$2:$F$2000,AE$4)</f>
        <v>0</v>
      </c>
      <c r="AF114" s="46">
        <f>SUMIFS(台帳!$I$2:$I$2000,台帳!$A$2:$A$2000,$A114,台帳!$F$2:$F$2000,AF$4)</f>
        <v>0</v>
      </c>
      <c r="AG114" s="46">
        <f>SUMIFS(台帳!$I$2:$I$2000,台帳!$A$2:$A$2000,$A114,台帳!$F$2:$F$2000,AG$4)</f>
        <v>0</v>
      </c>
      <c r="AH114" s="46">
        <f>SUMIFS(台帳!$I$2:$I$2000,台帳!$A$2:$A$2000,$A114,台帳!$F$2:$F$2000,AH$4)</f>
        <v>0</v>
      </c>
      <c r="AI114" s="46">
        <f>SUMIFS(台帳!$I$2:$I$2000,台帳!$A$2:$A$2000,$A114,台帳!$F$2:$F$2000,AI$4)</f>
        <v>0</v>
      </c>
      <c r="AJ114" s="46">
        <f>SUMIFS(台帳!$I$2:$I$2000,台帳!$A$2:$A$2000,$A114,台帳!$F$2:$F$2000,AJ$4)</f>
        <v>0</v>
      </c>
      <c r="AK114" s="46">
        <f>SUMIFS(台帳!$I$2:$I$2000,台帳!$A$2:$A$2000,$A114,台帳!$F$2:$F$2000,AK$4)</f>
        <v>0</v>
      </c>
      <c r="AL114" s="46">
        <f>SUMIFS(台帳!$I$2:$I$2000,台帳!$A$2:$A$2000,$A114,台帳!$F$2:$F$2000,AL$4)</f>
        <v>0</v>
      </c>
      <c r="AM114" s="46">
        <f>SUMIFS(台帳!$I$2:$I$2000,台帳!$A$2:$A$2000,$A114,台帳!$F$2:$F$2000,AM$4)</f>
        <v>0</v>
      </c>
      <c r="AN114" s="46">
        <f>SUMIFS(台帳!$I$2:$I$2000,台帳!$A$2:$A$2000,$A114,台帳!$F$2:$F$2000,AN$4)</f>
        <v>0</v>
      </c>
      <c r="AO114" s="46">
        <f>SUMIFS(台帳!$I$2:$I$2000,台帳!$A$2:$A$2000,$A114,台帳!$F$2:$F$2000,AO$4)</f>
        <v>0</v>
      </c>
      <c r="AP114" s="46">
        <f>SUMIFS(台帳!$I$2:$I$2000,台帳!$A$2:$A$2000,$A114,台帳!$F$2:$F$2000,AP$4)</f>
        <v>0</v>
      </c>
      <c r="AQ114" s="46">
        <f>SUMIFS(台帳!$I$2:$I$2000,台帳!$A$2:$A$2000,$A114,台帳!$F$2:$F$2000,AQ$4)</f>
        <v>0</v>
      </c>
      <c r="AR114" s="46">
        <f>SUM(C114:AQ114)</f>
        <v>0</v>
      </c>
    </row>
    <row r="115" spans="1:44" ht="17.25" x14ac:dyDescent="0.35">
      <c r="A115" s="44">
        <v>46242</v>
      </c>
      <c r="B115" s="45" t="str">
        <f>CHOOSE(WEEKDAY(A115),"日","月","火","水","木","金","土")</f>
        <v>土</v>
      </c>
      <c r="C115" s="46">
        <f>SUMIFS(台帳!$I$2:$I$2000,台帳!$A$2:$A$2000,$A115,台帳!$F$2:$F$2000,C$4)</f>
        <v>0</v>
      </c>
      <c r="D115" s="46">
        <f>SUMIFS(台帳!$I$2:$I$2000,台帳!$A$2:$A$2000,$A115,台帳!$F$2:$F$2000,D$4)</f>
        <v>0</v>
      </c>
      <c r="E115" s="46">
        <f>SUMIFS(台帳!$I$2:$I$2000,台帳!$A$2:$A$2000,$A115,台帳!$F$2:$F$2000,E$4)</f>
        <v>0</v>
      </c>
      <c r="F115" s="46">
        <f>SUMIFS(台帳!$I$2:$I$2000,台帳!$A$2:$A$2000,$A115,台帳!$F$2:$F$2000,F$4)</f>
        <v>0</v>
      </c>
      <c r="G115" s="46">
        <f>SUMIFS(台帳!$I$2:$I$2000,台帳!$A$2:$A$2000,$A115,台帳!$F$2:$F$2000,G$4)</f>
        <v>0</v>
      </c>
      <c r="H115" s="46">
        <f>SUMIFS(台帳!$I$2:$I$2000,台帳!$A$2:$A$2000,$A115,台帳!$F$2:$F$2000,H$4)</f>
        <v>0</v>
      </c>
      <c r="I115" s="46">
        <f>SUMIFS(台帳!$I$2:$I$2000,台帳!$A$2:$A$2000,$A115,台帳!$F$2:$F$2000,I$4)</f>
        <v>0</v>
      </c>
      <c r="J115" s="46">
        <f>SUMIFS(台帳!$I$2:$I$2000,台帳!$A$2:$A$2000,$A115,台帳!$F$2:$F$2000,J$4)</f>
        <v>0</v>
      </c>
      <c r="K115" s="46">
        <f>SUMIFS(台帳!$I$2:$I$2000,台帳!$A$2:$A$2000,$A115,台帳!$F$2:$F$2000,K$4)</f>
        <v>0</v>
      </c>
      <c r="L115" s="46">
        <f>SUMIFS(台帳!$I$2:$I$2000,台帳!$A$2:$A$2000,$A115,台帳!$F$2:$F$2000,L$4)</f>
        <v>0</v>
      </c>
      <c r="M115" s="46">
        <f>SUMIFS(台帳!$I$2:$I$2000,台帳!$A$2:$A$2000,$A115,台帳!$F$2:$F$2000,M$4)</f>
        <v>0</v>
      </c>
      <c r="N115" s="46">
        <f>SUMIFS(台帳!$I$2:$I$2000,台帳!$A$2:$A$2000,$A115,台帳!$F$2:$F$2000,N$4)</f>
        <v>0</v>
      </c>
      <c r="O115" s="46">
        <f>SUMIFS(台帳!$I$2:$I$2000,台帳!$A$2:$A$2000,$A115,台帳!$F$2:$F$2000,O$4)</f>
        <v>0</v>
      </c>
      <c r="P115" s="46">
        <f>SUMIFS(台帳!$I$2:$I$2000,台帳!$A$2:$A$2000,$A115,台帳!$F$2:$F$2000,P$4)</f>
        <v>0</v>
      </c>
      <c r="Q115" s="46">
        <f>SUMIFS(台帳!$I$2:$I$2000,台帳!$A$2:$A$2000,$A115,台帳!$F$2:$F$2000,Q$4)</f>
        <v>0</v>
      </c>
      <c r="R115" s="46">
        <f>SUMIFS(台帳!$I$2:$I$2000,台帳!$A$2:$A$2000,$A115,台帳!$F$2:$F$2000,R$4)</f>
        <v>0</v>
      </c>
      <c r="S115" s="46">
        <f>SUMIFS(台帳!$I$2:$I$2000,台帳!$A$2:$A$2000,$A115,台帳!$F$2:$F$2000,S$4)</f>
        <v>0</v>
      </c>
      <c r="T115" s="46">
        <f>SUMIFS(台帳!$I$2:$I$2000,台帳!$A$2:$A$2000,$A115,台帳!$F$2:$F$2000,T$4)</f>
        <v>0</v>
      </c>
      <c r="U115" s="46">
        <f>SUMIFS(台帳!$I$2:$I$2000,台帳!$A$2:$A$2000,$A115,台帳!$F$2:$F$2000,U$4)</f>
        <v>0</v>
      </c>
      <c r="V115" s="46">
        <f>SUMIFS(台帳!$I$2:$I$2000,台帳!$A$2:$A$2000,$A115,台帳!$F$2:$F$2000,V$4)</f>
        <v>0</v>
      </c>
      <c r="W115" s="46">
        <f>SUMIFS(台帳!$I$2:$I$2000,台帳!$A$2:$A$2000,$A115,台帳!$F$2:$F$2000,W$4)</f>
        <v>1</v>
      </c>
      <c r="X115" s="46">
        <f>SUMIFS(台帳!$I$2:$I$2000,台帳!$A$2:$A$2000,$A115,台帳!$F$2:$F$2000,X$4)</f>
        <v>0</v>
      </c>
      <c r="Y115" s="46">
        <f>SUMIFS(台帳!$I$2:$I$2000,台帳!$A$2:$A$2000,$A115,台帳!$F$2:$F$2000,Y$4)</f>
        <v>0</v>
      </c>
      <c r="Z115" s="46">
        <f>SUMIFS(台帳!$I$2:$I$2000,台帳!$A$2:$A$2000,$A115,台帳!$F$2:$F$2000,Z$4)</f>
        <v>0</v>
      </c>
      <c r="AA115" s="46">
        <f>SUMIFS(台帳!$I$2:$I$2000,台帳!$A$2:$A$2000,$A115,台帳!$F$2:$F$2000,AA$4)</f>
        <v>0</v>
      </c>
      <c r="AB115" s="46">
        <f>SUMIFS(台帳!$I$2:$I$2000,台帳!$A$2:$A$2000,$A115,台帳!$F$2:$F$2000,AB$4)</f>
        <v>0</v>
      </c>
      <c r="AC115" s="46">
        <f>SUMIFS(台帳!$I$2:$I$2000,台帳!$A$2:$A$2000,$A115,台帳!$F$2:$F$2000,AC$4)</f>
        <v>0</v>
      </c>
      <c r="AD115" s="46">
        <f>SUMIFS(台帳!$I$2:$I$2000,台帳!$A$2:$A$2000,$A115,台帳!$F$2:$F$2000,AD$4)</f>
        <v>0</v>
      </c>
      <c r="AE115" s="46">
        <f>SUMIFS(台帳!$I$2:$I$2000,台帳!$A$2:$A$2000,$A115,台帳!$F$2:$F$2000,AE$4)</f>
        <v>0</v>
      </c>
      <c r="AF115" s="46">
        <f>SUMIFS(台帳!$I$2:$I$2000,台帳!$A$2:$A$2000,$A115,台帳!$F$2:$F$2000,AF$4)</f>
        <v>0</v>
      </c>
      <c r="AG115" s="46">
        <f>SUMIFS(台帳!$I$2:$I$2000,台帳!$A$2:$A$2000,$A115,台帳!$F$2:$F$2000,AG$4)</f>
        <v>0</v>
      </c>
      <c r="AH115" s="46">
        <f>SUMIFS(台帳!$I$2:$I$2000,台帳!$A$2:$A$2000,$A115,台帳!$F$2:$F$2000,AH$4)</f>
        <v>0</v>
      </c>
      <c r="AI115" s="46">
        <f>SUMIFS(台帳!$I$2:$I$2000,台帳!$A$2:$A$2000,$A115,台帳!$F$2:$F$2000,AI$4)</f>
        <v>0</v>
      </c>
      <c r="AJ115" s="46">
        <f>SUMIFS(台帳!$I$2:$I$2000,台帳!$A$2:$A$2000,$A115,台帳!$F$2:$F$2000,AJ$4)</f>
        <v>0</v>
      </c>
      <c r="AK115" s="46">
        <f>SUMIFS(台帳!$I$2:$I$2000,台帳!$A$2:$A$2000,$A115,台帳!$F$2:$F$2000,AK$4)</f>
        <v>0</v>
      </c>
      <c r="AL115" s="46">
        <f>SUMIFS(台帳!$I$2:$I$2000,台帳!$A$2:$A$2000,$A115,台帳!$F$2:$F$2000,AL$4)</f>
        <v>0</v>
      </c>
      <c r="AM115" s="46">
        <f>SUMIFS(台帳!$I$2:$I$2000,台帳!$A$2:$A$2000,$A115,台帳!$F$2:$F$2000,AM$4)</f>
        <v>0</v>
      </c>
      <c r="AN115" s="46">
        <f>SUMIFS(台帳!$I$2:$I$2000,台帳!$A$2:$A$2000,$A115,台帳!$F$2:$F$2000,AN$4)</f>
        <v>0</v>
      </c>
      <c r="AO115" s="46">
        <f>SUMIFS(台帳!$I$2:$I$2000,台帳!$A$2:$A$2000,$A115,台帳!$F$2:$F$2000,AO$4)</f>
        <v>0</v>
      </c>
      <c r="AP115" s="46">
        <f>SUMIFS(台帳!$I$2:$I$2000,台帳!$A$2:$A$2000,$A115,台帳!$F$2:$F$2000,AP$4)</f>
        <v>0</v>
      </c>
      <c r="AQ115" s="46">
        <f>SUMIFS(台帳!$I$2:$I$2000,台帳!$A$2:$A$2000,$A115,台帳!$F$2:$F$2000,AQ$4)</f>
        <v>0</v>
      </c>
      <c r="AR115" s="46">
        <f>SUM(C115:AQ115)</f>
        <v>1</v>
      </c>
    </row>
    <row r="116" spans="1:44" ht="17.25" x14ac:dyDescent="0.35">
      <c r="A116" s="44">
        <v>46243</v>
      </c>
      <c r="B116" s="45" t="str">
        <f>CHOOSE(WEEKDAY(A116),"日","月","火","水","木","金","土")</f>
        <v>日</v>
      </c>
      <c r="C116" s="46">
        <f>SUMIFS(台帳!$I$2:$I$2000,台帳!$A$2:$A$2000,$A116,台帳!$F$2:$F$2000,C$4)</f>
        <v>0</v>
      </c>
      <c r="D116" s="46">
        <f>SUMIFS(台帳!$I$2:$I$2000,台帳!$A$2:$A$2000,$A116,台帳!$F$2:$F$2000,D$4)</f>
        <v>0</v>
      </c>
      <c r="E116" s="46">
        <f>SUMIFS(台帳!$I$2:$I$2000,台帳!$A$2:$A$2000,$A116,台帳!$F$2:$F$2000,E$4)</f>
        <v>0</v>
      </c>
      <c r="F116" s="46">
        <f>SUMIFS(台帳!$I$2:$I$2000,台帳!$A$2:$A$2000,$A116,台帳!$F$2:$F$2000,F$4)</f>
        <v>0</v>
      </c>
      <c r="G116" s="46">
        <f>SUMIFS(台帳!$I$2:$I$2000,台帳!$A$2:$A$2000,$A116,台帳!$F$2:$F$2000,G$4)</f>
        <v>0</v>
      </c>
      <c r="H116" s="46">
        <f>SUMIFS(台帳!$I$2:$I$2000,台帳!$A$2:$A$2000,$A116,台帳!$F$2:$F$2000,H$4)</f>
        <v>0</v>
      </c>
      <c r="I116" s="46">
        <f>SUMIFS(台帳!$I$2:$I$2000,台帳!$A$2:$A$2000,$A116,台帳!$F$2:$F$2000,I$4)</f>
        <v>0</v>
      </c>
      <c r="J116" s="46">
        <f>SUMIFS(台帳!$I$2:$I$2000,台帳!$A$2:$A$2000,$A116,台帳!$F$2:$F$2000,J$4)</f>
        <v>0</v>
      </c>
      <c r="K116" s="46">
        <f>SUMIFS(台帳!$I$2:$I$2000,台帳!$A$2:$A$2000,$A116,台帳!$F$2:$F$2000,K$4)</f>
        <v>0</v>
      </c>
      <c r="L116" s="46">
        <f>SUMIFS(台帳!$I$2:$I$2000,台帳!$A$2:$A$2000,$A116,台帳!$F$2:$F$2000,L$4)</f>
        <v>0</v>
      </c>
      <c r="M116" s="46">
        <f>SUMIFS(台帳!$I$2:$I$2000,台帳!$A$2:$A$2000,$A116,台帳!$F$2:$F$2000,M$4)</f>
        <v>0</v>
      </c>
      <c r="N116" s="46">
        <f>SUMIFS(台帳!$I$2:$I$2000,台帳!$A$2:$A$2000,$A116,台帳!$F$2:$F$2000,N$4)</f>
        <v>0</v>
      </c>
      <c r="O116" s="46">
        <f>SUMIFS(台帳!$I$2:$I$2000,台帳!$A$2:$A$2000,$A116,台帳!$F$2:$F$2000,O$4)</f>
        <v>0</v>
      </c>
      <c r="P116" s="46">
        <f>SUMIFS(台帳!$I$2:$I$2000,台帳!$A$2:$A$2000,$A116,台帳!$F$2:$F$2000,P$4)</f>
        <v>0</v>
      </c>
      <c r="Q116" s="46">
        <f>SUMIFS(台帳!$I$2:$I$2000,台帳!$A$2:$A$2000,$A116,台帳!$F$2:$F$2000,Q$4)</f>
        <v>0</v>
      </c>
      <c r="R116" s="46">
        <f>SUMIFS(台帳!$I$2:$I$2000,台帳!$A$2:$A$2000,$A116,台帳!$F$2:$F$2000,R$4)</f>
        <v>0</v>
      </c>
      <c r="S116" s="46">
        <f>SUMIFS(台帳!$I$2:$I$2000,台帳!$A$2:$A$2000,$A116,台帳!$F$2:$F$2000,S$4)</f>
        <v>0</v>
      </c>
      <c r="T116" s="46">
        <f>SUMIFS(台帳!$I$2:$I$2000,台帳!$A$2:$A$2000,$A116,台帳!$F$2:$F$2000,T$4)</f>
        <v>0</v>
      </c>
      <c r="U116" s="46">
        <f>SUMIFS(台帳!$I$2:$I$2000,台帳!$A$2:$A$2000,$A116,台帳!$F$2:$F$2000,U$4)</f>
        <v>0</v>
      </c>
      <c r="V116" s="46">
        <f>SUMIFS(台帳!$I$2:$I$2000,台帳!$A$2:$A$2000,$A116,台帳!$F$2:$F$2000,V$4)</f>
        <v>4</v>
      </c>
      <c r="W116" s="46">
        <f>SUMIFS(台帳!$I$2:$I$2000,台帳!$A$2:$A$2000,$A116,台帳!$F$2:$F$2000,W$4)</f>
        <v>0</v>
      </c>
      <c r="X116" s="46">
        <f>SUMIFS(台帳!$I$2:$I$2000,台帳!$A$2:$A$2000,$A116,台帳!$F$2:$F$2000,X$4)</f>
        <v>0</v>
      </c>
      <c r="Y116" s="46">
        <f>SUMIFS(台帳!$I$2:$I$2000,台帳!$A$2:$A$2000,$A116,台帳!$F$2:$F$2000,Y$4)</f>
        <v>0</v>
      </c>
      <c r="Z116" s="46">
        <f>SUMIFS(台帳!$I$2:$I$2000,台帳!$A$2:$A$2000,$A116,台帳!$F$2:$F$2000,Z$4)</f>
        <v>0</v>
      </c>
      <c r="AA116" s="46">
        <f>SUMIFS(台帳!$I$2:$I$2000,台帳!$A$2:$A$2000,$A116,台帳!$F$2:$F$2000,AA$4)</f>
        <v>0</v>
      </c>
      <c r="AB116" s="46">
        <f>SUMIFS(台帳!$I$2:$I$2000,台帳!$A$2:$A$2000,$A116,台帳!$F$2:$F$2000,AB$4)</f>
        <v>0</v>
      </c>
      <c r="AC116" s="46">
        <f>SUMIFS(台帳!$I$2:$I$2000,台帳!$A$2:$A$2000,$A116,台帳!$F$2:$F$2000,AC$4)</f>
        <v>0</v>
      </c>
      <c r="AD116" s="46">
        <f>SUMIFS(台帳!$I$2:$I$2000,台帳!$A$2:$A$2000,$A116,台帳!$F$2:$F$2000,AD$4)</f>
        <v>0</v>
      </c>
      <c r="AE116" s="46">
        <f>SUMIFS(台帳!$I$2:$I$2000,台帳!$A$2:$A$2000,$A116,台帳!$F$2:$F$2000,AE$4)</f>
        <v>0</v>
      </c>
      <c r="AF116" s="46">
        <f>SUMIFS(台帳!$I$2:$I$2000,台帳!$A$2:$A$2000,$A116,台帳!$F$2:$F$2000,AF$4)</f>
        <v>0</v>
      </c>
      <c r="AG116" s="46">
        <f>SUMIFS(台帳!$I$2:$I$2000,台帳!$A$2:$A$2000,$A116,台帳!$F$2:$F$2000,AG$4)</f>
        <v>0</v>
      </c>
      <c r="AH116" s="46">
        <f>SUMIFS(台帳!$I$2:$I$2000,台帳!$A$2:$A$2000,$A116,台帳!$F$2:$F$2000,AH$4)</f>
        <v>0</v>
      </c>
      <c r="AI116" s="46">
        <f>SUMIFS(台帳!$I$2:$I$2000,台帳!$A$2:$A$2000,$A116,台帳!$F$2:$F$2000,AI$4)</f>
        <v>0</v>
      </c>
      <c r="AJ116" s="46">
        <f>SUMIFS(台帳!$I$2:$I$2000,台帳!$A$2:$A$2000,$A116,台帳!$F$2:$F$2000,AJ$4)</f>
        <v>0</v>
      </c>
      <c r="AK116" s="46">
        <f>SUMIFS(台帳!$I$2:$I$2000,台帳!$A$2:$A$2000,$A116,台帳!$F$2:$F$2000,AK$4)</f>
        <v>0</v>
      </c>
      <c r="AL116" s="46">
        <f>SUMIFS(台帳!$I$2:$I$2000,台帳!$A$2:$A$2000,$A116,台帳!$F$2:$F$2000,AL$4)</f>
        <v>0</v>
      </c>
      <c r="AM116" s="46">
        <f>SUMIFS(台帳!$I$2:$I$2000,台帳!$A$2:$A$2000,$A116,台帳!$F$2:$F$2000,AM$4)</f>
        <v>0</v>
      </c>
      <c r="AN116" s="46">
        <f>SUMIFS(台帳!$I$2:$I$2000,台帳!$A$2:$A$2000,$A116,台帳!$F$2:$F$2000,AN$4)</f>
        <v>0</v>
      </c>
      <c r="AO116" s="46">
        <f>SUMIFS(台帳!$I$2:$I$2000,台帳!$A$2:$A$2000,$A116,台帳!$F$2:$F$2000,AO$4)</f>
        <v>0</v>
      </c>
      <c r="AP116" s="46">
        <f>SUMIFS(台帳!$I$2:$I$2000,台帳!$A$2:$A$2000,$A116,台帳!$F$2:$F$2000,AP$4)</f>
        <v>0</v>
      </c>
      <c r="AQ116" s="46">
        <f>SUMIFS(台帳!$I$2:$I$2000,台帳!$A$2:$A$2000,$A116,台帳!$F$2:$F$2000,AQ$4)</f>
        <v>0</v>
      </c>
      <c r="AR116" s="46">
        <f>SUM(C116:AQ116)</f>
        <v>4</v>
      </c>
    </row>
    <row r="117" spans="1:44" ht="17.25" x14ac:dyDescent="0.35">
      <c r="A117" s="44">
        <v>46244</v>
      </c>
      <c r="B117" s="45" t="str">
        <f>CHOOSE(WEEKDAY(A117),"日","月","火","水","木","金","土")</f>
        <v>月</v>
      </c>
      <c r="C117" s="46">
        <f>SUMIFS(台帳!$I$2:$I$2000,台帳!$A$2:$A$2000,$A117,台帳!$F$2:$F$2000,C$4)</f>
        <v>0</v>
      </c>
      <c r="D117" s="46">
        <f>SUMIFS(台帳!$I$2:$I$2000,台帳!$A$2:$A$2000,$A117,台帳!$F$2:$F$2000,D$4)</f>
        <v>0</v>
      </c>
      <c r="E117" s="46">
        <f>SUMIFS(台帳!$I$2:$I$2000,台帳!$A$2:$A$2000,$A117,台帳!$F$2:$F$2000,E$4)</f>
        <v>0</v>
      </c>
      <c r="F117" s="46">
        <f>SUMIFS(台帳!$I$2:$I$2000,台帳!$A$2:$A$2000,$A117,台帳!$F$2:$F$2000,F$4)</f>
        <v>0</v>
      </c>
      <c r="G117" s="46">
        <f>SUMIFS(台帳!$I$2:$I$2000,台帳!$A$2:$A$2000,$A117,台帳!$F$2:$F$2000,G$4)</f>
        <v>0</v>
      </c>
      <c r="H117" s="46">
        <f>SUMIFS(台帳!$I$2:$I$2000,台帳!$A$2:$A$2000,$A117,台帳!$F$2:$F$2000,H$4)</f>
        <v>0</v>
      </c>
      <c r="I117" s="46">
        <f>SUMIFS(台帳!$I$2:$I$2000,台帳!$A$2:$A$2000,$A117,台帳!$F$2:$F$2000,I$4)</f>
        <v>0</v>
      </c>
      <c r="J117" s="46">
        <f>SUMIFS(台帳!$I$2:$I$2000,台帳!$A$2:$A$2000,$A117,台帳!$F$2:$F$2000,J$4)</f>
        <v>0</v>
      </c>
      <c r="K117" s="46">
        <f>SUMIFS(台帳!$I$2:$I$2000,台帳!$A$2:$A$2000,$A117,台帳!$F$2:$F$2000,K$4)</f>
        <v>0</v>
      </c>
      <c r="L117" s="46">
        <f>SUMIFS(台帳!$I$2:$I$2000,台帳!$A$2:$A$2000,$A117,台帳!$F$2:$F$2000,L$4)</f>
        <v>0</v>
      </c>
      <c r="M117" s="46">
        <f>SUMIFS(台帳!$I$2:$I$2000,台帳!$A$2:$A$2000,$A117,台帳!$F$2:$F$2000,M$4)</f>
        <v>0</v>
      </c>
      <c r="N117" s="46">
        <f>SUMIFS(台帳!$I$2:$I$2000,台帳!$A$2:$A$2000,$A117,台帳!$F$2:$F$2000,N$4)</f>
        <v>0</v>
      </c>
      <c r="O117" s="46">
        <f>SUMIFS(台帳!$I$2:$I$2000,台帳!$A$2:$A$2000,$A117,台帳!$F$2:$F$2000,O$4)</f>
        <v>0</v>
      </c>
      <c r="P117" s="46">
        <f>SUMIFS(台帳!$I$2:$I$2000,台帳!$A$2:$A$2000,$A117,台帳!$F$2:$F$2000,P$4)</f>
        <v>0</v>
      </c>
      <c r="Q117" s="46">
        <f>SUMIFS(台帳!$I$2:$I$2000,台帳!$A$2:$A$2000,$A117,台帳!$F$2:$F$2000,Q$4)</f>
        <v>0</v>
      </c>
      <c r="R117" s="46">
        <f>SUMIFS(台帳!$I$2:$I$2000,台帳!$A$2:$A$2000,$A117,台帳!$F$2:$F$2000,R$4)</f>
        <v>0</v>
      </c>
      <c r="S117" s="46">
        <f>SUMIFS(台帳!$I$2:$I$2000,台帳!$A$2:$A$2000,$A117,台帳!$F$2:$F$2000,S$4)</f>
        <v>0</v>
      </c>
      <c r="T117" s="46">
        <f>SUMIFS(台帳!$I$2:$I$2000,台帳!$A$2:$A$2000,$A117,台帳!$F$2:$F$2000,T$4)</f>
        <v>0</v>
      </c>
      <c r="U117" s="46">
        <f>SUMIFS(台帳!$I$2:$I$2000,台帳!$A$2:$A$2000,$A117,台帳!$F$2:$F$2000,U$4)</f>
        <v>0</v>
      </c>
      <c r="V117" s="46">
        <f>SUMIFS(台帳!$I$2:$I$2000,台帳!$A$2:$A$2000,$A117,台帳!$F$2:$F$2000,V$4)</f>
        <v>3</v>
      </c>
      <c r="W117" s="46">
        <f>SUMIFS(台帳!$I$2:$I$2000,台帳!$A$2:$A$2000,$A117,台帳!$F$2:$F$2000,W$4)</f>
        <v>0</v>
      </c>
      <c r="X117" s="46">
        <f>SUMIFS(台帳!$I$2:$I$2000,台帳!$A$2:$A$2000,$A117,台帳!$F$2:$F$2000,X$4)</f>
        <v>0</v>
      </c>
      <c r="Y117" s="46">
        <f>SUMIFS(台帳!$I$2:$I$2000,台帳!$A$2:$A$2000,$A117,台帳!$F$2:$F$2000,Y$4)</f>
        <v>0</v>
      </c>
      <c r="Z117" s="46">
        <f>SUMIFS(台帳!$I$2:$I$2000,台帳!$A$2:$A$2000,$A117,台帳!$F$2:$F$2000,Z$4)</f>
        <v>0</v>
      </c>
      <c r="AA117" s="46">
        <f>SUMIFS(台帳!$I$2:$I$2000,台帳!$A$2:$A$2000,$A117,台帳!$F$2:$F$2000,AA$4)</f>
        <v>0</v>
      </c>
      <c r="AB117" s="46">
        <f>SUMIFS(台帳!$I$2:$I$2000,台帳!$A$2:$A$2000,$A117,台帳!$F$2:$F$2000,AB$4)</f>
        <v>0</v>
      </c>
      <c r="AC117" s="46">
        <f>SUMIFS(台帳!$I$2:$I$2000,台帳!$A$2:$A$2000,$A117,台帳!$F$2:$F$2000,AC$4)</f>
        <v>0</v>
      </c>
      <c r="AD117" s="46">
        <f>SUMIFS(台帳!$I$2:$I$2000,台帳!$A$2:$A$2000,$A117,台帳!$F$2:$F$2000,AD$4)</f>
        <v>0</v>
      </c>
      <c r="AE117" s="46">
        <f>SUMIFS(台帳!$I$2:$I$2000,台帳!$A$2:$A$2000,$A117,台帳!$F$2:$F$2000,AE$4)</f>
        <v>0</v>
      </c>
      <c r="AF117" s="46">
        <f>SUMIFS(台帳!$I$2:$I$2000,台帳!$A$2:$A$2000,$A117,台帳!$F$2:$F$2000,AF$4)</f>
        <v>0</v>
      </c>
      <c r="AG117" s="46">
        <f>SUMIFS(台帳!$I$2:$I$2000,台帳!$A$2:$A$2000,$A117,台帳!$F$2:$F$2000,AG$4)</f>
        <v>0</v>
      </c>
      <c r="AH117" s="46">
        <f>SUMIFS(台帳!$I$2:$I$2000,台帳!$A$2:$A$2000,$A117,台帳!$F$2:$F$2000,AH$4)</f>
        <v>0</v>
      </c>
      <c r="AI117" s="46">
        <f>SUMIFS(台帳!$I$2:$I$2000,台帳!$A$2:$A$2000,$A117,台帳!$F$2:$F$2000,AI$4)</f>
        <v>0</v>
      </c>
      <c r="AJ117" s="46">
        <f>SUMIFS(台帳!$I$2:$I$2000,台帳!$A$2:$A$2000,$A117,台帳!$F$2:$F$2000,AJ$4)</f>
        <v>0</v>
      </c>
      <c r="AK117" s="46">
        <f>SUMIFS(台帳!$I$2:$I$2000,台帳!$A$2:$A$2000,$A117,台帳!$F$2:$F$2000,AK$4)</f>
        <v>0</v>
      </c>
      <c r="AL117" s="46">
        <f>SUMIFS(台帳!$I$2:$I$2000,台帳!$A$2:$A$2000,$A117,台帳!$F$2:$F$2000,AL$4)</f>
        <v>0</v>
      </c>
      <c r="AM117" s="46">
        <f>SUMIFS(台帳!$I$2:$I$2000,台帳!$A$2:$A$2000,$A117,台帳!$F$2:$F$2000,AM$4)</f>
        <v>0</v>
      </c>
      <c r="AN117" s="46">
        <f>SUMIFS(台帳!$I$2:$I$2000,台帳!$A$2:$A$2000,$A117,台帳!$F$2:$F$2000,AN$4)</f>
        <v>0</v>
      </c>
      <c r="AO117" s="46">
        <f>SUMIFS(台帳!$I$2:$I$2000,台帳!$A$2:$A$2000,$A117,台帳!$F$2:$F$2000,AO$4)</f>
        <v>0</v>
      </c>
      <c r="AP117" s="46">
        <f>SUMIFS(台帳!$I$2:$I$2000,台帳!$A$2:$A$2000,$A117,台帳!$F$2:$F$2000,AP$4)</f>
        <v>0</v>
      </c>
      <c r="AQ117" s="46">
        <f>SUMIFS(台帳!$I$2:$I$2000,台帳!$A$2:$A$2000,$A117,台帳!$F$2:$F$2000,AQ$4)</f>
        <v>0</v>
      </c>
      <c r="AR117" s="46">
        <f>SUM(C117:AQ117)</f>
        <v>3</v>
      </c>
    </row>
    <row r="118" spans="1:44" ht="17.25" x14ac:dyDescent="0.35">
      <c r="A118" s="44">
        <v>46245</v>
      </c>
      <c r="B118" s="45" t="str">
        <f>CHOOSE(WEEKDAY(A118),"日","月","火","水","木","金","土")</f>
        <v>火</v>
      </c>
      <c r="C118" s="46">
        <f>SUMIFS(台帳!$I$2:$I$2000,台帳!$A$2:$A$2000,$A118,台帳!$F$2:$F$2000,C$4)</f>
        <v>0</v>
      </c>
      <c r="D118" s="46">
        <f>SUMIFS(台帳!$I$2:$I$2000,台帳!$A$2:$A$2000,$A118,台帳!$F$2:$F$2000,D$4)</f>
        <v>0</v>
      </c>
      <c r="E118" s="46">
        <f>SUMIFS(台帳!$I$2:$I$2000,台帳!$A$2:$A$2000,$A118,台帳!$F$2:$F$2000,E$4)</f>
        <v>0</v>
      </c>
      <c r="F118" s="46">
        <f>SUMIFS(台帳!$I$2:$I$2000,台帳!$A$2:$A$2000,$A118,台帳!$F$2:$F$2000,F$4)</f>
        <v>0</v>
      </c>
      <c r="G118" s="46">
        <f>SUMIFS(台帳!$I$2:$I$2000,台帳!$A$2:$A$2000,$A118,台帳!$F$2:$F$2000,G$4)</f>
        <v>0</v>
      </c>
      <c r="H118" s="46">
        <f>SUMIFS(台帳!$I$2:$I$2000,台帳!$A$2:$A$2000,$A118,台帳!$F$2:$F$2000,H$4)</f>
        <v>0</v>
      </c>
      <c r="I118" s="46">
        <f>SUMIFS(台帳!$I$2:$I$2000,台帳!$A$2:$A$2000,$A118,台帳!$F$2:$F$2000,I$4)</f>
        <v>0</v>
      </c>
      <c r="J118" s="46">
        <f>SUMIFS(台帳!$I$2:$I$2000,台帳!$A$2:$A$2000,$A118,台帳!$F$2:$F$2000,J$4)</f>
        <v>0</v>
      </c>
      <c r="K118" s="46">
        <f>SUMIFS(台帳!$I$2:$I$2000,台帳!$A$2:$A$2000,$A118,台帳!$F$2:$F$2000,K$4)</f>
        <v>0</v>
      </c>
      <c r="L118" s="46">
        <f>SUMIFS(台帳!$I$2:$I$2000,台帳!$A$2:$A$2000,$A118,台帳!$F$2:$F$2000,L$4)</f>
        <v>0</v>
      </c>
      <c r="M118" s="46">
        <f>SUMIFS(台帳!$I$2:$I$2000,台帳!$A$2:$A$2000,$A118,台帳!$F$2:$F$2000,M$4)</f>
        <v>0</v>
      </c>
      <c r="N118" s="46">
        <f>SUMIFS(台帳!$I$2:$I$2000,台帳!$A$2:$A$2000,$A118,台帳!$F$2:$F$2000,N$4)</f>
        <v>0</v>
      </c>
      <c r="O118" s="46">
        <f>SUMIFS(台帳!$I$2:$I$2000,台帳!$A$2:$A$2000,$A118,台帳!$F$2:$F$2000,O$4)</f>
        <v>0</v>
      </c>
      <c r="P118" s="46">
        <f>SUMIFS(台帳!$I$2:$I$2000,台帳!$A$2:$A$2000,$A118,台帳!$F$2:$F$2000,P$4)</f>
        <v>0</v>
      </c>
      <c r="Q118" s="46">
        <f>SUMIFS(台帳!$I$2:$I$2000,台帳!$A$2:$A$2000,$A118,台帳!$F$2:$F$2000,Q$4)</f>
        <v>0</v>
      </c>
      <c r="R118" s="46">
        <f>SUMIFS(台帳!$I$2:$I$2000,台帳!$A$2:$A$2000,$A118,台帳!$F$2:$F$2000,R$4)</f>
        <v>0</v>
      </c>
      <c r="S118" s="46">
        <f>SUMIFS(台帳!$I$2:$I$2000,台帳!$A$2:$A$2000,$A118,台帳!$F$2:$F$2000,S$4)</f>
        <v>0</v>
      </c>
      <c r="T118" s="46">
        <f>SUMIFS(台帳!$I$2:$I$2000,台帳!$A$2:$A$2000,$A118,台帳!$F$2:$F$2000,T$4)</f>
        <v>0</v>
      </c>
      <c r="U118" s="46">
        <f>SUMIFS(台帳!$I$2:$I$2000,台帳!$A$2:$A$2000,$A118,台帳!$F$2:$F$2000,U$4)</f>
        <v>0</v>
      </c>
      <c r="V118" s="46">
        <f>SUMIFS(台帳!$I$2:$I$2000,台帳!$A$2:$A$2000,$A118,台帳!$F$2:$F$2000,V$4)</f>
        <v>4</v>
      </c>
      <c r="W118" s="46">
        <f>SUMIFS(台帳!$I$2:$I$2000,台帳!$A$2:$A$2000,$A118,台帳!$F$2:$F$2000,W$4)</f>
        <v>0</v>
      </c>
      <c r="X118" s="46">
        <f>SUMIFS(台帳!$I$2:$I$2000,台帳!$A$2:$A$2000,$A118,台帳!$F$2:$F$2000,X$4)</f>
        <v>0</v>
      </c>
      <c r="Y118" s="46">
        <f>SUMIFS(台帳!$I$2:$I$2000,台帳!$A$2:$A$2000,$A118,台帳!$F$2:$F$2000,Y$4)</f>
        <v>0</v>
      </c>
      <c r="Z118" s="46">
        <f>SUMIFS(台帳!$I$2:$I$2000,台帳!$A$2:$A$2000,$A118,台帳!$F$2:$F$2000,Z$4)</f>
        <v>0</v>
      </c>
      <c r="AA118" s="46">
        <f>SUMIFS(台帳!$I$2:$I$2000,台帳!$A$2:$A$2000,$A118,台帳!$F$2:$F$2000,AA$4)</f>
        <v>0</v>
      </c>
      <c r="AB118" s="46">
        <f>SUMIFS(台帳!$I$2:$I$2000,台帳!$A$2:$A$2000,$A118,台帳!$F$2:$F$2000,AB$4)</f>
        <v>0</v>
      </c>
      <c r="AC118" s="46">
        <f>SUMIFS(台帳!$I$2:$I$2000,台帳!$A$2:$A$2000,$A118,台帳!$F$2:$F$2000,AC$4)</f>
        <v>0</v>
      </c>
      <c r="AD118" s="46">
        <f>SUMIFS(台帳!$I$2:$I$2000,台帳!$A$2:$A$2000,$A118,台帳!$F$2:$F$2000,AD$4)</f>
        <v>0</v>
      </c>
      <c r="AE118" s="46">
        <f>SUMIFS(台帳!$I$2:$I$2000,台帳!$A$2:$A$2000,$A118,台帳!$F$2:$F$2000,AE$4)</f>
        <v>0</v>
      </c>
      <c r="AF118" s="46">
        <f>SUMIFS(台帳!$I$2:$I$2000,台帳!$A$2:$A$2000,$A118,台帳!$F$2:$F$2000,AF$4)</f>
        <v>0</v>
      </c>
      <c r="AG118" s="46">
        <f>SUMIFS(台帳!$I$2:$I$2000,台帳!$A$2:$A$2000,$A118,台帳!$F$2:$F$2000,AG$4)</f>
        <v>0</v>
      </c>
      <c r="AH118" s="46">
        <f>SUMIFS(台帳!$I$2:$I$2000,台帳!$A$2:$A$2000,$A118,台帳!$F$2:$F$2000,AH$4)</f>
        <v>0</v>
      </c>
      <c r="AI118" s="46">
        <f>SUMIFS(台帳!$I$2:$I$2000,台帳!$A$2:$A$2000,$A118,台帳!$F$2:$F$2000,AI$4)</f>
        <v>0</v>
      </c>
      <c r="AJ118" s="46">
        <f>SUMIFS(台帳!$I$2:$I$2000,台帳!$A$2:$A$2000,$A118,台帳!$F$2:$F$2000,AJ$4)</f>
        <v>0</v>
      </c>
      <c r="AK118" s="46">
        <f>SUMIFS(台帳!$I$2:$I$2000,台帳!$A$2:$A$2000,$A118,台帳!$F$2:$F$2000,AK$4)</f>
        <v>0</v>
      </c>
      <c r="AL118" s="46">
        <f>SUMIFS(台帳!$I$2:$I$2000,台帳!$A$2:$A$2000,$A118,台帳!$F$2:$F$2000,AL$4)</f>
        <v>0</v>
      </c>
      <c r="AM118" s="46">
        <f>SUMIFS(台帳!$I$2:$I$2000,台帳!$A$2:$A$2000,$A118,台帳!$F$2:$F$2000,AM$4)</f>
        <v>0</v>
      </c>
      <c r="AN118" s="46">
        <f>SUMIFS(台帳!$I$2:$I$2000,台帳!$A$2:$A$2000,$A118,台帳!$F$2:$F$2000,AN$4)</f>
        <v>0</v>
      </c>
      <c r="AO118" s="46">
        <f>SUMIFS(台帳!$I$2:$I$2000,台帳!$A$2:$A$2000,$A118,台帳!$F$2:$F$2000,AO$4)</f>
        <v>0</v>
      </c>
      <c r="AP118" s="46">
        <f>SUMIFS(台帳!$I$2:$I$2000,台帳!$A$2:$A$2000,$A118,台帳!$F$2:$F$2000,AP$4)</f>
        <v>0</v>
      </c>
      <c r="AQ118" s="46">
        <f>SUMIFS(台帳!$I$2:$I$2000,台帳!$A$2:$A$2000,$A118,台帳!$F$2:$F$2000,AQ$4)</f>
        <v>0</v>
      </c>
      <c r="AR118" s="46">
        <f>SUM(C118:AQ118)</f>
        <v>4</v>
      </c>
    </row>
    <row r="119" spans="1:44" ht="17.25" x14ac:dyDescent="0.35">
      <c r="A119" s="44">
        <v>46246</v>
      </c>
      <c r="B119" s="45" t="str">
        <f>CHOOSE(WEEKDAY(A119),"日","月","火","水","木","金","土")</f>
        <v>水</v>
      </c>
      <c r="C119" s="46">
        <f>SUMIFS(台帳!$I$2:$I$2000,台帳!$A$2:$A$2000,$A119,台帳!$F$2:$F$2000,C$4)</f>
        <v>0</v>
      </c>
      <c r="D119" s="46">
        <f>SUMIFS(台帳!$I$2:$I$2000,台帳!$A$2:$A$2000,$A119,台帳!$F$2:$F$2000,D$4)</f>
        <v>0</v>
      </c>
      <c r="E119" s="46">
        <f>SUMIFS(台帳!$I$2:$I$2000,台帳!$A$2:$A$2000,$A119,台帳!$F$2:$F$2000,E$4)</f>
        <v>0</v>
      </c>
      <c r="F119" s="46">
        <f>SUMIFS(台帳!$I$2:$I$2000,台帳!$A$2:$A$2000,$A119,台帳!$F$2:$F$2000,F$4)</f>
        <v>0</v>
      </c>
      <c r="G119" s="46">
        <f>SUMIFS(台帳!$I$2:$I$2000,台帳!$A$2:$A$2000,$A119,台帳!$F$2:$F$2000,G$4)</f>
        <v>0</v>
      </c>
      <c r="H119" s="46">
        <f>SUMIFS(台帳!$I$2:$I$2000,台帳!$A$2:$A$2000,$A119,台帳!$F$2:$F$2000,H$4)</f>
        <v>0</v>
      </c>
      <c r="I119" s="46">
        <f>SUMIFS(台帳!$I$2:$I$2000,台帳!$A$2:$A$2000,$A119,台帳!$F$2:$F$2000,I$4)</f>
        <v>0</v>
      </c>
      <c r="J119" s="46">
        <f>SUMIFS(台帳!$I$2:$I$2000,台帳!$A$2:$A$2000,$A119,台帳!$F$2:$F$2000,J$4)</f>
        <v>0</v>
      </c>
      <c r="K119" s="46">
        <f>SUMIFS(台帳!$I$2:$I$2000,台帳!$A$2:$A$2000,$A119,台帳!$F$2:$F$2000,K$4)</f>
        <v>0</v>
      </c>
      <c r="L119" s="46">
        <f>SUMIFS(台帳!$I$2:$I$2000,台帳!$A$2:$A$2000,$A119,台帳!$F$2:$F$2000,L$4)</f>
        <v>0</v>
      </c>
      <c r="M119" s="46">
        <f>SUMIFS(台帳!$I$2:$I$2000,台帳!$A$2:$A$2000,$A119,台帳!$F$2:$F$2000,M$4)</f>
        <v>0</v>
      </c>
      <c r="N119" s="46">
        <f>SUMIFS(台帳!$I$2:$I$2000,台帳!$A$2:$A$2000,$A119,台帳!$F$2:$F$2000,N$4)</f>
        <v>0</v>
      </c>
      <c r="O119" s="46">
        <f>SUMIFS(台帳!$I$2:$I$2000,台帳!$A$2:$A$2000,$A119,台帳!$F$2:$F$2000,O$4)</f>
        <v>0</v>
      </c>
      <c r="P119" s="46">
        <f>SUMIFS(台帳!$I$2:$I$2000,台帳!$A$2:$A$2000,$A119,台帳!$F$2:$F$2000,P$4)</f>
        <v>0</v>
      </c>
      <c r="Q119" s="46">
        <f>SUMIFS(台帳!$I$2:$I$2000,台帳!$A$2:$A$2000,$A119,台帳!$F$2:$F$2000,Q$4)</f>
        <v>0</v>
      </c>
      <c r="R119" s="46">
        <f>SUMIFS(台帳!$I$2:$I$2000,台帳!$A$2:$A$2000,$A119,台帳!$F$2:$F$2000,R$4)</f>
        <v>0</v>
      </c>
      <c r="S119" s="46">
        <f>SUMIFS(台帳!$I$2:$I$2000,台帳!$A$2:$A$2000,$A119,台帳!$F$2:$F$2000,S$4)</f>
        <v>0</v>
      </c>
      <c r="T119" s="46">
        <f>SUMIFS(台帳!$I$2:$I$2000,台帳!$A$2:$A$2000,$A119,台帳!$F$2:$F$2000,T$4)</f>
        <v>0</v>
      </c>
      <c r="U119" s="46">
        <f>SUMIFS(台帳!$I$2:$I$2000,台帳!$A$2:$A$2000,$A119,台帳!$F$2:$F$2000,U$4)</f>
        <v>0</v>
      </c>
      <c r="V119" s="46">
        <f>SUMIFS(台帳!$I$2:$I$2000,台帳!$A$2:$A$2000,$A119,台帳!$F$2:$F$2000,V$4)</f>
        <v>3</v>
      </c>
      <c r="W119" s="46">
        <f>SUMIFS(台帳!$I$2:$I$2000,台帳!$A$2:$A$2000,$A119,台帳!$F$2:$F$2000,W$4)</f>
        <v>0</v>
      </c>
      <c r="X119" s="46">
        <f>SUMIFS(台帳!$I$2:$I$2000,台帳!$A$2:$A$2000,$A119,台帳!$F$2:$F$2000,X$4)</f>
        <v>0</v>
      </c>
      <c r="Y119" s="46">
        <f>SUMIFS(台帳!$I$2:$I$2000,台帳!$A$2:$A$2000,$A119,台帳!$F$2:$F$2000,Y$4)</f>
        <v>2</v>
      </c>
      <c r="Z119" s="46">
        <f>SUMIFS(台帳!$I$2:$I$2000,台帳!$A$2:$A$2000,$A119,台帳!$F$2:$F$2000,Z$4)</f>
        <v>0</v>
      </c>
      <c r="AA119" s="46">
        <f>SUMIFS(台帳!$I$2:$I$2000,台帳!$A$2:$A$2000,$A119,台帳!$F$2:$F$2000,AA$4)</f>
        <v>0</v>
      </c>
      <c r="AB119" s="46">
        <f>SUMIFS(台帳!$I$2:$I$2000,台帳!$A$2:$A$2000,$A119,台帳!$F$2:$F$2000,AB$4)</f>
        <v>0</v>
      </c>
      <c r="AC119" s="46">
        <f>SUMIFS(台帳!$I$2:$I$2000,台帳!$A$2:$A$2000,$A119,台帳!$F$2:$F$2000,AC$4)</f>
        <v>0</v>
      </c>
      <c r="AD119" s="46">
        <f>SUMIFS(台帳!$I$2:$I$2000,台帳!$A$2:$A$2000,$A119,台帳!$F$2:$F$2000,AD$4)</f>
        <v>0</v>
      </c>
      <c r="AE119" s="46">
        <f>SUMIFS(台帳!$I$2:$I$2000,台帳!$A$2:$A$2000,$A119,台帳!$F$2:$F$2000,AE$4)</f>
        <v>0</v>
      </c>
      <c r="AF119" s="46">
        <f>SUMIFS(台帳!$I$2:$I$2000,台帳!$A$2:$A$2000,$A119,台帳!$F$2:$F$2000,AF$4)</f>
        <v>0</v>
      </c>
      <c r="AG119" s="46">
        <f>SUMIFS(台帳!$I$2:$I$2000,台帳!$A$2:$A$2000,$A119,台帳!$F$2:$F$2000,AG$4)</f>
        <v>2</v>
      </c>
      <c r="AH119" s="46">
        <f>SUMIFS(台帳!$I$2:$I$2000,台帳!$A$2:$A$2000,$A119,台帳!$F$2:$F$2000,AH$4)</f>
        <v>0</v>
      </c>
      <c r="AI119" s="46">
        <f>SUMIFS(台帳!$I$2:$I$2000,台帳!$A$2:$A$2000,$A119,台帳!$F$2:$F$2000,AI$4)</f>
        <v>0</v>
      </c>
      <c r="AJ119" s="46">
        <f>SUMIFS(台帳!$I$2:$I$2000,台帳!$A$2:$A$2000,$A119,台帳!$F$2:$F$2000,AJ$4)</f>
        <v>0</v>
      </c>
      <c r="AK119" s="46">
        <f>SUMIFS(台帳!$I$2:$I$2000,台帳!$A$2:$A$2000,$A119,台帳!$F$2:$F$2000,AK$4)</f>
        <v>0</v>
      </c>
      <c r="AL119" s="46">
        <f>SUMIFS(台帳!$I$2:$I$2000,台帳!$A$2:$A$2000,$A119,台帳!$F$2:$F$2000,AL$4)</f>
        <v>0</v>
      </c>
      <c r="AM119" s="46">
        <f>SUMIFS(台帳!$I$2:$I$2000,台帳!$A$2:$A$2000,$A119,台帳!$F$2:$F$2000,AM$4)</f>
        <v>0</v>
      </c>
      <c r="AN119" s="46">
        <f>SUMIFS(台帳!$I$2:$I$2000,台帳!$A$2:$A$2000,$A119,台帳!$F$2:$F$2000,AN$4)</f>
        <v>0</v>
      </c>
      <c r="AO119" s="46">
        <f>SUMIFS(台帳!$I$2:$I$2000,台帳!$A$2:$A$2000,$A119,台帳!$F$2:$F$2000,AO$4)</f>
        <v>0</v>
      </c>
      <c r="AP119" s="46">
        <f>SUMIFS(台帳!$I$2:$I$2000,台帳!$A$2:$A$2000,$A119,台帳!$F$2:$F$2000,AP$4)</f>
        <v>0</v>
      </c>
      <c r="AQ119" s="46">
        <f>SUMIFS(台帳!$I$2:$I$2000,台帳!$A$2:$A$2000,$A119,台帳!$F$2:$F$2000,AQ$4)</f>
        <v>0</v>
      </c>
      <c r="AR119" s="46">
        <f>SUM(C119:AQ119)</f>
        <v>7</v>
      </c>
    </row>
    <row r="120" spans="1:44" ht="17.25" x14ac:dyDescent="0.35">
      <c r="A120" s="44">
        <v>46247</v>
      </c>
      <c r="B120" s="45" t="str">
        <f>CHOOSE(WEEKDAY(A120),"日","月","火","水","木","金","土")</f>
        <v>木</v>
      </c>
      <c r="C120" s="46">
        <f>SUMIFS(台帳!$I$2:$I$2000,台帳!$A$2:$A$2000,$A120,台帳!$F$2:$F$2000,C$4)</f>
        <v>0</v>
      </c>
      <c r="D120" s="46">
        <f>SUMIFS(台帳!$I$2:$I$2000,台帳!$A$2:$A$2000,$A120,台帳!$F$2:$F$2000,D$4)</f>
        <v>0</v>
      </c>
      <c r="E120" s="46">
        <f>SUMIFS(台帳!$I$2:$I$2000,台帳!$A$2:$A$2000,$A120,台帳!$F$2:$F$2000,E$4)</f>
        <v>0</v>
      </c>
      <c r="F120" s="46">
        <f>SUMIFS(台帳!$I$2:$I$2000,台帳!$A$2:$A$2000,$A120,台帳!$F$2:$F$2000,F$4)</f>
        <v>0</v>
      </c>
      <c r="G120" s="46">
        <f>SUMIFS(台帳!$I$2:$I$2000,台帳!$A$2:$A$2000,$A120,台帳!$F$2:$F$2000,G$4)</f>
        <v>0</v>
      </c>
      <c r="H120" s="46">
        <f>SUMIFS(台帳!$I$2:$I$2000,台帳!$A$2:$A$2000,$A120,台帳!$F$2:$F$2000,H$4)</f>
        <v>0</v>
      </c>
      <c r="I120" s="46">
        <f>SUMIFS(台帳!$I$2:$I$2000,台帳!$A$2:$A$2000,$A120,台帳!$F$2:$F$2000,I$4)</f>
        <v>0</v>
      </c>
      <c r="J120" s="46">
        <f>SUMIFS(台帳!$I$2:$I$2000,台帳!$A$2:$A$2000,$A120,台帳!$F$2:$F$2000,J$4)</f>
        <v>0</v>
      </c>
      <c r="K120" s="46">
        <f>SUMIFS(台帳!$I$2:$I$2000,台帳!$A$2:$A$2000,$A120,台帳!$F$2:$F$2000,K$4)</f>
        <v>0</v>
      </c>
      <c r="L120" s="46">
        <f>SUMIFS(台帳!$I$2:$I$2000,台帳!$A$2:$A$2000,$A120,台帳!$F$2:$F$2000,L$4)</f>
        <v>0</v>
      </c>
      <c r="M120" s="46">
        <f>SUMIFS(台帳!$I$2:$I$2000,台帳!$A$2:$A$2000,$A120,台帳!$F$2:$F$2000,M$4)</f>
        <v>0</v>
      </c>
      <c r="N120" s="46">
        <f>SUMIFS(台帳!$I$2:$I$2000,台帳!$A$2:$A$2000,$A120,台帳!$F$2:$F$2000,N$4)</f>
        <v>0</v>
      </c>
      <c r="O120" s="46">
        <f>SUMIFS(台帳!$I$2:$I$2000,台帳!$A$2:$A$2000,$A120,台帳!$F$2:$F$2000,O$4)</f>
        <v>0</v>
      </c>
      <c r="P120" s="46">
        <f>SUMIFS(台帳!$I$2:$I$2000,台帳!$A$2:$A$2000,$A120,台帳!$F$2:$F$2000,P$4)</f>
        <v>0</v>
      </c>
      <c r="Q120" s="46">
        <f>SUMIFS(台帳!$I$2:$I$2000,台帳!$A$2:$A$2000,$A120,台帳!$F$2:$F$2000,Q$4)</f>
        <v>0</v>
      </c>
      <c r="R120" s="46">
        <f>SUMIFS(台帳!$I$2:$I$2000,台帳!$A$2:$A$2000,$A120,台帳!$F$2:$F$2000,R$4)</f>
        <v>0</v>
      </c>
      <c r="S120" s="46">
        <f>SUMIFS(台帳!$I$2:$I$2000,台帳!$A$2:$A$2000,$A120,台帳!$F$2:$F$2000,S$4)</f>
        <v>0</v>
      </c>
      <c r="T120" s="46">
        <f>SUMIFS(台帳!$I$2:$I$2000,台帳!$A$2:$A$2000,$A120,台帳!$F$2:$F$2000,T$4)</f>
        <v>0</v>
      </c>
      <c r="U120" s="46">
        <f>SUMIFS(台帳!$I$2:$I$2000,台帳!$A$2:$A$2000,$A120,台帳!$F$2:$F$2000,U$4)</f>
        <v>0</v>
      </c>
      <c r="V120" s="46">
        <f>SUMIFS(台帳!$I$2:$I$2000,台帳!$A$2:$A$2000,$A120,台帳!$F$2:$F$2000,V$4)</f>
        <v>3</v>
      </c>
      <c r="W120" s="46">
        <f>SUMIFS(台帳!$I$2:$I$2000,台帳!$A$2:$A$2000,$A120,台帳!$F$2:$F$2000,W$4)</f>
        <v>0</v>
      </c>
      <c r="X120" s="46">
        <f>SUMIFS(台帳!$I$2:$I$2000,台帳!$A$2:$A$2000,$A120,台帳!$F$2:$F$2000,X$4)</f>
        <v>0</v>
      </c>
      <c r="Y120" s="46">
        <f>SUMIFS(台帳!$I$2:$I$2000,台帳!$A$2:$A$2000,$A120,台帳!$F$2:$F$2000,Y$4)</f>
        <v>2</v>
      </c>
      <c r="Z120" s="46">
        <f>SUMIFS(台帳!$I$2:$I$2000,台帳!$A$2:$A$2000,$A120,台帳!$F$2:$F$2000,Z$4)</f>
        <v>0</v>
      </c>
      <c r="AA120" s="46">
        <f>SUMIFS(台帳!$I$2:$I$2000,台帳!$A$2:$A$2000,$A120,台帳!$F$2:$F$2000,AA$4)</f>
        <v>0</v>
      </c>
      <c r="AB120" s="46">
        <f>SUMIFS(台帳!$I$2:$I$2000,台帳!$A$2:$A$2000,$A120,台帳!$F$2:$F$2000,AB$4)</f>
        <v>0</v>
      </c>
      <c r="AC120" s="46">
        <f>SUMIFS(台帳!$I$2:$I$2000,台帳!$A$2:$A$2000,$A120,台帳!$F$2:$F$2000,AC$4)</f>
        <v>0</v>
      </c>
      <c r="AD120" s="46">
        <f>SUMIFS(台帳!$I$2:$I$2000,台帳!$A$2:$A$2000,$A120,台帳!$F$2:$F$2000,AD$4)</f>
        <v>0</v>
      </c>
      <c r="AE120" s="46">
        <f>SUMIFS(台帳!$I$2:$I$2000,台帳!$A$2:$A$2000,$A120,台帳!$F$2:$F$2000,AE$4)</f>
        <v>0</v>
      </c>
      <c r="AF120" s="46">
        <f>SUMIFS(台帳!$I$2:$I$2000,台帳!$A$2:$A$2000,$A120,台帳!$F$2:$F$2000,AF$4)</f>
        <v>0</v>
      </c>
      <c r="AG120" s="46">
        <f>SUMIFS(台帳!$I$2:$I$2000,台帳!$A$2:$A$2000,$A120,台帳!$F$2:$F$2000,AG$4)</f>
        <v>0</v>
      </c>
      <c r="AH120" s="46">
        <f>SUMIFS(台帳!$I$2:$I$2000,台帳!$A$2:$A$2000,$A120,台帳!$F$2:$F$2000,AH$4)</f>
        <v>0</v>
      </c>
      <c r="AI120" s="46">
        <f>SUMIFS(台帳!$I$2:$I$2000,台帳!$A$2:$A$2000,$A120,台帳!$F$2:$F$2000,AI$4)</f>
        <v>0</v>
      </c>
      <c r="AJ120" s="46">
        <f>SUMIFS(台帳!$I$2:$I$2000,台帳!$A$2:$A$2000,$A120,台帳!$F$2:$F$2000,AJ$4)</f>
        <v>0</v>
      </c>
      <c r="AK120" s="46">
        <f>SUMIFS(台帳!$I$2:$I$2000,台帳!$A$2:$A$2000,$A120,台帳!$F$2:$F$2000,AK$4)</f>
        <v>0</v>
      </c>
      <c r="AL120" s="46">
        <f>SUMIFS(台帳!$I$2:$I$2000,台帳!$A$2:$A$2000,$A120,台帳!$F$2:$F$2000,AL$4)</f>
        <v>0</v>
      </c>
      <c r="AM120" s="46">
        <f>SUMIFS(台帳!$I$2:$I$2000,台帳!$A$2:$A$2000,$A120,台帳!$F$2:$F$2000,AM$4)</f>
        <v>0</v>
      </c>
      <c r="AN120" s="46">
        <f>SUMIFS(台帳!$I$2:$I$2000,台帳!$A$2:$A$2000,$A120,台帳!$F$2:$F$2000,AN$4)</f>
        <v>0</v>
      </c>
      <c r="AO120" s="46">
        <f>SUMIFS(台帳!$I$2:$I$2000,台帳!$A$2:$A$2000,$A120,台帳!$F$2:$F$2000,AO$4)</f>
        <v>0</v>
      </c>
      <c r="AP120" s="46">
        <f>SUMIFS(台帳!$I$2:$I$2000,台帳!$A$2:$A$2000,$A120,台帳!$F$2:$F$2000,AP$4)</f>
        <v>0</v>
      </c>
      <c r="AQ120" s="46">
        <f>SUMIFS(台帳!$I$2:$I$2000,台帳!$A$2:$A$2000,$A120,台帳!$F$2:$F$2000,AQ$4)</f>
        <v>0</v>
      </c>
      <c r="AR120" s="46">
        <f>SUM(C120:AQ120)</f>
        <v>5</v>
      </c>
    </row>
    <row r="121" spans="1:44" ht="17.25" x14ac:dyDescent="0.35">
      <c r="A121" s="44">
        <v>46248</v>
      </c>
      <c r="B121" s="45" t="str">
        <f>CHOOSE(WEEKDAY(A121),"日","月","火","水","木","金","土")</f>
        <v>金</v>
      </c>
      <c r="C121" s="46">
        <f>SUMIFS(台帳!$I$2:$I$2000,台帳!$A$2:$A$2000,$A121,台帳!$F$2:$F$2000,C$4)</f>
        <v>0</v>
      </c>
      <c r="D121" s="46">
        <f>SUMIFS(台帳!$I$2:$I$2000,台帳!$A$2:$A$2000,$A121,台帳!$F$2:$F$2000,D$4)</f>
        <v>0</v>
      </c>
      <c r="E121" s="46">
        <f>SUMIFS(台帳!$I$2:$I$2000,台帳!$A$2:$A$2000,$A121,台帳!$F$2:$F$2000,E$4)</f>
        <v>0</v>
      </c>
      <c r="F121" s="46">
        <f>SUMIFS(台帳!$I$2:$I$2000,台帳!$A$2:$A$2000,$A121,台帳!$F$2:$F$2000,F$4)</f>
        <v>0</v>
      </c>
      <c r="G121" s="46">
        <f>SUMIFS(台帳!$I$2:$I$2000,台帳!$A$2:$A$2000,$A121,台帳!$F$2:$F$2000,G$4)</f>
        <v>0</v>
      </c>
      <c r="H121" s="46">
        <f>SUMIFS(台帳!$I$2:$I$2000,台帳!$A$2:$A$2000,$A121,台帳!$F$2:$F$2000,H$4)</f>
        <v>0</v>
      </c>
      <c r="I121" s="46">
        <f>SUMIFS(台帳!$I$2:$I$2000,台帳!$A$2:$A$2000,$A121,台帳!$F$2:$F$2000,I$4)</f>
        <v>0</v>
      </c>
      <c r="J121" s="46">
        <f>SUMIFS(台帳!$I$2:$I$2000,台帳!$A$2:$A$2000,$A121,台帳!$F$2:$F$2000,J$4)</f>
        <v>0</v>
      </c>
      <c r="K121" s="46">
        <f>SUMIFS(台帳!$I$2:$I$2000,台帳!$A$2:$A$2000,$A121,台帳!$F$2:$F$2000,K$4)</f>
        <v>0</v>
      </c>
      <c r="L121" s="46">
        <f>SUMIFS(台帳!$I$2:$I$2000,台帳!$A$2:$A$2000,$A121,台帳!$F$2:$F$2000,L$4)</f>
        <v>0</v>
      </c>
      <c r="M121" s="46">
        <f>SUMIFS(台帳!$I$2:$I$2000,台帳!$A$2:$A$2000,$A121,台帳!$F$2:$F$2000,M$4)</f>
        <v>0</v>
      </c>
      <c r="N121" s="46">
        <f>SUMIFS(台帳!$I$2:$I$2000,台帳!$A$2:$A$2000,$A121,台帳!$F$2:$F$2000,N$4)</f>
        <v>0</v>
      </c>
      <c r="O121" s="46">
        <f>SUMIFS(台帳!$I$2:$I$2000,台帳!$A$2:$A$2000,$A121,台帳!$F$2:$F$2000,O$4)</f>
        <v>0</v>
      </c>
      <c r="P121" s="46">
        <f>SUMIFS(台帳!$I$2:$I$2000,台帳!$A$2:$A$2000,$A121,台帳!$F$2:$F$2000,P$4)</f>
        <v>0</v>
      </c>
      <c r="Q121" s="46">
        <f>SUMIFS(台帳!$I$2:$I$2000,台帳!$A$2:$A$2000,$A121,台帳!$F$2:$F$2000,Q$4)</f>
        <v>0</v>
      </c>
      <c r="R121" s="46">
        <f>SUMIFS(台帳!$I$2:$I$2000,台帳!$A$2:$A$2000,$A121,台帳!$F$2:$F$2000,R$4)</f>
        <v>0</v>
      </c>
      <c r="S121" s="46">
        <f>SUMIFS(台帳!$I$2:$I$2000,台帳!$A$2:$A$2000,$A121,台帳!$F$2:$F$2000,S$4)</f>
        <v>0</v>
      </c>
      <c r="T121" s="46">
        <f>SUMIFS(台帳!$I$2:$I$2000,台帳!$A$2:$A$2000,$A121,台帳!$F$2:$F$2000,T$4)</f>
        <v>0</v>
      </c>
      <c r="U121" s="46">
        <f>SUMIFS(台帳!$I$2:$I$2000,台帳!$A$2:$A$2000,$A121,台帳!$F$2:$F$2000,U$4)</f>
        <v>0</v>
      </c>
      <c r="V121" s="46">
        <f>SUMIFS(台帳!$I$2:$I$2000,台帳!$A$2:$A$2000,$A121,台帳!$F$2:$F$2000,V$4)</f>
        <v>0</v>
      </c>
      <c r="W121" s="46">
        <f>SUMIFS(台帳!$I$2:$I$2000,台帳!$A$2:$A$2000,$A121,台帳!$F$2:$F$2000,W$4)</f>
        <v>3</v>
      </c>
      <c r="X121" s="46">
        <f>SUMIFS(台帳!$I$2:$I$2000,台帳!$A$2:$A$2000,$A121,台帳!$F$2:$F$2000,X$4)</f>
        <v>0</v>
      </c>
      <c r="Y121" s="46">
        <f>SUMIFS(台帳!$I$2:$I$2000,台帳!$A$2:$A$2000,$A121,台帳!$F$2:$F$2000,Y$4)</f>
        <v>0</v>
      </c>
      <c r="Z121" s="46">
        <f>SUMIFS(台帳!$I$2:$I$2000,台帳!$A$2:$A$2000,$A121,台帳!$F$2:$F$2000,Z$4)</f>
        <v>0</v>
      </c>
      <c r="AA121" s="46">
        <f>SUMIFS(台帳!$I$2:$I$2000,台帳!$A$2:$A$2000,$A121,台帳!$F$2:$F$2000,AA$4)</f>
        <v>0</v>
      </c>
      <c r="AB121" s="46">
        <f>SUMIFS(台帳!$I$2:$I$2000,台帳!$A$2:$A$2000,$A121,台帳!$F$2:$F$2000,AB$4)</f>
        <v>0</v>
      </c>
      <c r="AC121" s="46">
        <f>SUMIFS(台帳!$I$2:$I$2000,台帳!$A$2:$A$2000,$A121,台帳!$F$2:$F$2000,AC$4)</f>
        <v>0</v>
      </c>
      <c r="AD121" s="46">
        <f>SUMIFS(台帳!$I$2:$I$2000,台帳!$A$2:$A$2000,$A121,台帳!$F$2:$F$2000,AD$4)</f>
        <v>0</v>
      </c>
      <c r="AE121" s="46">
        <f>SUMIFS(台帳!$I$2:$I$2000,台帳!$A$2:$A$2000,$A121,台帳!$F$2:$F$2000,AE$4)</f>
        <v>0</v>
      </c>
      <c r="AF121" s="46">
        <f>SUMIFS(台帳!$I$2:$I$2000,台帳!$A$2:$A$2000,$A121,台帳!$F$2:$F$2000,AF$4)</f>
        <v>0</v>
      </c>
      <c r="AG121" s="46">
        <f>SUMIFS(台帳!$I$2:$I$2000,台帳!$A$2:$A$2000,$A121,台帳!$F$2:$F$2000,AG$4)</f>
        <v>0</v>
      </c>
      <c r="AH121" s="46">
        <f>SUMIFS(台帳!$I$2:$I$2000,台帳!$A$2:$A$2000,$A121,台帳!$F$2:$F$2000,AH$4)</f>
        <v>0</v>
      </c>
      <c r="AI121" s="46">
        <f>SUMIFS(台帳!$I$2:$I$2000,台帳!$A$2:$A$2000,$A121,台帳!$F$2:$F$2000,AI$4)</f>
        <v>0</v>
      </c>
      <c r="AJ121" s="46">
        <f>SUMIFS(台帳!$I$2:$I$2000,台帳!$A$2:$A$2000,$A121,台帳!$F$2:$F$2000,AJ$4)</f>
        <v>0</v>
      </c>
      <c r="AK121" s="46">
        <f>SUMIFS(台帳!$I$2:$I$2000,台帳!$A$2:$A$2000,$A121,台帳!$F$2:$F$2000,AK$4)</f>
        <v>0</v>
      </c>
      <c r="AL121" s="46">
        <f>SUMIFS(台帳!$I$2:$I$2000,台帳!$A$2:$A$2000,$A121,台帳!$F$2:$F$2000,AL$4)</f>
        <v>0</v>
      </c>
      <c r="AM121" s="46">
        <f>SUMIFS(台帳!$I$2:$I$2000,台帳!$A$2:$A$2000,$A121,台帳!$F$2:$F$2000,AM$4)</f>
        <v>0</v>
      </c>
      <c r="AN121" s="46">
        <f>SUMIFS(台帳!$I$2:$I$2000,台帳!$A$2:$A$2000,$A121,台帳!$F$2:$F$2000,AN$4)</f>
        <v>0</v>
      </c>
      <c r="AO121" s="46">
        <f>SUMIFS(台帳!$I$2:$I$2000,台帳!$A$2:$A$2000,$A121,台帳!$F$2:$F$2000,AO$4)</f>
        <v>0</v>
      </c>
      <c r="AP121" s="46">
        <f>SUMIFS(台帳!$I$2:$I$2000,台帳!$A$2:$A$2000,$A121,台帳!$F$2:$F$2000,AP$4)</f>
        <v>0</v>
      </c>
      <c r="AQ121" s="46">
        <f>SUMIFS(台帳!$I$2:$I$2000,台帳!$A$2:$A$2000,$A121,台帳!$F$2:$F$2000,AQ$4)</f>
        <v>0</v>
      </c>
      <c r="AR121" s="46">
        <f>SUM(C121:AQ121)</f>
        <v>3</v>
      </c>
    </row>
    <row r="122" spans="1:44" ht="17.25" x14ac:dyDescent="0.35">
      <c r="A122" s="44">
        <v>46249</v>
      </c>
      <c r="B122" s="45" t="str">
        <f>CHOOSE(WEEKDAY(A122),"日","月","火","水","木","金","土")</f>
        <v>土</v>
      </c>
      <c r="C122" s="46">
        <f>SUMIFS(台帳!$I$2:$I$2000,台帳!$A$2:$A$2000,$A122,台帳!$F$2:$F$2000,C$4)</f>
        <v>0</v>
      </c>
      <c r="D122" s="46">
        <f>SUMIFS(台帳!$I$2:$I$2000,台帳!$A$2:$A$2000,$A122,台帳!$F$2:$F$2000,D$4)</f>
        <v>0</v>
      </c>
      <c r="E122" s="46">
        <f>SUMIFS(台帳!$I$2:$I$2000,台帳!$A$2:$A$2000,$A122,台帳!$F$2:$F$2000,E$4)</f>
        <v>0</v>
      </c>
      <c r="F122" s="46">
        <f>SUMIFS(台帳!$I$2:$I$2000,台帳!$A$2:$A$2000,$A122,台帳!$F$2:$F$2000,F$4)</f>
        <v>0</v>
      </c>
      <c r="G122" s="46">
        <f>SUMIFS(台帳!$I$2:$I$2000,台帳!$A$2:$A$2000,$A122,台帳!$F$2:$F$2000,G$4)</f>
        <v>0</v>
      </c>
      <c r="H122" s="46">
        <f>SUMIFS(台帳!$I$2:$I$2000,台帳!$A$2:$A$2000,$A122,台帳!$F$2:$F$2000,H$4)</f>
        <v>0</v>
      </c>
      <c r="I122" s="46">
        <f>SUMIFS(台帳!$I$2:$I$2000,台帳!$A$2:$A$2000,$A122,台帳!$F$2:$F$2000,I$4)</f>
        <v>0</v>
      </c>
      <c r="J122" s="46">
        <f>SUMIFS(台帳!$I$2:$I$2000,台帳!$A$2:$A$2000,$A122,台帳!$F$2:$F$2000,J$4)</f>
        <v>0</v>
      </c>
      <c r="K122" s="46">
        <f>SUMIFS(台帳!$I$2:$I$2000,台帳!$A$2:$A$2000,$A122,台帳!$F$2:$F$2000,K$4)</f>
        <v>0</v>
      </c>
      <c r="L122" s="46">
        <f>SUMIFS(台帳!$I$2:$I$2000,台帳!$A$2:$A$2000,$A122,台帳!$F$2:$F$2000,L$4)</f>
        <v>0</v>
      </c>
      <c r="M122" s="46">
        <f>SUMIFS(台帳!$I$2:$I$2000,台帳!$A$2:$A$2000,$A122,台帳!$F$2:$F$2000,M$4)</f>
        <v>0</v>
      </c>
      <c r="N122" s="46">
        <f>SUMIFS(台帳!$I$2:$I$2000,台帳!$A$2:$A$2000,$A122,台帳!$F$2:$F$2000,N$4)</f>
        <v>0</v>
      </c>
      <c r="O122" s="46">
        <f>SUMIFS(台帳!$I$2:$I$2000,台帳!$A$2:$A$2000,$A122,台帳!$F$2:$F$2000,O$4)</f>
        <v>0</v>
      </c>
      <c r="P122" s="46">
        <f>SUMIFS(台帳!$I$2:$I$2000,台帳!$A$2:$A$2000,$A122,台帳!$F$2:$F$2000,P$4)</f>
        <v>0</v>
      </c>
      <c r="Q122" s="46">
        <f>SUMIFS(台帳!$I$2:$I$2000,台帳!$A$2:$A$2000,$A122,台帳!$F$2:$F$2000,Q$4)</f>
        <v>0</v>
      </c>
      <c r="R122" s="46">
        <f>SUMIFS(台帳!$I$2:$I$2000,台帳!$A$2:$A$2000,$A122,台帳!$F$2:$F$2000,R$4)</f>
        <v>0</v>
      </c>
      <c r="S122" s="46">
        <f>SUMIFS(台帳!$I$2:$I$2000,台帳!$A$2:$A$2000,$A122,台帳!$F$2:$F$2000,S$4)</f>
        <v>0</v>
      </c>
      <c r="T122" s="46">
        <f>SUMIFS(台帳!$I$2:$I$2000,台帳!$A$2:$A$2000,$A122,台帳!$F$2:$F$2000,T$4)</f>
        <v>0</v>
      </c>
      <c r="U122" s="46">
        <f>SUMIFS(台帳!$I$2:$I$2000,台帳!$A$2:$A$2000,$A122,台帳!$F$2:$F$2000,U$4)</f>
        <v>0</v>
      </c>
      <c r="V122" s="46">
        <f>SUMIFS(台帳!$I$2:$I$2000,台帳!$A$2:$A$2000,$A122,台帳!$F$2:$F$2000,V$4)</f>
        <v>0</v>
      </c>
      <c r="W122" s="46">
        <f>SUMIFS(台帳!$I$2:$I$2000,台帳!$A$2:$A$2000,$A122,台帳!$F$2:$F$2000,W$4)</f>
        <v>2</v>
      </c>
      <c r="X122" s="46">
        <f>SUMIFS(台帳!$I$2:$I$2000,台帳!$A$2:$A$2000,$A122,台帳!$F$2:$F$2000,X$4)</f>
        <v>0</v>
      </c>
      <c r="Y122" s="46">
        <f>SUMIFS(台帳!$I$2:$I$2000,台帳!$A$2:$A$2000,$A122,台帳!$F$2:$F$2000,Y$4)</f>
        <v>0</v>
      </c>
      <c r="Z122" s="46">
        <f>SUMIFS(台帳!$I$2:$I$2000,台帳!$A$2:$A$2000,$A122,台帳!$F$2:$F$2000,Z$4)</f>
        <v>0</v>
      </c>
      <c r="AA122" s="46">
        <f>SUMIFS(台帳!$I$2:$I$2000,台帳!$A$2:$A$2000,$A122,台帳!$F$2:$F$2000,AA$4)</f>
        <v>0</v>
      </c>
      <c r="AB122" s="46">
        <f>SUMIFS(台帳!$I$2:$I$2000,台帳!$A$2:$A$2000,$A122,台帳!$F$2:$F$2000,AB$4)</f>
        <v>0</v>
      </c>
      <c r="AC122" s="46">
        <f>SUMIFS(台帳!$I$2:$I$2000,台帳!$A$2:$A$2000,$A122,台帳!$F$2:$F$2000,AC$4)</f>
        <v>0</v>
      </c>
      <c r="AD122" s="46">
        <f>SUMIFS(台帳!$I$2:$I$2000,台帳!$A$2:$A$2000,$A122,台帳!$F$2:$F$2000,AD$4)</f>
        <v>0</v>
      </c>
      <c r="AE122" s="46">
        <f>SUMIFS(台帳!$I$2:$I$2000,台帳!$A$2:$A$2000,$A122,台帳!$F$2:$F$2000,AE$4)</f>
        <v>0</v>
      </c>
      <c r="AF122" s="46">
        <f>SUMIFS(台帳!$I$2:$I$2000,台帳!$A$2:$A$2000,$A122,台帳!$F$2:$F$2000,AF$4)</f>
        <v>0</v>
      </c>
      <c r="AG122" s="46">
        <f>SUMIFS(台帳!$I$2:$I$2000,台帳!$A$2:$A$2000,$A122,台帳!$F$2:$F$2000,AG$4)</f>
        <v>2</v>
      </c>
      <c r="AH122" s="46">
        <f>SUMIFS(台帳!$I$2:$I$2000,台帳!$A$2:$A$2000,$A122,台帳!$F$2:$F$2000,AH$4)</f>
        <v>0</v>
      </c>
      <c r="AI122" s="46">
        <f>SUMIFS(台帳!$I$2:$I$2000,台帳!$A$2:$A$2000,$A122,台帳!$F$2:$F$2000,AI$4)</f>
        <v>0</v>
      </c>
      <c r="AJ122" s="46">
        <f>SUMIFS(台帳!$I$2:$I$2000,台帳!$A$2:$A$2000,$A122,台帳!$F$2:$F$2000,AJ$4)</f>
        <v>0</v>
      </c>
      <c r="AK122" s="46">
        <f>SUMIFS(台帳!$I$2:$I$2000,台帳!$A$2:$A$2000,$A122,台帳!$F$2:$F$2000,AK$4)</f>
        <v>0</v>
      </c>
      <c r="AL122" s="46">
        <f>SUMIFS(台帳!$I$2:$I$2000,台帳!$A$2:$A$2000,$A122,台帳!$F$2:$F$2000,AL$4)</f>
        <v>0</v>
      </c>
      <c r="AM122" s="46">
        <f>SUMIFS(台帳!$I$2:$I$2000,台帳!$A$2:$A$2000,$A122,台帳!$F$2:$F$2000,AM$4)</f>
        <v>0</v>
      </c>
      <c r="AN122" s="46">
        <f>SUMIFS(台帳!$I$2:$I$2000,台帳!$A$2:$A$2000,$A122,台帳!$F$2:$F$2000,AN$4)</f>
        <v>0</v>
      </c>
      <c r="AO122" s="46">
        <f>SUMIFS(台帳!$I$2:$I$2000,台帳!$A$2:$A$2000,$A122,台帳!$F$2:$F$2000,AO$4)</f>
        <v>0</v>
      </c>
      <c r="AP122" s="46">
        <f>SUMIFS(台帳!$I$2:$I$2000,台帳!$A$2:$A$2000,$A122,台帳!$F$2:$F$2000,AP$4)</f>
        <v>0</v>
      </c>
      <c r="AQ122" s="46">
        <f>SUMIFS(台帳!$I$2:$I$2000,台帳!$A$2:$A$2000,$A122,台帳!$F$2:$F$2000,AQ$4)</f>
        <v>0</v>
      </c>
      <c r="AR122" s="46">
        <f>SUM(C122:AQ122)</f>
        <v>4</v>
      </c>
    </row>
    <row r="123" spans="1:44" ht="17.25" x14ac:dyDescent="0.35">
      <c r="A123" s="44">
        <v>46250</v>
      </c>
      <c r="B123" s="45" t="str">
        <f>CHOOSE(WEEKDAY(A123),"日","月","火","水","木","金","土")</f>
        <v>日</v>
      </c>
      <c r="C123" s="46">
        <f>SUMIFS(台帳!$I$2:$I$2000,台帳!$A$2:$A$2000,$A123,台帳!$F$2:$F$2000,C$4)</f>
        <v>0</v>
      </c>
      <c r="D123" s="46">
        <f>SUMIFS(台帳!$I$2:$I$2000,台帳!$A$2:$A$2000,$A123,台帳!$F$2:$F$2000,D$4)</f>
        <v>0</v>
      </c>
      <c r="E123" s="46">
        <f>SUMIFS(台帳!$I$2:$I$2000,台帳!$A$2:$A$2000,$A123,台帳!$F$2:$F$2000,E$4)</f>
        <v>0</v>
      </c>
      <c r="F123" s="46">
        <f>SUMIFS(台帳!$I$2:$I$2000,台帳!$A$2:$A$2000,$A123,台帳!$F$2:$F$2000,F$4)</f>
        <v>0</v>
      </c>
      <c r="G123" s="46">
        <f>SUMIFS(台帳!$I$2:$I$2000,台帳!$A$2:$A$2000,$A123,台帳!$F$2:$F$2000,G$4)</f>
        <v>0</v>
      </c>
      <c r="H123" s="46">
        <f>SUMIFS(台帳!$I$2:$I$2000,台帳!$A$2:$A$2000,$A123,台帳!$F$2:$F$2000,H$4)</f>
        <v>0</v>
      </c>
      <c r="I123" s="46">
        <f>SUMIFS(台帳!$I$2:$I$2000,台帳!$A$2:$A$2000,$A123,台帳!$F$2:$F$2000,I$4)</f>
        <v>0</v>
      </c>
      <c r="J123" s="46">
        <f>SUMIFS(台帳!$I$2:$I$2000,台帳!$A$2:$A$2000,$A123,台帳!$F$2:$F$2000,J$4)</f>
        <v>0</v>
      </c>
      <c r="K123" s="46">
        <f>SUMIFS(台帳!$I$2:$I$2000,台帳!$A$2:$A$2000,$A123,台帳!$F$2:$F$2000,K$4)</f>
        <v>0</v>
      </c>
      <c r="L123" s="46">
        <f>SUMIFS(台帳!$I$2:$I$2000,台帳!$A$2:$A$2000,$A123,台帳!$F$2:$F$2000,L$4)</f>
        <v>0</v>
      </c>
      <c r="M123" s="46">
        <f>SUMIFS(台帳!$I$2:$I$2000,台帳!$A$2:$A$2000,$A123,台帳!$F$2:$F$2000,M$4)</f>
        <v>0</v>
      </c>
      <c r="N123" s="46">
        <f>SUMIFS(台帳!$I$2:$I$2000,台帳!$A$2:$A$2000,$A123,台帳!$F$2:$F$2000,N$4)</f>
        <v>0</v>
      </c>
      <c r="O123" s="46">
        <f>SUMIFS(台帳!$I$2:$I$2000,台帳!$A$2:$A$2000,$A123,台帳!$F$2:$F$2000,O$4)</f>
        <v>0</v>
      </c>
      <c r="P123" s="46">
        <f>SUMIFS(台帳!$I$2:$I$2000,台帳!$A$2:$A$2000,$A123,台帳!$F$2:$F$2000,P$4)</f>
        <v>0</v>
      </c>
      <c r="Q123" s="46">
        <f>SUMIFS(台帳!$I$2:$I$2000,台帳!$A$2:$A$2000,$A123,台帳!$F$2:$F$2000,Q$4)</f>
        <v>0</v>
      </c>
      <c r="R123" s="46">
        <f>SUMIFS(台帳!$I$2:$I$2000,台帳!$A$2:$A$2000,$A123,台帳!$F$2:$F$2000,R$4)</f>
        <v>0</v>
      </c>
      <c r="S123" s="46">
        <f>SUMIFS(台帳!$I$2:$I$2000,台帳!$A$2:$A$2000,$A123,台帳!$F$2:$F$2000,S$4)</f>
        <v>0</v>
      </c>
      <c r="T123" s="46">
        <f>SUMIFS(台帳!$I$2:$I$2000,台帳!$A$2:$A$2000,$A123,台帳!$F$2:$F$2000,T$4)</f>
        <v>0</v>
      </c>
      <c r="U123" s="46">
        <f>SUMIFS(台帳!$I$2:$I$2000,台帳!$A$2:$A$2000,$A123,台帳!$F$2:$F$2000,U$4)</f>
        <v>0</v>
      </c>
      <c r="V123" s="46">
        <f>SUMIFS(台帳!$I$2:$I$2000,台帳!$A$2:$A$2000,$A123,台帳!$F$2:$F$2000,V$4)</f>
        <v>0</v>
      </c>
      <c r="W123" s="46">
        <f>SUMIFS(台帳!$I$2:$I$2000,台帳!$A$2:$A$2000,$A123,台帳!$F$2:$F$2000,W$4)</f>
        <v>0</v>
      </c>
      <c r="X123" s="46">
        <f>SUMIFS(台帳!$I$2:$I$2000,台帳!$A$2:$A$2000,$A123,台帳!$F$2:$F$2000,X$4)</f>
        <v>0</v>
      </c>
      <c r="Y123" s="46">
        <f>SUMIFS(台帳!$I$2:$I$2000,台帳!$A$2:$A$2000,$A123,台帳!$F$2:$F$2000,Y$4)</f>
        <v>0</v>
      </c>
      <c r="Z123" s="46">
        <f>SUMIFS(台帳!$I$2:$I$2000,台帳!$A$2:$A$2000,$A123,台帳!$F$2:$F$2000,Z$4)</f>
        <v>0</v>
      </c>
      <c r="AA123" s="46">
        <f>SUMIFS(台帳!$I$2:$I$2000,台帳!$A$2:$A$2000,$A123,台帳!$F$2:$F$2000,AA$4)</f>
        <v>0</v>
      </c>
      <c r="AB123" s="46">
        <f>SUMIFS(台帳!$I$2:$I$2000,台帳!$A$2:$A$2000,$A123,台帳!$F$2:$F$2000,AB$4)</f>
        <v>0</v>
      </c>
      <c r="AC123" s="46">
        <f>SUMIFS(台帳!$I$2:$I$2000,台帳!$A$2:$A$2000,$A123,台帳!$F$2:$F$2000,AC$4)</f>
        <v>0</v>
      </c>
      <c r="AD123" s="46">
        <f>SUMIFS(台帳!$I$2:$I$2000,台帳!$A$2:$A$2000,$A123,台帳!$F$2:$F$2000,AD$4)</f>
        <v>0</v>
      </c>
      <c r="AE123" s="46">
        <f>SUMIFS(台帳!$I$2:$I$2000,台帳!$A$2:$A$2000,$A123,台帳!$F$2:$F$2000,AE$4)</f>
        <v>0</v>
      </c>
      <c r="AF123" s="46">
        <f>SUMIFS(台帳!$I$2:$I$2000,台帳!$A$2:$A$2000,$A123,台帳!$F$2:$F$2000,AF$4)</f>
        <v>0</v>
      </c>
      <c r="AG123" s="46">
        <f>SUMIFS(台帳!$I$2:$I$2000,台帳!$A$2:$A$2000,$A123,台帳!$F$2:$F$2000,AG$4)</f>
        <v>0</v>
      </c>
      <c r="AH123" s="46">
        <f>SUMIFS(台帳!$I$2:$I$2000,台帳!$A$2:$A$2000,$A123,台帳!$F$2:$F$2000,AH$4)</f>
        <v>0</v>
      </c>
      <c r="AI123" s="46">
        <f>SUMIFS(台帳!$I$2:$I$2000,台帳!$A$2:$A$2000,$A123,台帳!$F$2:$F$2000,AI$4)</f>
        <v>0</v>
      </c>
      <c r="AJ123" s="46">
        <f>SUMIFS(台帳!$I$2:$I$2000,台帳!$A$2:$A$2000,$A123,台帳!$F$2:$F$2000,AJ$4)</f>
        <v>0</v>
      </c>
      <c r="AK123" s="46">
        <f>SUMIFS(台帳!$I$2:$I$2000,台帳!$A$2:$A$2000,$A123,台帳!$F$2:$F$2000,AK$4)</f>
        <v>0</v>
      </c>
      <c r="AL123" s="46">
        <f>SUMIFS(台帳!$I$2:$I$2000,台帳!$A$2:$A$2000,$A123,台帳!$F$2:$F$2000,AL$4)</f>
        <v>0</v>
      </c>
      <c r="AM123" s="46">
        <f>SUMIFS(台帳!$I$2:$I$2000,台帳!$A$2:$A$2000,$A123,台帳!$F$2:$F$2000,AM$4)</f>
        <v>0</v>
      </c>
      <c r="AN123" s="46">
        <f>SUMIFS(台帳!$I$2:$I$2000,台帳!$A$2:$A$2000,$A123,台帳!$F$2:$F$2000,AN$4)</f>
        <v>0</v>
      </c>
      <c r="AO123" s="46">
        <f>SUMIFS(台帳!$I$2:$I$2000,台帳!$A$2:$A$2000,$A123,台帳!$F$2:$F$2000,AO$4)</f>
        <v>0</v>
      </c>
      <c r="AP123" s="46">
        <f>SUMIFS(台帳!$I$2:$I$2000,台帳!$A$2:$A$2000,$A123,台帳!$F$2:$F$2000,AP$4)</f>
        <v>0</v>
      </c>
      <c r="AQ123" s="46">
        <f>SUMIFS(台帳!$I$2:$I$2000,台帳!$A$2:$A$2000,$A123,台帳!$F$2:$F$2000,AQ$4)</f>
        <v>0</v>
      </c>
      <c r="AR123" s="46">
        <f>SUM(C123:AQ123)</f>
        <v>0</v>
      </c>
    </row>
    <row r="124" spans="1:44" ht="17.25" x14ac:dyDescent="0.35">
      <c r="A124" s="44">
        <v>46251</v>
      </c>
      <c r="B124" s="45" t="str">
        <f>CHOOSE(WEEKDAY(A124),"日","月","火","水","木","金","土")</f>
        <v>月</v>
      </c>
      <c r="C124" s="46">
        <f>SUMIFS(台帳!$I$2:$I$2000,台帳!$A$2:$A$2000,$A124,台帳!$F$2:$F$2000,C$4)</f>
        <v>0</v>
      </c>
      <c r="D124" s="46">
        <f>SUMIFS(台帳!$I$2:$I$2000,台帳!$A$2:$A$2000,$A124,台帳!$F$2:$F$2000,D$4)</f>
        <v>0</v>
      </c>
      <c r="E124" s="46">
        <f>SUMIFS(台帳!$I$2:$I$2000,台帳!$A$2:$A$2000,$A124,台帳!$F$2:$F$2000,E$4)</f>
        <v>0</v>
      </c>
      <c r="F124" s="46">
        <f>SUMIFS(台帳!$I$2:$I$2000,台帳!$A$2:$A$2000,$A124,台帳!$F$2:$F$2000,F$4)</f>
        <v>0</v>
      </c>
      <c r="G124" s="46">
        <f>SUMIFS(台帳!$I$2:$I$2000,台帳!$A$2:$A$2000,$A124,台帳!$F$2:$F$2000,G$4)</f>
        <v>0</v>
      </c>
      <c r="H124" s="46">
        <f>SUMIFS(台帳!$I$2:$I$2000,台帳!$A$2:$A$2000,$A124,台帳!$F$2:$F$2000,H$4)</f>
        <v>0</v>
      </c>
      <c r="I124" s="46">
        <f>SUMIFS(台帳!$I$2:$I$2000,台帳!$A$2:$A$2000,$A124,台帳!$F$2:$F$2000,I$4)</f>
        <v>0</v>
      </c>
      <c r="J124" s="46">
        <f>SUMIFS(台帳!$I$2:$I$2000,台帳!$A$2:$A$2000,$A124,台帳!$F$2:$F$2000,J$4)</f>
        <v>0</v>
      </c>
      <c r="K124" s="46">
        <f>SUMIFS(台帳!$I$2:$I$2000,台帳!$A$2:$A$2000,$A124,台帳!$F$2:$F$2000,K$4)</f>
        <v>0</v>
      </c>
      <c r="L124" s="46">
        <f>SUMIFS(台帳!$I$2:$I$2000,台帳!$A$2:$A$2000,$A124,台帳!$F$2:$F$2000,L$4)</f>
        <v>0</v>
      </c>
      <c r="M124" s="46">
        <f>SUMIFS(台帳!$I$2:$I$2000,台帳!$A$2:$A$2000,$A124,台帳!$F$2:$F$2000,M$4)</f>
        <v>0</v>
      </c>
      <c r="N124" s="46">
        <f>SUMIFS(台帳!$I$2:$I$2000,台帳!$A$2:$A$2000,$A124,台帳!$F$2:$F$2000,N$4)</f>
        <v>0</v>
      </c>
      <c r="O124" s="46">
        <f>SUMIFS(台帳!$I$2:$I$2000,台帳!$A$2:$A$2000,$A124,台帳!$F$2:$F$2000,O$4)</f>
        <v>0</v>
      </c>
      <c r="P124" s="46">
        <f>SUMIFS(台帳!$I$2:$I$2000,台帳!$A$2:$A$2000,$A124,台帳!$F$2:$F$2000,P$4)</f>
        <v>0</v>
      </c>
      <c r="Q124" s="46">
        <f>SUMIFS(台帳!$I$2:$I$2000,台帳!$A$2:$A$2000,$A124,台帳!$F$2:$F$2000,Q$4)</f>
        <v>0</v>
      </c>
      <c r="R124" s="46">
        <f>SUMIFS(台帳!$I$2:$I$2000,台帳!$A$2:$A$2000,$A124,台帳!$F$2:$F$2000,R$4)</f>
        <v>0</v>
      </c>
      <c r="S124" s="46">
        <f>SUMIFS(台帳!$I$2:$I$2000,台帳!$A$2:$A$2000,$A124,台帳!$F$2:$F$2000,S$4)</f>
        <v>0</v>
      </c>
      <c r="T124" s="46">
        <f>SUMIFS(台帳!$I$2:$I$2000,台帳!$A$2:$A$2000,$A124,台帳!$F$2:$F$2000,T$4)</f>
        <v>0</v>
      </c>
      <c r="U124" s="46">
        <f>SUMIFS(台帳!$I$2:$I$2000,台帳!$A$2:$A$2000,$A124,台帳!$F$2:$F$2000,U$4)</f>
        <v>0</v>
      </c>
      <c r="V124" s="46">
        <f>SUMIFS(台帳!$I$2:$I$2000,台帳!$A$2:$A$2000,$A124,台帳!$F$2:$F$2000,V$4)</f>
        <v>0</v>
      </c>
      <c r="W124" s="46">
        <f>SUMIFS(台帳!$I$2:$I$2000,台帳!$A$2:$A$2000,$A124,台帳!$F$2:$F$2000,W$4)</f>
        <v>0</v>
      </c>
      <c r="X124" s="46">
        <f>SUMIFS(台帳!$I$2:$I$2000,台帳!$A$2:$A$2000,$A124,台帳!$F$2:$F$2000,X$4)</f>
        <v>0</v>
      </c>
      <c r="Y124" s="46">
        <f>SUMIFS(台帳!$I$2:$I$2000,台帳!$A$2:$A$2000,$A124,台帳!$F$2:$F$2000,Y$4)</f>
        <v>0</v>
      </c>
      <c r="Z124" s="46">
        <f>SUMIFS(台帳!$I$2:$I$2000,台帳!$A$2:$A$2000,$A124,台帳!$F$2:$F$2000,Z$4)</f>
        <v>0</v>
      </c>
      <c r="AA124" s="46">
        <f>SUMIFS(台帳!$I$2:$I$2000,台帳!$A$2:$A$2000,$A124,台帳!$F$2:$F$2000,AA$4)</f>
        <v>0</v>
      </c>
      <c r="AB124" s="46">
        <f>SUMIFS(台帳!$I$2:$I$2000,台帳!$A$2:$A$2000,$A124,台帳!$F$2:$F$2000,AB$4)</f>
        <v>0</v>
      </c>
      <c r="AC124" s="46">
        <f>SUMIFS(台帳!$I$2:$I$2000,台帳!$A$2:$A$2000,$A124,台帳!$F$2:$F$2000,AC$4)</f>
        <v>0</v>
      </c>
      <c r="AD124" s="46">
        <f>SUMIFS(台帳!$I$2:$I$2000,台帳!$A$2:$A$2000,$A124,台帳!$F$2:$F$2000,AD$4)</f>
        <v>2</v>
      </c>
      <c r="AE124" s="46">
        <f>SUMIFS(台帳!$I$2:$I$2000,台帳!$A$2:$A$2000,$A124,台帳!$F$2:$F$2000,AE$4)</f>
        <v>0</v>
      </c>
      <c r="AF124" s="46">
        <f>SUMIFS(台帳!$I$2:$I$2000,台帳!$A$2:$A$2000,$A124,台帳!$F$2:$F$2000,AF$4)</f>
        <v>0</v>
      </c>
      <c r="AG124" s="46">
        <f>SUMIFS(台帳!$I$2:$I$2000,台帳!$A$2:$A$2000,$A124,台帳!$F$2:$F$2000,AG$4)</f>
        <v>0</v>
      </c>
      <c r="AH124" s="46">
        <f>SUMIFS(台帳!$I$2:$I$2000,台帳!$A$2:$A$2000,$A124,台帳!$F$2:$F$2000,AH$4)</f>
        <v>0</v>
      </c>
      <c r="AI124" s="46">
        <f>SUMIFS(台帳!$I$2:$I$2000,台帳!$A$2:$A$2000,$A124,台帳!$F$2:$F$2000,AI$4)</f>
        <v>0</v>
      </c>
      <c r="AJ124" s="46">
        <f>SUMIFS(台帳!$I$2:$I$2000,台帳!$A$2:$A$2000,$A124,台帳!$F$2:$F$2000,AJ$4)</f>
        <v>0</v>
      </c>
      <c r="AK124" s="46">
        <f>SUMIFS(台帳!$I$2:$I$2000,台帳!$A$2:$A$2000,$A124,台帳!$F$2:$F$2000,AK$4)</f>
        <v>0</v>
      </c>
      <c r="AL124" s="46">
        <f>SUMIFS(台帳!$I$2:$I$2000,台帳!$A$2:$A$2000,$A124,台帳!$F$2:$F$2000,AL$4)</f>
        <v>0</v>
      </c>
      <c r="AM124" s="46">
        <f>SUMIFS(台帳!$I$2:$I$2000,台帳!$A$2:$A$2000,$A124,台帳!$F$2:$F$2000,AM$4)</f>
        <v>0</v>
      </c>
      <c r="AN124" s="46">
        <f>SUMIFS(台帳!$I$2:$I$2000,台帳!$A$2:$A$2000,$A124,台帳!$F$2:$F$2000,AN$4)</f>
        <v>0</v>
      </c>
      <c r="AO124" s="46">
        <f>SUMIFS(台帳!$I$2:$I$2000,台帳!$A$2:$A$2000,$A124,台帳!$F$2:$F$2000,AO$4)</f>
        <v>0</v>
      </c>
      <c r="AP124" s="46">
        <f>SUMIFS(台帳!$I$2:$I$2000,台帳!$A$2:$A$2000,$A124,台帳!$F$2:$F$2000,AP$4)</f>
        <v>0</v>
      </c>
      <c r="AQ124" s="46">
        <f>SUMIFS(台帳!$I$2:$I$2000,台帳!$A$2:$A$2000,$A124,台帳!$F$2:$F$2000,AQ$4)</f>
        <v>0</v>
      </c>
      <c r="AR124" s="46">
        <f>SUM(C124:AQ124)</f>
        <v>2</v>
      </c>
    </row>
    <row r="125" spans="1:44" ht="17.25" x14ac:dyDescent="0.35">
      <c r="A125" s="44">
        <v>46252</v>
      </c>
      <c r="B125" s="45" t="str">
        <f>CHOOSE(WEEKDAY(A125),"日","月","火","水","木","金","土")</f>
        <v>火</v>
      </c>
      <c r="C125" s="46">
        <f>SUMIFS(台帳!$I$2:$I$2000,台帳!$A$2:$A$2000,$A125,台帳!$F$2:$F$2000,C$4)</f>
        <v>0</v>
      </c>
      <c r="D125" s="46">
        <f>SUMIFS(台帳!$I$2:$I$2000,台帳!$A$2:$A$2000,$A125,台帳!$F$2:$F$2000,D$4)</f>
        <v>0</v>
      </c>
      <c r="E125" s="46">
        <f>SUMIFS(台帳!$I$2:$I$2000,台帳!$A$2:$A$2000,$A125,台帳!$F$2:$F$2000,E$4)</f>
        <v>0</v>
      </c>
      <c r="F125" s="46">
        <f>SUMIFS(台帳!$I$2:$I$2000,台帳!$A$2:$A$2000,$A125,台帳!$F$2:$F$2000,F$4)</f>
        <v>0</v>
      </c>
      <c r="G125" s="46">
        <f>SUMIFS(台帳!$I$2:$I$2000,台帳!$A$2:$A$2000,$A125,台帳!$F$2:$F$2000,G$4)</f>
        <v>0</v>
      </c>
      <c r="H125" s="46">
        <f>SUMIFS(台帳!$I$2:$I$2000,台帳!$A$2:$A$2000,$A125,台帳!$F$2:$F$2000,H$4)</f>
        <v>0</v>
      </c>
      <c r="I125" s="46">
        <f>SUMIFS(台帳!$I$2:$I$2000,台帳!$A$2:$A$2000,$A125,台帳!$F$2:$F$2000,I$4)</f>
        <v>0</v>
      </c>
      <c r="J125" s="46">
        <f>SUMIFS(台帳!$I$2:$I$2000,台帳!$A$2:$A$2000,$A125,台帳!$F$2:$F$2000,J$4)</f>
        <v>0</v>
      </c>
      <c r="K125" s="46">
        <f>SUMIFS(台帳!$I$2:$I$2000,台帳!$A$2:$A$2000,$A125,台帳!$F$2:$F$2000,K$4)</f>
        <v>0</v>
      </c>
      <c r="L125" s="46">
        <f>SUMIFS(台帳!$I$2:$I$2000,台帳!$A$2:$A$2000,$A125,台帳!$F$2:$F$2000,L$4)</f>
        <v>0</v>
      </c>
      <c r="M125" s="46">
        <f>SUMIFS(台帳!$I$2:$I$2000,台帳!$A$2:$A$2000,$A125,台帳!$F$2:$F$2000,M$4)</f>
        <v>0</v>
      </c>
      <c r="N125" s="46">
        <f>SUMIFS(台帳!$I$2:$I$2000,台帳!$A$2:$A$2000,$A125,台帳!$F$2:$F$2000,N$4)</f>
        <v>0</v>
      </c>
      <c r="O125" s="46">
        <f>SUMIFS(台帳!$I$2:$I$2000,台帳!$A$2:$A$2000,$A125,台帳!$F$2:$F$2000,O$4)</f>
        <v>0</v>
      </c>
      <c r="P125" s="46">
        <f>SUMIFS(台帳!$I$2:$I$2000,台帳!$A$2:$A$2000,$A125,台帳!$F$2:$F$2000,P$4)</f>
        <v>0</v>
      </c>
      <c r="Q125" s="46">
        <f>SUMIFS(台帳!$I$2:$I$2000,台帳!$A$2:$A$2000,$A125,台帳!$F$2:$F$2000,Q$4)</f>
        <v>0</v>
      </c>
      <c r="R125" s="46">
        <f>SUMIFS(台帳!$I$2:$I$2000,台帳!$A$2:$A$2000,$A125,台帳!$F$2:$F$2000,R$4)</f>
        <v>0</v>
      </c>
      <c r="S125" s="46">
        <f>SUMIFS(台帳!$I$2:$I$2000,台帳!$A$2:$A$2000,$A125,台帳!$F$2:$F$2000,S$4)</f>
        <v>0</v>
      </c>
      <c r="T125" s="46">
        <f>SUMIFS(台帳!$I$2:$I$2000,台帳!$A$2:$A$2000,$A125,台帳!$F$2:$F$2000,T$4)</f>
        <v>0</v>
      </c>
      <c r="U125" s="46">
        <f>SUMIFS(台帳!$I$2:$I$2000,台帳!$A$2:$A$2000,$A125,台帳!$F$2:$F$2000,U$4)</f>
        <v>0</v>
      </c>
      <c r="V125" s="46">
        <f>SUMIFS(台帳!$I$2:$I$2000,台帳!$A$2:$A$2000,$A125,台帳!$F$2:$F$2000,V$4)</f>
        <v>0</v>
      </c>
      <c r="W125" s="46">
        <f>SUMIFS(台帳!$I$2:$I$2000,台帳!$A$2:$A$2000,$A125,台帳!$F$2:$F$2000,W$4)</f>
        <v>0</v>
      </c>
      <c r="X125" s="46">
        <f>SUMIFS(台帳!$I$2:$I$2000,台帳!$A$2:$A$2000,$A125,台帳!$F$2:$F$2000,X$4)</f>
        <v>0</v>
      </c>
      <c r="Y125" s="46">
        <f>SUMIFS(台帳!$I$2:$I$2000,台帳!$A$2:$A$2000,$A125,台帳!$F$2:$F$2000,Y$4)</f>
        <v>0</v>
      </c>
      <c r="Z125" s="46">
        <f>SUMIFS(台帳!$I$2:$I$2000,台帳!$A$2:$A$2000,$A125,台帳!$F$2:$F$2000,Z$4)</f>
        <v>0</v>
      </c>
      <c r="AA125" s="46">
        <f>SUMIFS(台帳!$I$2:$I$2000,台帳!$A$2:$A$2000,$A125,台帳!$F$2:$F$2000,AA$4)</f>
        <v>0</v>
      </c>
      <c r="AB125" s="46">
        <f>SUMIFS(台帳!$I$2:$I$2000,台帳!$A$2:$A$2000,$A125,台帳!$F$2:$F$2000,AB$4)</f>
        <v>0</v>
      </c>
      <c r="AC125" s="46">
        <f>SUMIFS(台帳!$I$2:$I$2000,台帳!$A$2:$A$2000,$A125,台帳!$F$2:$F$2000,AC$4)</f>
        <v>0</v>
      </c>
      <c r="AD125" s="46">
        <f>SUMIFS(台帳!$I$2:$I$2000,台帳!$A$2:$A$2000,$A125,台帳!$F$2:$F$2000,AD$4)</f>
        <v>1</v>
      </c>
      <c r="AE125" s="46">
        <f>SUMIFS(台帳!$I$2:$I$2000,台帳!$A$2:$A$2000,$A125,台帳!$F$2:$F$2000,AE$4)</f>
        <v>0</v>
      </c>
      <c r="AF125" s="46">
        <f>SUMIFS(台帳!$I$2:$I$2000,台帳!$A$2:$A$2000,$A125,台帳!$F$2:$F$2000,AF$4)</f>
        <v>0</v>
      </c>
      <c r="AG125" s="46">
        <f>SUMIFS(台帳!$I$2:$I$2000,台帳!$A$2:$A$2000,$A125,台帳!$F$2:$F$2000,AG$4)</f>
        <v>0</v>
      </c>
      <c r="AH125" s="46">
        <f>SUMIFS(台帳!$I$2:$I$2000,台帳!$A$2:$A$2000,$A125,台帳!$F$2:$F$2000,AH$4)</f>
        <v>0</v>
      </c>
      <c r="AI125" s="46">
        <f>SUMIFS(台帳!$I$2:$I$2000,台帳!$A$2:$A$2000,$A125,台帳!$F$2:$F$2000,AI$4)</f>
        <v>0</v>
      </c>
      <c r="AJ125" s="46">
        <f>SUMIFS(台帳!$I$2:$I$2000,台帳!$A$2:$A$2000,$A125,台帳!$F$2:$F$2000,AJ$4)</f>
        <v>0</v>
      </c>
      <c r="AK125" s="46">
        <f>SUMIFS(台帳!$I$2:$I$2000,台帳!$A$2:$A$2000,$A125,台帳!$F$2:$F$2000,AK$4)</f>
        <v>0</v>
      </c>
      <c r="AL125" s="46">
        <f>SUMIFS(台帳!$I$2:$I$2000,台帳!$A$2:$A$2000,$A125,台帳!$F$2:$F$2000,AL$4)</f>
        <v>0</v>
      </c>
      <c r="AM125" s="46">
        <f>SUMIFS(台帳!$I$2:$I$2000,台帳!$A$2:$A$2000,$A125,台帳!$F$2:$F$2000,AM$4)</f>
        <v>0</v>
      </c>
      <c r="AN125" s="46">
        <f>SUMIFS(台帳!$I$2:$I$2000,台帳!$A$2:$A$2000,$A125,台帳!$F$2:$F$2000,AN$4)</f>
        <v>2</v>
      </c>
      <c r="AO125" s="46">
        <f>SUMIFS(台帳!$I$2:$I$2000,台帳!$A$2:$A$2000,$A125,台帳!$F$2:$F$2000,AO$4)</f>
        <v>0</v>
      </c>
      <c r="AP125" s="46">
        <f>SUMIFS(台帳!$I$2:$I$2000,台帳!$A$2:$A$2000,$A125,台帳!$F$2:$F$2000,AP$4)</f>
        <v>0</v>
      </c>
      <c r="AQ125" s="46">
        <f>SUMIFS(台帳!$I$2:$I$2000,台帳!$A$2:$A$2000,$A125,台帳!$F$2:$F$2000,AQ$4)</f>
        <v>0</v>
      </c>
      <c r="AR125" s="46">
        <f>SUM(C125:AQ125)</f>
        <v>3</v>
      </c>
    </row>
    <row r="126" spans="1:44" ht="17.25" x14ac:dyDescent="0.35">
      <c r="A126" s="44">
        <v>46253</v>
      </c>
      <c r="B126" s="45" t="str">
        <f>CHOOSE(WEEKDAY(A126),"日","月","火","水","木","金","土")</f>
        <v>水</v>
      </c>
      <c r="C126" s="46">
        <f>SUMIFS(台帳!$I$2:$I$2000,台帳!$A$2:$A$2000,$A126,台帳!$F$2:$F$2000,C$4)</f>
        <v>0</v>
      </c>
      <c r="D126" s="46">
        <f>SUMIFS(台帳!$I$2:$I$2000,台帳!$A$2:$A$2000,$A126,台帳!$F$2:$F$2000,D$4)</f>
        <v>0</v>
      </c>
      <c r="E126" s="46">
        <f>SUMIFS(台帳!$I$2:$I$2000,台帳!$A$2:$A$2000,$A126,台帳!$F$2:$F$2000,E$4)</f>
        <v>0</v>
      </c>
      <c r="F126" s="46">
        <f>SUMIFS(台帳!$I$2:$I$2000,台帳!$A$2:$A$2000,$A126,台帳!$F$2:$F$2000,F$4)</f>
        <v>0</v>
      </c>
      <c r="G126" s="46">
        <f>SUMIFS(台帳!$I$2:$I$2000,台帳!$A$2:$A$2000,$A126,台帳!$F$2:$F$2000,G$4)</f>
        <v>0</v>
      </c>
      <c r="H126" s="46">
        <f>SUMIFS(台帳!$I$2:$I$2000,台帳!$A$2:$A$2000,$A126,台帳!$F$2:$F$2000,H$4)</f>
        <v>0</v>
      </c>
      <c r="I126" s="46">
        <f>SUMIFS(台帳!$I$2:$I$2000,台帳!$A$2:$A$2000,$A126,台帳!$F$2:$F$2000,I$4)</f>
        <v>0</v>
      </c>
      <c r="J126" s="46">
        <f>SUMIFS(台帳!$I$2:$I$2000,台帳!$A$2:$A$2000,$A126,台帳!$F$2:$F$2000,J$4)</f>
        <v>0</v>
      </c>
      <c r="K126" s="46">
        <f>SUMIFS(台帳!$I$2:$I$2000,台帳!$A$2:$A$2000,$A126,台帳!$F$2:$F$2000,K$4)</f>
        <v>0</v>
      </c>
      <c r="L126" s="46">
        <f>SUMIFS(台帳!$I$2:$I$2000,台帳!$A$2:$A$2000,$A126,台帳!$F$2:$F$2000,L$4)</f>
        <v>0</v>
      </c>
      <c r="M126" s="46">
        <f>SUMIFS(台帳!$I$2:$I$2000,台帳!$A$2:$A$2000,$A126,台帳!$F$2:$F$2000,M$4)</f>
        <v>0</v>
      </c>
      <c r="N126" s="46">
        <f>SUMIFS(台帳!$I$2:$I$2000,台帳!$A$2:$A$2000,$A126,台帳!$F$2:$F$2000,N$4)</f>
        <v>0</v>
      </c>
      <c r="O126" s="46">
        <f>SUMIFS(台帳!$I$2:$I$2000,台帳!$A$2:$A$2000,$A126,台帳!$F$2:$F$2000,O$4)</f>
        <v>0</v>
      </c>
      <c r="P126" s="46">
        <f>SUMIFS(台帳!$I$2:$I$2000,台帳!$A$2:$A$2000,$A126,台帳!$F$2:$F$2000,P$4)</f>
        <v>0</v>
      </c>
      <c r="Q126" s="46">
        <f>SUMIFS(台帳!$I$2:$I$2000,台帳!$A$2:$A$2000,$A126,台帳!$F$2:$F$2000,Q$4)</f>
        <v>0</v>
      </c>
      <c r="R126" s="46">
        <f>SUMIFS(台帳!$I$2:$I$2000,台帳!$A$2:$A$2000,$A126,台帳!$F$2:$F$2000,R$4)</f>
        <v>0</v>
      </c>
      <c r="S126" s="46">
        <f>SUMIFS(台帳!$I$2:$I$2000,台帳!$A$2:$A$2000,$A126,台帳!$F$2:$F$2000,S$4)</f>
        <v>0</v>
      </c>
      <c r="T126" s="46">
        <f>SUMIFS(台帳!$I$2:$I$2000,台帳!$A$2:$A$2000,$A126,台帳!$F$2:$F$2000,T$4)</f>
        <v>0</v>
      </c>
      <c r="U126" s="46">
        <f>SUMIFS(台帳!$I$2:$I$2000,台帳!$A$2:$A$2000,$A126,台帳!$F$2:$F$2000,U$4)</f>
        <v>0</v>
      </c>
      <c r="V126" s="46">
        <f>SUMIFS(台帳!$I$2:$I$2000,台帳!$A$2:$A$2000,$A126,台帳!$F$2:$F$2000,V$4)</f>
        <v>0</v>
      </c>
      <c r="W126" s="46">
        <f>SUMIFS(台帳!$I$2:$I$2000,台帳!$A$2:$A$2000,$A126,台帳!$F$2:$F$2000,W$4)</f>
        <v>0</v>
      </c>
      <c r="X126" s="46">
        <f>SUMIFS(台帳!$I$2:$I$2000,台帳!$A$2:$A$2000,$A126,台帳!$F$2:$F$2000,X$4)</f>
        <v>0</v>
      </c>
      <c r="Y126" s="46">
        <f>SUMIFS(台帳!$I$2:$I$2000,台帳!$A$2:$A$2000,$A126,台帳!$F$2:$F$2000,Y$4)</f>
        <v>0</v>
      </c>
      <c r="Z126" s="46">
        <f>SUMIFS(台帳!$I$2:$I$2000,台帳!$A$2:$A$2000,$A126,台帳!$F$2:$F$2000,Z$4)</f>
        <v>0</v>
      </c>
      <c r="AA126" s="46">
        <f>SUMIFS(台帳!$I$2:$I$2000,台帳!$A$2:$A$2000,$A126,台帳!$F$2:$F$2000,AA$4)</f>
        <v>0</v>
      </c>
      <c r="AB126" s="46">
        <f>SUMIFS(台帳!$I$2:$I$2000,台帳!$A$2:$A$2000,$A126,台帳!$F$2:$F$2000,AB$4)</f>
        <v>0</v>
      </c>
      <c r="AC126" s="46">
        <f>SUMIFS(台帳!$I$2:$I$2000,台帳!$A$2:$A$2000,$A126,台帳!$F$2:$F$2000,AC$4)</f>
        <v>0</v>
      </c>
      <c r="AD126" s="46">
        <f>SUMIFS(台帳!$I$2:$I$2000,台帳!$A$2:$A$2000,$A126,台帳!$F$2:$F$2000,AD$4)</f>
        <v>2</v>
      </c>
      <c r="AE126" s="46">
        <f>SUMIFS(台帳!$I$2:$I$2000,台帳!$A$2:$A$2000,$A126,台帳!$F$2:$F$2000,AE$4)</f>
        <v>0</v>
      </c>
      <c r="AF126" s="46">
        <f>SUMIFS(台帳!$I$2:$I$2000,台帳!$A$2:$A$2000,$A126,台帳!$F$2:$F$2000,AF$4)</f>
        <v>0</v>
      </c>
      <c r="AG126" s="46">
        <f>SUMIFS(台帳!$I$2:$I$2000,台帳!$A$2:$A$2000,$A126,台帳!$F$2:$F$2000,AG$4)</f>
        <v>0</v>
      </c>
      <c r="AH126" s="46">
        <f>SUMIFS(台帳!$I$2:$I$2000,台帳!$A$2:$A$2000,$A126,台帳!$F$2:$F$2000,AH$4)</f>
        <v>0</v>
      </c>
      <c r="AI126" s="46">
        <f>SUMIFS(台帳!$I$2:$I$2000,台帳!$A$2:$A$2000,$A126,台帳!$F$2:$F$2000,AI$4)</f>
        <v>0</v>
      </c>
      <c r="AJ126" s="46">
        <f>SUMIFS(台帳!$I$2:$I$2000,台帳!$A$2:$A$2000,$A126,台帳!$F$2:$F$2000,AJ$4)</f>
        <v>0</v>
      </c>
      <c r="AK126" s="46">
        <f>SUMIFS(台帳!$I$2:$I$2000,台帳!$A$2:$A$2000,$A126,台帳!$F$2:$F$2000,AK$4)</f>
        <v>0</v>
      </c>
      <c r="AL126" s="46">
        <f>SUMIFS(台帳!$I$2:$I$2000,台帳!$A$2:$A$2000,$A126,台帳!$F$2:$F$2000,AL$4)</f>
        <v>0</v>
      </c>
      <c r="AM126" s="46">
        <f>SUMIFS(台帳!$I$2:$I$2000,台帳!$A$2:$A$2000,$A126,台帳!$F$2:$F$2000,AM$4)</f>
        <v>0</v>
      </c>
      <c r="AN126" s="46">
        <f>SUMIFS(台帳!$I$2:$I$2000,台帳!$A$2:$A$2000,$A126,台帳!$F$2:$F$2000,AN$4)</f>
        <v>2</v>
      </c>
      <c r="AO126" s="46">
        <f>SUMIFS(台帳!$I$2:$I$2000,台帳!$A$2:$A$2000,$A126,台帳!$F$2:$F$2000,AO$4)</f>
        <v>0</v>
      </c>
      <c r="AP126" s="46">
        <f>SUMIFS(台帳!$I$2:$I$2000,台帳!$A$2:$A$2000,$A126,台帳!$F$2:$F$2000,AP$4)</f>
        <v>0</v>
      </c>
      <c r="AQ126" s="46">
        <f>SUMIFS(台帳!$I$2:$I$2000,台帳!$A$2:$A$2000,$A126,台帳!$F$2:$F$2000,AQ$4)</f>
        <v>0</v>
      </c>
      <c r="AR126" s="46">
        <f>SUM(C126:AQ126)</f>
        <v>4</v>
      </c>
    </row>
    <row r="127" spans="1:44" ht="17.25" x14ac:dyDescent="0.35">
      <c r="A127" s="44">
        <v>46254</v>
      </c>
      <c r="B127" s="45" t="str">
        <f>CHOOSE(WEEKDAY(A127),"日","月","火","水","木","金","土")</f>
        <v>木</v>
      </c>
      <c r="C127" s="46">
        <f>SUMIFS(台帳!$I$2:$I$2000,台帳!$A$2:$A$2000,$A127,台帳!$F$2:$F$2000,C$4)</f>
        <v>0</v>
      </c>
      <c r="D127" s="46">
        <f>SUMIFS(台帳!$I$2:$I$2000,台帳!$A$2:$A$2000,$A127,台帳!$F$2:$F$2000,D$4)</f>
        <v>0</v>
      </c>
      <c r="E127" s="46">
        <f>SUMIFS(台帳!$I$2:$I$2000,台帳!$A$2:$A$2000,$A127,台帳!$F$2:$F$2000,E$4)</f>
        <v>0</v>
      </c>
      <c r="F127" s="46">
        <f>SUMIFS(台帳!$I$2:$I$2000,台帳!$A$2:$A$2000,$A127,台帳!$F$2:$F$2000,F$4)</f>
        <v>0</v>
      </c>
      <c r="G127" s="46">
        <f>SUMIFS(台帳!$I$2:$I$2000,台帳!$A$2:$A$2000,$A127,台帳!$F$2:$F$2000,G$4)</f>
        <v>0</v>
      </c>
      <c r="H127" s="46">
        <f>SUMIFS(台帳!$I$2:$I$2000,台帳!$A$2:$A$2000,$A127,台帳!$F$2:$F$2000,H$4)</f>
        <v>0</v>
      </c>
      <c r="I127" s="46">
        <f>SUMIFS(台帳!$I$2:$I$2000,台帳!$A$2:$A$2000,$A127,台帳!$F$2:$F$2000,I$4)</f>
        <v>0</v>
      </c>
      <c r="J127" s="46">
        <f>SUMIFS(台帳!$I$2:$I$2000,台帳!$A$2:$A$2000,$A127,台帳!$F$2:$F$2000,J$4)</f>
        <v>0</v>
      </c>
      <c r="K127" s="46">
        <f>SUMIFS(台帳!$I$2:$I$2000,台帳!$A$2:$A$2000,$A127,台帳!$F$2:$F$2000,K$4)</f>
        <v>0</v>
      </c>
      <c r="L127" s="46">
        <f>SUMIFS(台帳!$I$2:$I$2000,台帳!$A$2:$A$2000,$A127,台帳!$F$2:$F$2000,L$4)</f>
        <v>0</v>
      </c>
      <c r="M127" s="46">
        <f>SUMIFS(台帳!$I$2:$I$2000,台帳!$A$2:$A$2000,$A127,台帳!$F$2:$F$2000,M$4)</f>
        <v>0</v>
      </c>
      <c r="N127" s="46">
        <f>SUMIFS(台帳!$I$2:$I$2000,台帳!$A$2:$A$2000,$A127,台帳!$F$2:$F$2000,N$4)</f>
        <v>0</v>
      </c>
      <c r="O127" s="46">
        <f>SUMIFS(台帳!$I$2:$I$2000,台帳!$A$2:$A$2000,$A127,台帳!$F$2:$F$2000,O$4)</f>
        <v>0</v>
      </c>
      <c r="P127" s="46">
        <f>SUMIFS(台帳!$I$2:$I$2000,台帳!$A$2:$A$2000,$A127,台帳!$F$2:$F$2000,P$4)</f>
        <v>0</v>
      </c>
      <c r="Q127" s="46">
        <f>SUMIFS(台帳!$I$2:$I$2000,台帳!$A$2:$A$2000,$A127,台帳!$F$2:$F$2000,Q$4)</f>
        <v>0</v>
      </c>
      <c r="R127" s="46">
        <f>SUMIFS(台帳!$I$2:$I$2000,台帳!$A$2:$A$2000,$A127,台帳!$F$2:$F$2000,R$4)</f>
        <v>0</v>
      </c>
      <c r="S127" s="46">
        <f>SUMIFS(台帳!$I$2:$I$2000,台帳!$A$2:$A$2000,$A127,台帳!$F$2:$F$2000,S$4)</f>
        <v>0</v>
      </c>
      <c r="T127" s="46">
        <f>SUMIFS(台帳!$I$2:$I$2000,台帳!$A$2:$A$2000,$A127,台帳!$F$2:$F$2000,T$4)</f>
        <v>0</v>
      </c>
      <c r="U127" s="46">
        <f>SUMIFS(台帳!$I$2:$I$2000,台帳!$A$2:$A$2000,$A127,台帳!$F$2:$F$2000,U$4)</f>
        <v>0</v>
      </c>
      <c r="V127" s="46">
        <f>SUMIFS(台帳!$I$2:$I$2000,台帳!$A$2:$A$2000,$A127,台帳!$F$2:$F$2000,V$4)</f>
        <v>0</v>
      </c>
      <c r="W127" s="46">
        <f>SUMIFS(台帳!$I$2:$I$2000,台帳!$A$2:$A$2000,$A127,台帳!$F$2:$F$2000,W$4)</f>
        <v>0</v>
      </c>
      <c r="X127" s="46">
        <f>SUMIFS(台帳!$I$2:$I$2000,台帳!$A$2:$A$2000,$A127,台帳!$F$2:$F$2000,X$4)</f>
        <v>0</v>
      </c>
      <c r="Y127" s="46">
        <f>SUMIFS(台帳!$I$2:$I$2000,台帳!$A$2:$A$2000,$A127,台帳!$F$2:$F$2000,Y$4)</f>
        <v>0</v>
      </c>
      <c r="Z127" s="46">
        <f>SUMIFS(台帳!$I$2:$I$2000,台帳!$A$2:$A$2000,$A127,台帳!$F$2:$F$2000,Z$4)</f>
        <v>0</v>
      </c>
      <c r="AA127" s="46">
        <f>SUMIFS(台帳!$I$2:$I$2000,台帳!$A$2:$A$2000,$A127,台帳!$F$2:$F$2000,AA$4)</f>
        <v>0</v>
      </c>
      <c r="AB127" s="46">
        <f>SUMIFS(台帳!$I$2:$I$2000,台帳!$A$2:$A$2000,$A127,台帳!$F$2:$F$2000,AB$4)</f>
        <v>0</v>
      </c>
      <c r="AC127" s="46">
        <f>SUMIFS(台帳!$I$2:$I$2000,台帳!$A$2:$A$2000,$A127,台帳!$F$2:$F$2000,AC$4)</f>
        <v>0</v>
      </c>
      <c r="AD127" s="46">
        <f>SUMIFS(台帳!$I$2:$I$2000,台帳!$A$2:$A$2000,$A127,台帳!$F$2:$F$2000,AD$4)</f>
        <v>2</v>
      </c>
      <c r="AE127" s="46">
        <f>SUMIFS(台帳!$I$2:$I$2000,台帳!$A$2:$A$2000,$A127,台帳!$F$2:$F$2000,AE$4)</f>
        <v>2</v>
      </c>
      <c r="AF127" s="46">
        <f>SUMIFS(台帳!$I$2:$I$2000,台帳!$A$2:$A$2000,$A127,台帳!$F$2:$F$2000,AF$4)</f>
        <v>0</v>
      </c>
      <c r="AG127" s="46">
        <f>SUMIFS(台帳!$I$2:$I$2000,台帳!$A$2:$A$2000,$A127,台帳!$F$2:$F$2000,AG$4)</f>
        <v>0</v>
      </c>
      <c r="AH127" s="46">
        <f>SUMIFS(台帳!$I$2:$I$2000,台帳!$A$2:$A$2000,$A127,台帳!$F$2:$F$2000,AH$4)</f>
        <v>0</v>
      </c>
      <c r="AI127" s="46">
        <f>SUMIFS(台帳!$I$2:$I$2000,台帳!$A$2:$A$2000,$A127,台帳!$F$2:$F$2000,AI$4)</f>
        <v>0</v>
      </c>
      <c r="AJ127" s="46">
        <f>SUMIFS(台帳!$I$2:$I$2000,台帳!$A$2:$A$2000,$A127,台帳!$F$2:$F$2000,AJ$4)</f>
        <v>0</v>
      </c>
      <c r="AK127" s="46">
        <f>SUMIFS(台帳!$I$2:$I$2000,台帳!$A$2:$A$2000,$A127,台帳!$F$2:$F$2000,AK$4)</f>
        <v>0</v>
      </c>
      <c r="AL127" s="46">
        <f>SUMIFS(台帳!$I$2:$I$2000,台帳!$A$2:$A$2000,$A127,台帳!$F$2:$F$2000,AL$4)</f>
        <v>0</v>
      </c>
      <c r="AM127" s="46">
        <f>SUMIFS(台帳!$I$2:$I$2000,台帳!$A$2:$A$2000,$A127,台帳!$F$2:$F$2000,AM$4)</f>
        <v>0</v>
      </c>
      <c r="AN127" s="46">
        <f>SUMIFS(台帳!$I$2:$I$2000,台帳!$A$2:$A$2000,$A127,台帳!$F$2:$F$2000,AN$4)</f>
        <v>0</v>
      </c>
      <c r="AO127" s="46">
        <f>SUMIFS(台帳!$I$2:$I$2000,台帳!$A$2:$A$2000,$A127,台帳!$F$2:$F$2000,AO$4)</f>
        <v>0</v>
      </c>
      <c r="AP127" s="46">
        <f>SUMIFS(台帳!$I$2:$I$2000,台帳!$A$2:$A$2000,$A127,台帳!$F$2:$F$2000,AP$4)</f>
        <v>0</v>
      </c>
      <c r="AQ127" s="46">
        <f>SUMIFS(台帳!$I$2:$I$2000,台帳!$A$2:$A$2000,$A127,台帳!$F$2:$F$2000,AQ$4)</f>
        <v>0</v>
      </c>
      <c r="AR127" s="46">
        <f>SUM(C127:AQ127)</f>
        <v>4</v>
      </c>
    </row>
    <row r="128" spans="1:44" ht="17.25" x14ac:dyDescent="0.35">
      <c r="A128" s="44">
        <v>46255</v>
      </c>
      <c r="B128" s="45" t="str">
        <f>CHOOSE(WEEKDAY(A128),"日","月","火","水","木","金","土")</f>
        <v>金</v>
      </c>
      <c r="C128" s="46">
        <f>SUMIFS(台帳!$I$2:$I$2000,台帳!$A$2:$A$2000,$A128,台帳!$F$2:$F$2000,C$4)</f>
        <v>0</v>
      </c>
      <c r="D128" s="46">
        <f>SUMIFS(台帳!$I$2:$I$2000,台帳!$A$2:$A$2000,$A128,台帳!$F$2:$F$2000,D$4)</f>
        <v>0</v>
      </c>
      <c r="E128" s="46">
        <f>SUMIFS(台帳!$I$2:$I$2000,台帳!$A$2:$A$2000,$A128,台帳!$F$2:$F$2000,E$4)</f>
        <v>0</v>
      </c>
      <c r="F128" s="46">
        <f>SUMIFS(台帳!$I$2:$I$2000,台帳!$A$2:$A$2000,$A128,台帳!$F$2:$F$2000,F$4)</f>
        <v>0</v>
      </c>
      <c r="G128" s="46">
        <f>SUMIFS(台帳!$I$2:$I$2000,台帳!$A$2:$A$2000,$A128,台帳!$F$2:$F$2000,G$4)</f>
        <v>0</v>
      </c>
      <c r="H128" s="46">
        <f>SUMIFS(台帳!$I$2:$I$2000,台帳!$A$2:$A$2000,$A128,台帳!$F$2:$F$2000,H$4)</f>
        <v>0</v>
      </c>
      <c r="I128" s="46">
        <f>SUMIFS(台帳!$I$2:$I$2000,台帳!$A$2:$A$2000,$A128,台帳!$F$2:$F$2000,I$4)</f>
        <v>0</v>
      </c>
      <c r="J128" s="46">
        <f>SUMIFS(台帳!$I$2:$I$2000,台帳!$A$2:$A$2000,$A128,台帳!$F$2:$F$2000,J$4)</f>
        <v>0</v>
      </c>
      <c r="K128" s="46">
        <f>SUMIFS(台帳!$I$2:$I$2000,台帳!$A$2:$A$2000,$A128,台帳!$F$2:$F$2000,K$4)</f>
        <v>0</v>
      </c>
      <c r="L128" s="46">
        <f>SUMIFS(台帳!$I$2:$I$2000,台帳!$A$2:$A$2000,$A128,台帳!$F$2:$F$2000,L$4)</f>
        <v>0</v>
      </c>
      <c r="M128" s="46">
        <f>SUMIFS(台帳!$I$2:$I$2000,台帳!$A$2:$A$2000,$A128,台帳!$F$2:$F$2000,M$4)</f>
        <v>0</v>
      </c>
      <c r="N128" s="46">
        <f>SUMIFS(台帳!$I$2:$I$2000,台帳!$A$2:$A$2000,$A128,台帳!$F$2:$F$2000,N$4)</f>
        <v>0</v>
      </c>
      <c r="O128" s="46">
        <f>SUMIFS(台帳!$I$2:$I$2000,台帳!$A$2:$A$2000,$A128,台帳!$F$2:$F$2000,O$4)</f>
        <v>0</v>
      </c>
      <c r="P128" s="46">
        <f>SUMIFS(台帳!$I$2:$I$2000,台帳!$A$2:$A$2000,$A128,台帳!$F$2:$F$2000,P$4)</f>
        <v>0</v>
      </c>
      <c r="Q128" s="46">
        <f>SUMIFS(台帳!$I$2:$I$2000,台帳!$A$2:$A$2000,$A128,台帳!$F$2:$F$2000,Q$4)</f>
        <v>0</v>
      </c>
      <c r="R128" s="46">
        <f>SUMIFS(台帳!$I$2:$I$2000,台帳!$A$2:$A$2000,$A128,台帳!$F$2:$F$2000,R$4)</f>
        <v>0</v>
      </c>
      <c r="S128" s="46">
        <f>SUMIFS(台帳!$I$2:$I$2000,台帳!$A$2:$A$2000,$A128,台帳!$F$2:$F$2000,S$4)</f>
        <v>0</v>
      </c>
      <c r="T128" s="46">
        <f>SUMIFS(台帳!$I$2:$I$2000,台帳!$A$2:$A$2000,$A128,台帳!$F$2:$F$2000,T$4)</f>
        <v>0</v>
      </c>
      <c r="U128" s="46">
        <f>SUMIFS(台帳!$I$2:$I$2000,台帳!$A$2:$A$2000,$A128,台帳!$F$2:$F$2000,U$4)</f>
        <v>0</v>
      </c>
      <c r="V128" s="46">
        <f>SUMIFS(台帳!$I$2:$I$2000,台帳!$A$2:$A$2000,$A128,台帳!$F$2:$F$2000,V$4)</f>
        <v>0</v>
      </c>
      <c r="W128" s="46">
        <f>SUMIFS(台帳!$I$2:$I$2000,台帳!$A$2:$A$2000,$A128,台帳!$F$2:$F$2000,W$4)</f>
        <v>0</v>
      </c>
      <c r="X128" s="46">
        <f>SUMIFS(台帳!$I$2:$I$2000,台帳!$A$2:$A$2000,$A128,台帳!$F$2:$F$2000,X$4)</f>
        <v>0</v>
      </c>
      <c r="Y128" s="46">
        <f>SUMIFS(台帳!$I$2:$I$2000,台帳!$A$2:$A$2000,$A128,台帳!$F$2:$F$2000,Y$4)</f>
        <v>0</v>
      </c>
      <c r="Z128" s="46">
        <f>SUMIFS(台帳!$I$2:$I$2000,台帳!$A$2:$A$2000,$A128,台帳!$F$2:$F$2000,Z$4)</f>
        <v>0</v>
      </c>
      <c r="AA128" s="46">
        <f>SUMIFS(台帳!$I$2:$I$2000,台帳!$A$2:$A$2000,$A128,台帳!$F$2:$F$2000,AA$4)</f>
        <v>0</v>
      </c>
      <c r="AB128" s="46">
        <f>SUMIFS(台帳!$I$2:$I$2000,台帳!$A$2:$A$2000,$A128,台帳!$F$2:$F$2000,AB$4)</f>
        <v>0</v>
      </c>
      <c r="AC128" s="46">
        <f>SUMIFS(台帳!$I$2:$I$2000,台帳!$A$2:$A$2000,$A128,台帳!$F$2:$F$2000,AC$4)</f>
        <v>0</v>
      </c>
      <c r="AD128" s="46">
        <f>SUMIFS(台帳!$I$2:$I$2000,台帳!$A$2:$A$2000,$A128,台帳!$F$2:$F$2000,AD$4)</f>
        <v>0</v>
      </c>
      <c r="AE128" s="46">
        <f>SUMIFS(台帳!$I$2:$I$2000,台帳!$A$2:$A$2000,$A128,台帳!$F$2:$F$2000,AE$4)</f>
        <v>3</v>
      </c>
      <c r="AF128" s="46">
        <f>SUMIFS(台帳!$I$2:$I$2000,台帳!$A$2:$A$2000,$A128,台帳!$F$2:$F$2000,AF$4)</f>
        <v>0</v>
      </c>
      <c r="AG128" s="46">
        <f>SUMIFS(台帳!$I$2:$I$2000,台帳!$A$2:$A$2000,$A128,台帳!$F$2:$F$2000,AG$4)</f>
        <v>0</v>
      </c>
      <c r="AH128" s="46">
        <f>SUMIFS(台帳!$I$2:$I$2000,台帳!$A$2:$A$2000,$A128,台帳!$F$2:$F$2000,AH$4)</f>
        <v>0</v>
      </c>
      <c r="AI128" s="46">
        <f>SUMIFS(台帳!$I$2:$I$2000,台帳!$A$2:$A$2000,$A128,台帳!$F$2:$F$2000,AI$4)</f>
        <v>0</v>
      </c>
      <c r="AJ128" s="46">
        <f>SUMIFS(台帳!$I$2:$I$2000,台帳!$A$2:$A$2000,$A128,台帳!$F$2:$F$2000,AJ$4)</f>
        <v>0</v>
      </c>
      <c r="AK128" s="46">
        <f>SUMIFS(台帳!$I$2:$I$2000,台帳!$A$2:$A$2000,$A128,台帳!$F$2:$F$2000,AK$4)</f>
        <v>0</v>
      </c>
      <c r="AL128" s="46">
        <f>SUMIFS(台帳!$I$2:$I$2000,台帳!$A$2:$A$2000,$A128,台帳!$F$2:$F$2000,AL$4)</f>
        <v>0</v>
      </c>
      <c r="AM128" s="46">
        <f>SUMIFS(台帳!$I$2:$I$2000,台帳!$A$2:$A$2000,$A128,台帳!$F$2:$F$2000,AM$4)</f>
        <v>0</v>
      </c>
      <c r="AN128" s="46">
        <f>SUMIFS(台帳!$I$2:$I$2000,台帳!$A$2:$A$2000,$A128,台帳!$F$2:$F$2000,AN$4)</f>
        <v>0</v>
      </c>
      <c r="AO128" s="46">
        <f>SUMIFS(台帳!$I$2:$I$2000,台帳!$A$2:$A$2000,$A128,台帳!$F$2:$F$2000,AO$4)</f>
        <v>0</v>
      </c>
      <c r="AP128" s="46">
        <f>SUMIFS(台帳!$I$2:$I$2000,台帳!$A$2:$A$2000,$A128,台帳!$F$2:$F$2000,AP$4)</f>
        <v>0</v>
      </c>
      <c r="AQ128" s="46">
        <f>SUMIFS(台帳!$I$2:$I$2000,台帳!$A$2:$A$2000,$A128,台帳!$F$2:$F$2000,AQ$4)</f>
        <v>0</v>
      </c>
      <c r="AR128" s="46">
        <f>SUM(C128:AQ128)</f>
        <v>3</v>
      </c>
    </row>
    <row r="129" spans="1:44" ht="17.25" x14ac:dyDescent="0.35">
      <c r="A129" s="44">
        <v>46256</v>
      </c>
      <c r="B129" s="45" t="str">
        <f>CHOOSE(WEEKDAY(A129),"日","月","火","水","木","金","土")</f>
        <v>土</v>
      </c>
      <c r="C129" s="46">
        <f>SUMIFS(台帳!$I$2:$I$2000,台帳!$A$2:$A$2000,$A129,台帳!$F$2:$F$2000,C$4)</f>
        <v>0</v>
      </c>
      <c r="D129" s="46">
        <f>SUMIFS(台帳!$I$2:$I$2000,台帳!$A$2:$A$2000,$A129,台帳!$F$2:$F$2000,D$4)</f>
        <v>0</v>
      </c>
      <c r="E129" s="46">
        <f>SUMIFS(台帳!$I$2:$I$2000,台帳!$A$2:$A$2000,$A129,台帳!$F$2:$F$2000,E$4)</f>
        <v>0</v>
      </c>
      <c r="F129" s="46">
        <f>SUMIFS(台帳!$I$2:$I$2000,台帳!$A$2:$A$2000,$A129,台帳!$F$2:$F$2000,F$4)</f>
        <v>0</v>
      </c>
      <c r="G129" s="46">
        <f>SUMIFS(台帳!$I$2:$I$2000,台帳!$A$2:$A$2000,$A129,台帳!$F$2:$F$2000,G$4)</f>
        <v>0</v>
      </c>
      <c r="H129" s="46">
        <f>SUMIFS(台帳!$I$2:$I$2000,台帳!$A$2:$A$2000,$A129,台帳!$F$2:$F$2000,H$4)</f>
        <v>0</v>
      </c>
      <c r="I129" s="46">
        <f>SUMIFS(台帳!$I$2:$I$2000,台帳!$A$2:$A$2000,$A129,台帳!$F$2:$F$2000,I$4)</f>
        <v>0</v>
      </c>
      <c r="J129" s="46">
        <f>SUMIFS(台帳!$I$2:$I$2000,台帳!$A$2:$A$2000,$A129,台帳!$F$2:$F$2000,J$4)</f>
        <v>0</v>
      </c>
      <c r="K129" s="46">
        <f>SUMIFS(台帳!$I$2:$I$2000,台帳!$A$2:$A$2000,$A129,台帳!$F$2:$F$2000,K$4)</f>
        <v>0</v>
      </c>
      <c r="L129" s="46">
        <f>SUMIFS(台帳!$I$2:$I$2000,台帳!$A$2:$A$2000,$A129,台帳!$F$2:$F$2000,L$4)</f>
        <v>0</v>
      </c>
      <c r="M129" s="46">
        <f>SUMIFS(台帳!$I$2:$I$2000,台帳!$A$2:$A$2000,$A129,台帳!$F$2:$F$2000,M$4)</f>
        <v>0</v>
      </c>
      <c r="N129" s="46">
        <f>SUMIFS(台帳!$I$2:$I$2000,台帳!$A$2:$A$2000,$A129,台帳!$F$2:$F$2000,N$4)</f>
        <v>0</v>
      </c>
      <c r="O129" s="46">
        <f>SUMIFS(台帳!$I$2:$I$2000,台帳!$A$2:$A$2000,$A129,台帳!$F$2:$F$2000,O$4)</f>
        <v>0</v>
      </c>
      <c r="P129" s="46">
        <f>SUMIFS(台帳!$I$2:$I$2000,台帳!$A$2:$A$2000,$A129,台帳!$F$2:$F$2000,P$4)</f>
        <v>0</v>
      </c>
      <c r="Q129" s="46">
        <f>SUMIFS(台帳!$I$2:$I$2000,台帳!$A$2:$A$2000,$A129,台帳!$F$2:$F$2000,Q$4)</f>
        <v>0</v>
      </c>
      <c r="R129" s="46">
        <f>SUMIFS(台帳!$I$2:$I$2000,台帳!$A$2:$A$2000,$A129,台帳!$F$2:$F$2000,R$4)</f>
        <v>0</v>
      </c>
      <c r="S129" s="46">
        <f>SUMIFS(台帳!$I$2:$I$2000,台帳!$A$2:$A$2000,$A129,台帳!$F$2:$F$2000,S$4)</f>
        <v>0</v>
      </c>
      <c r="T129" s="46">
        <f>SUMIFS(台帳!$I$2:$I$2000,台帳!$A$2:$A$2000,$A129,台帳!$F$2:$F$2000,T$4)</f>
        <v>0</v>
      </c>
      <c r="U129" s="46">
        <f>SUMIFS(台帳!$I$2:$I$2000,台帳!$A$2:$A$2000,$A129,台帳!$F$2:$F$2000,U$4)</f>
        <v>0</v>
      </c>
      <c r="V129" s="46">
        <f>SUMIFS(台帳!$I$2:$I$2000,台帳!$A$2:$A$2000,$A129,台帳!$F$2:$F$2000,V$4)</f>
        <v>0</v>
      </c>
      <c r="W129" s="46">
        <f>SUMIFS(台帳!$I$2:$I$2000,台帳!$A$2:$A$2000,$A129,台帳!$F$2:$F$2000,W$4)</f>
        <v>0</v>
      </c>
      <c r="X129" s="46">
        <f>SUMIFS(台帳!$I$2:$I$2000,台帳!$A$2:$A$2000,$A129,台帳!$F$2:$F$2000,X$4)</f>
        <v>1</v>
      </c>
      <c r="Y129" s="46">
        <f>SUMIFS(台帳!$I$2:$I$2000,台帳!$A$2:$A$2000,$A129,台帳!$F$2:$F$2000,Y$4)</f>
        <v>0</v>
      </c>
      <c r="Z129" s="46">
        <f>SUMIFS(台帳!$I$2:$I$2000,台帳!$A$2:$A$2000,$A129,台帳!$F$2:$F$2000,Z$4)</f>
        <v>0</v>
      </c>
      <c r="AA129" s="46">
        <f>SUMIFS(台帳!$I$2:$I$2000,台帳!$A$2:$A$2000,$A129,台帳!$F$2:$F$2000,AA$4)</f>
        <v>0</v>
      </c>
      <c r="AB129" s="46">
        <f>SUMIFS(台帳!$I$2:$I$2000,台帳!$A$2:$A$2000,$A129,台帳!$F$2:$F$2000,AB$4)</f>
        <v>0</v>
      </c>
      <c r="AC129" s="46">
        <f>SUMIFS(台帳!$I$2:$I$2000,台帳!$A$2:$A$2000,$A129,台帳!$F$2:$F$2000,AC$4)</f>
        <v>3</v>
      </c>
      <c r="AD129" s="46">
        <f>SUMIFS(台帳!$I$2:$I$2000,台帳!$A$2:$A$2000,$A129,台帳!$F$2:$F$2000,AD$4)</f>
        <v>0</v>
      </c>
      <c r="AE129" s="46">
        <f>SUMIFS(台帳!$I$2:$I$2000,台帳!$A$2:$A$2000,$A129,台帳!$F$2:$F$2000,AE$4)</f>
        <v>3</v>
      </c>
      <c r="AF129" s="46">
        <f>SUMIFS(台帳!$I$2:$I$2000,台帳!$A$2:$A$2000,$A129,台帳!$F$2:$F$2000,AF$4)</f>
        <v>0</v>
      </c>
      <c r="AG129" s="46">
        <f>SUMIFS(台帳!$I$2:$I$2000,台帳!$A$2:$A$2000,$A129,台帳!$F$2:$F$2000,AG$4)</f>
        <v>0</v>
      </c>
      <c r="AH129" s="46">
        <f>SUMIFS(台帳!$I$2:$I$2000,台帳!$A$2:$A$2000,$A129,台帳!$F$2:$F$2000,AH$4)</f>
        <v>0</v>
      </c>
      <c r="AI129" s="46">
        <f>SUMIFS(台帳!$I$2:$I$2000,台帳!$A$2:$A$2000,$A129,台帳!$F$2:$F$2000,AI$4)</f>
        <v>0</v>
      </c>
      <c r="AJ129" s="46">
        <f>SUMIFS(台帳!$I$2:$I$2000,台帳!$A$2:$A$2000,$A129,台帳!$F$2:$F$2000,AJ$4)</f>
        <v>0</v>
      </c>
      <c r="AK129" s="46">
        <f>SUMIFS(台帳!$I$2:$I$2000,台帳!$A$2:$A$2000,$A129,台帳!$F$2:$F$2000,AK$4)</f>
        <v>0</v>
      </c>
      <c r="AL129" s="46">
        <f>SUMIFS(台帳!$I$2:$I$2000,台帳!$A$2:$A$2000,$A129,台帳!$F$2:$F$2000,AL$4)</f>
        <v>1</v>
      </c>
      <c r="AM129" s="46">
        <f>SUMIFS(台帳!$I$2:$I$2000,台帳!$A$2:$A$2000,$A129,台帳!$F$2:$F$2000,AM$4)</f>
        <v>0</v>
      </c>
      <c r="AN129" s="46">
        <f>SUMIFS(台帳!$I$2:$I$2000,台帳!$A$2:$A$2000,$A129,台帳!$F$2:$F$2000,AN$4)</f>
        <v>0</v>
      </c>
      <c r="AO129" s="46">
        <f>SUMIFS(台帳!$I$2:$I$2000,台帳!$A$2:$A$2000,$A129,台帳!$F$2:$F$2000,AO$4)</f>
        <v>0</v>
      </c>
      <c r="AP129" s="46">
        <f>SUMIFS(台帳!$I$2:$I$2000,台帳!$A$2:$A$2000,$A129,台帳!$F$2:$F$2000,AP$4)</f>
        <v>0</v>
      </c>
      <c r="AQ129" s="46">
        <f>SUMIFS(台帳!$I$2:$I$2000,台帳!$A$2:$A$2000,$A129,台帳!$F$2:$F$2000,AQ$4)</f>
        <v>0</v>
      </c>
      <c r="AR129" s="46">
        <f>SUM(C129:AQ129)</f>
        <v>8</v>
      </c>
    </row>
    <row r="130" spans="1:44" ht="17.25" x14ac:dyDescent="0.35">
      <c r="A130" s="44">
        <v>46257</v>
      </c>
      <c r="B130" s="45" t="str">
        <f>CHOOSE(WEEKDAY(A130),"日","月","火","水","木","金","土")</f>
        <v>日</v>
      </c>
      <c r="C130" s="46">
        <f>SUMIFS(台帳!$I$2:$I$2000,台帳!$A$2:$A$2000,$A130,台帳!$F$2:$F$2000,C$4)</f>
        <v>0</v>
      </c>
      <c r="D130" s="46">
        <f>SUMIFS(台帳!$I$2:$I$2000,台帳!$A$2:$A$2000,$A130,台帳!$F$2:$F$2000,D$4)</f>
        <v>0</v>
      </c>
      <c r="E130" s="46">
        <f>SUMIFS(台帳!$I$2:$I$2000,台帳!$A$2:$A$2000,$A130,台帳!$F$2:$F$2000,E$4)</f>
        <v>0</v>
      </c>
      <c r="F130" s="46">
        <f>SUMIFS(台帳!$I$2:$I$2000,台帳!$A$2:$A$2000,$A130,台帳!$F$2:$F$2000,F$4)</f>
        <v>0</v>
      </c>
      <c r="G130" s="46">
        <f>SUMIFS(台帳!$I$2:$I$2000,台帳!$A$2:$A$2000,$A130,台帳!$F$2:$F$2000,G$4)</f>
        <v>0</v>
      </c>
      <c r="H130" s="46">
        <f>SUMIFS(台帳!$I$2:$I$2000,台帳!$A$2:$A$2000,$A130,台帳!$F$2:$F$2000,H$4)</f>
        <v>0</v>
      </c>
      <c r="I130" s="46">
        <f>SUMIFS(台帳!$I$2:$I$2000,台帳!$A$2:$A$2000,$A130,台帳!$F$2:$F$2000,I$4)</f>
        <v>0</v>
      </c>
      <c r="J130" s="46">
        <f>SUMIFS(台帳!$I$2:$I$2000,台帳!$A$2:$A$2000,$A130,台帳!$F$2:$F$2000,J$4)</f>
        <v>0</v>
      </c>
      <c r="K130" s="46">
        <f>SUMIFS(台帳!$I$2:$I$2000,台帳!$A$2:$A$2000,$A130,台帳!$F$2:$F$2000,K$4)</f>
        <v>0</v>
      </c>
      <c r="L130" s="46">
        <f>SUMIFS(台帳!$I$2:$I$2000,台帳!$A$2:$A$2000,$A130,台帳!$F$2:$F$2000,L$4)</f>
        <v>0</v>
      </c>
      <c r="M130" s="46">
        <f>SUMIFS(台帳!$I$2:$I$2000,台帳!$A$2:$A$2000,$A130,台帳!$F$2:$F$2000,M$4)</f>
        <v>0</v>
      </c>
      <c r="N130" s="46">
        <f>SUMIFS(台帳!$I$2:$I$2000,台帳!$A$2:$A$2000,$A130,台帳!$F$2:$F$2000,N$4)</f>
        <v>0</v>
      </c>
      <c r="O130" s="46">
        <f>SUMIFS(台帳!$I$2:$I$2000,台帳!$A$2:$A$2000,$A130,台帳!$F$2:$F$2000,O$4)</f>
        <v>0</v>
      </c>
      <c r="P130" s="46">
        <f>SUMIFS(台帳!$I$2:$I$2000,台帳!$A$2:$A$2000,$A130,台帳!$F$2:$F$2000,P$4)</f>
        <v>0</v>
      </c>
      <c r="Q130" s="46">
        <f>SUMIFS(台帳!$I$2:$I$2000,台帳!$A$2:$A$2000,$A130,台帳!$F$2:$F$2000,Q$4)</f>
        <v>0</v>
      </c>
      <c r="R130" s="46">
        <f>SUMIFS(台帳!$I$2:$I$2000,台帳!$A$2:$A$2000,$A130,台帳!$F$2:$F$2000,R$4)</f>
        <v>0</v>
      </c>
      <c r="S130" s="46">
        <f>SUMIFS(台帳!$I$2:$I$2000,台帳!$A$2:$A$2000,$A130,台帳!$F$2:$F$2000,S$4)</f>
        <v>0</v>
      </c>
      <c r="T130" s="46">
        <f>SUMIFS(台帳!$I$2:$I$2000,台帳!$A$2:$A$2000,$A130,台帳!$F$2:$F$2000,T$4)</f>
        <v>0</v>
      </c>
      <c r="U130" s="46">
        <f>SUMIFS(台帳!$I$2:$I$2000,台帳!$A$2:$A$2000,$A130,台帳!$F$2:$F$2000,U$4)</f>
        <v>0</v>
      </c>
      <c r="V130" s="46">
        <f>SUMIFS(台帳!$I$2:$I$2000,台帳!$A$2:$A$2000,$A130,台帳!$F$2:$F$2000,V$4)</f>
        <v>0</v>
      </c>
      <c r="W130" s="46">
        <f>SUMIFS(台帳!$I$2:$I$2000,台帳!$A$2:$A$2000,$A130,台帳!$F$2:$F$2000,W$4)</f>
        <v>0</v>
      </c>
      <c r="X130" s="46">
        <f>SUMIFS(台帳!$I$2:$I$2000,台帳!$A$2:$A$2000,$A130,台帳!$F$2:$F$2000,X$4)</f>
        <v>0</v>
      </c>
      <c r="Y130" s="46">
        <f>SUMIFS(台帳!$I$2:$I$2000,台帳!$A$2:$A$2000,$A130,台帳!$F$2:$F$2000,Y$4)</f>
        <v>0</v>
      </c>
      <c r="Z130" s="46">
        <f>SUMIFS(台帳!$I$2:$I$2000,台帳!$A$2:$A$2000,$A130,台帳!$F$2:$F$2000,Z$4)</f>
        <v>0</v>
      </c>
      <c r="AA130" s="46">
        <f>SUMIFS(台帳!$I$2:$I$2000,台帳!$A$2:$A$2000,$A130,台帳!$F$2:$F$2000,AA$4)</f>
        <v>0</v>
      </c>
      <c r="AB130" s="46">
        <f>SUMIFS(台帳!$I$2:$I$2000,台帳!$A$2:$A$2000,$A130,台帳!$F$2:$F$2000,AB$4)</f>
        <v>0</v>
      </c>
      <c r="AC130" s="46">
        <f>SUMIFS(台帳!$I$2:$I$2000,台帳!$A$2:$A$2000,$A130,台帳!$F$2:$F$2000,AC$4)</f>
        <v>0</v>
      </c>
      <c r="AD130" s="46">
        <f>SUMIFS(台帳!$I$2:$I$2000,台帳!$A$2:$A$2000,$A130,台帳!$F$2:$F$2000,AD$4)</f>
        <v>0</v>
      </c>
      <c r="AE130" s="46">
        <f>SUMIFS(台帳!$I$2:$I$2000,台帳!$A$2:$A$2000,$A130,台帳!$F$2:$F$2000,AE$4)</f>
        <v>0</v>
      </c>
      <c r="AF130" s="46">
        <f>SUMIFS(台帳!$I$2:$I$2000,台帳!$A$2:$A$2000,$A130,台帳!$F$2:$F$2000,AF$4)</f>
        <v>0</v>
      </c>
      <c r="AG130" s="46">
        <f>SUMIFS(台帳!$I$2:$I$2000,台帳!$A$2:$A$2000,$A130,台帳!$F$2:$F$2000,AG$4)</f>
        <v>0</v>
      </c>
      <c r="AH130" s="46">
        <f>SUMIFS(台帳!$I$2:$I$2000,台帳!$A$2:$A$2000,$A130,台帳!$F$2:$F$2000,AH$4)</f>
        <v>0</v>
      </c>
      <c r="AI130" s="46">
        <f>SUMIFS(台帳!$I$2:$I$2000,台帳!$A$2:$A$2000,$A130,台帳!$F$2:$F$2000,AI$4)</f>
        <v>0</v>
      </c>
      <c r="AJ130" s="46">
        <f>SUMIFS(台帳!$I$2:$I$2000,台帳!$A$2:$A$2000,$A130,台帳!$F$2:$F$2000,AJ$4)</f>
        <v>0</v>
      </c>
      <c r="AK130" s="46">
        <f>SUMIFS(台帳!$I$2:$I$2000,台帳!$A$2:$A$2000,$A130,台帳!$F$2:$F$2000,AK$4)</f>
        <v>0</v>
      </c>
      <c r="AL130" s="46">
        <f>SUMIFS(台帳!$I$2:$I$2000,台帳!$A$2:$A$2000,$A130,台帳!$F$2:$F$2000,AL$4)</f>
        <v>0</v>
      </c>
      <c r="AM130" s="46">
        <f>SUMIFS(台帳!$I$2:$I$2000,台帳!$A$2:$A$2000,$A130,台帳!$F$2:$F$2000,AM$4)</f>
        <v>0</v>
      </c>
      <c r="AN130" s="46">
        <f>SUMIFS(台帳!$I$2:$I$2000,台帳!$A$2:$A$2000,$A130,台帳!$F$2:$F$2000,AN$4)</f>
        <v>0</v>
      </c>
      <c r="AO130" s="46">
        <f>SUMIFS(台帳!$I$2:$I$2000,台帳!$A$2:$A$2000,$A130,台帳!$F$2:$F$2000,AO$4)</f>
        <v>0</v>
      </c>
      <c r="AP130" s="46">
        <f>SUMIFS(台帳!$I$2:$I$2000,台帳!$A$2:$A$2000,$A130,台帳!$F$2:$F$2000,AP$4)</f>
        <v>0</v>
      </c>
      <c r="AQ130" s="46">
        <f>SUMIFS(台帳!$I$2:$I$2000,台帳!$A$2:$A$2000,$A130,台帳!$F$2:$F$2000,AQ$4)</f>
        <v>0</v>
      </c>
      <c r="AR130" s="46">
        <f>SUM(C130:AQ130)</f>
        <v>0</v>
      </c>
    </row>
    <row r="131" spans="1:44" ht="17.25" x14ac:dyDescent="0.35">
      <c r="A131" s="44">
        <v>46258</v>
      </c>
      <c r="B131" s="45" t="str">
        <f>CHOOSE(WEEKDAY(A131),"日","月","火","水","木","金","土")</f>
        <v>月</v>
      </c>
      <c r="C131" s="46">
        <f>SUMIFS(台帳!$I$2:$I$2000,台帳!$A$2:$A$2000,$A131,台帳!$F$2:$F$2000,C$4)</f>
        <v>0</v>
      </c>
      <c r="D131" s="46">
        <f>SUMIFS(台帳!$I$2:$I$2000,台帳!$A$2:$A$2000,$A131,台帳!$F$2:$F$2000,D$4)</f>
        <v>0</v>
      </c>
      <c r="E131" s="46">
        <f>SUMIFS(台帳!$I$2:$I$2000,台帳!$A$2:$A$2000,$A131,台帳!$F$2:$F$2000,E$4)</f>
        <v>0</v>
      </c>
      <c r="F131" s="46">
        <f>SUMIFS(台帳!$I$2:$I$2000,台帳!$A$2:$A$2000,$A131,台帳!$F$2:$F$2000,F$4)</f>
        <v>0</v>
      </c>
      <c r="G131" s="46">
        <f>SUMIFS(台帳!$I$2:$I$2000,台帳!$A$2:$A$2000,$A131,台帳!$F$2:$F$2000,G$4)</f>
        <v>0</v>
      </c>
      <c r="H131" s="46">
        <f>SUMIFS(台帳!$I$2:$I$2000,台帳!$A$2:$A$2000,$A131,台帳!$F$2:$F$2000,H$4)</f>
        <v>0</v>
      </c>
      <c r="I131" s="46">
        <f>SUMIFS(台帳!$I$2:$I$2000,台帳!$A$2:$A$2000,$A131,台帳!$F$2:$F$2000,I$4)</f>
        <v>0</v>
      </c>
      <c r="J131" s="46">
        <f>SUMIFS(台帳!$I$2:$I$2000,台帳!$A$2:$A$2000,$A131,台帳!$F$2:$F$2000,J$4)</f>
        <v>0</v>
      </c>
      <c r="K131" s="46">
        <f>SUMIFS(台帳!$I$2:$I$2000,台帳!$A$2:$A$2000,$A131,台帳!$F$2:$F$2000,K$4)</f>
        <v>0</v>
      </c>
      <c r="L131" s="46">
        <f>SUMIFS(台帳!$I$2:$I$2000,台帳!$A$2:$A$2000,$A131,台帳!$F$2:$F$2000,L$4)</f>
        <v>0</v>
      </c>
      <c r="M131" s="46">
        <f>SUMIFS(台帳!$I$2:$I$2000,台帳!$A$2:$A$2000,$A131,台帳!$F$2:$F$2000,M$4)</f>
        <v>0</v>
      </c>
      <c r="N131" s="46">
        <f>SUMIFS(台帳!$I$2:$I$2000,台帳!$A$2:$A$2000,$A131,台帳!$F$2:$F$2000,N$4)</f>
        <v>0</v>
      </c>
      <c r="O131" s="46">
        <f>SUMIFS(台帳!$I$2:$I$2000,台帳!$A$2:$A$2000,$A131,台帳!$F$2:$F$2000,O$4)</f>
        <v>0</v>
      </c>
      <c r="P131" s="46">
        <f>SUMIFS(台帳!$I$2:$I$2000,台帳!$A$2:$A$2000,$A131,台帳!$F$2:$F$2000,P$4)</f>
        <v>0</v>
      </c>
      <c r="Q131" s="46">
        <f>SUMIFS(台帳!$I$2:$I$2000,台帳!$A$2:$A$2000,$A131,台帳!$F$2:$F$2000,Q$4)</f>
        <v>0</v>
      </c>
      <c r="R131" s="46">
        <f>SUMIFS(台帳!$I$2:$I$2000,台帳!$A$2:$A$2000,$A131,台帳!$F$2:$F$2000,R$4)</f>
        <v>0</v>
      </c>
      <c r="S131" s="46">
        <f>SUMIFS(台帳!$I$2:$I$2000,台帳!$A$2:$A$2000,$A131,台帳!$F$2:$F$2000,S$4)</f>
        <v>0</v>
      </c>
      <c r="T131" s="46">
        <f>SUMIFS(台帳!$I$2:$I$2000,台帳!$A$2:$A$2000,$A131,台帳!$F$2:$F$2000,T$4)</f>
        <v>0</v>
      </c>
      <c r="U131" s="46">
        <f>SUMIFS(台帳!$I$2:$I$2000,台帳!$A$2:$A$2000,$A131,台帳!$F$2:$F$2000,U$4)</f>
        <v>0</v>
      </c>
      <c r="V131" s="46">
        <f>SUMIFS(台帳!$I$2:$I$2000,台帳!$A$2:$A$2000,$A131,台帳!$F$2:$F$2000,V$4)</f>
        <v>0</v>
      </c>
      <c r="W131" s="46">
        <f>SUMIFS(台帳!$I$2:$I$2000,台帳!$A$2:$A$2000,$A131,台帳!$F$2:$F$2000,W$4)</f>
        <v>0</v>
      </c>
      <c r="X131" s="46">
        <f>SUMIFS(台帳!$I$2:$I$2000,台帳!$A$2:$A$2000,$A131,台帳!$F$2:$F$2000,X$4)</f>
        <v>0</v>
      </c>
      <c r="Y131" s="46">
        <f>SUMIFS(台帳!$I$2:$I$2000,台帳!$A$2:$A$2000,$A131,台帳!$F$2:$F$2000,Y$4)</f>
        <v>0</v>
      </c>
      <c r="Z131" s="46">
        <f>SUMIFS(台帳!$I$2:$I$2000,台帳!$A$2:$A$2000,$A131,台帳!$F$2:$F$2000,Z$4)</f>
        <v>0</v>
      </c>
      <c r="AA131" s="46">
        <f>SUMIFS(台帳!$I$2:$I$2000,台帳!$A$2:$A$2000,$A131,台帳!$F$2:$F$2000,AA$4)</f>
        <v>0</v>
      </c>
      <c r="AB131" s="46">
        <f>SUMIFS(台帳!$I$2:$I$2000,台帳!$A$2:$A$2000,$A131,台帳!$F$2:$F$2000,AB$4)</f>
        <v>0</v>
      </c>
      <c r="AC131" s="46">
        <f>SUMIFS(台帳!$I$2:$I$2000,台帳!$A$2:$A$2000,$A131,台帳!$F$2:$F$2000,AC$4)</f>
        <v>0</v>
      </c>
      <c r="AD131" s="46">
        <f>SUMIFS(台帳!$I$2:$I$2000,台帳!$A$2:$A$2000,$A131,台帳!$F$2:$F$2000,AD$4)</f>
        <v>0</v>
      </c>
      <c r="AE131" s="46">
        <f>SUMIFS(台帳!$I$2:$I$2000,台帳!$A$2:$A$2000,$A131,台帳!$F$2:$F$2000,AE$4)</f>
        <v>3</v>
      </c>
      <c r="AF131" s="46">
        <f>SUMIFS(台帳!$I$2:$I$2000,台帳!$A$2:$A$2000,$A131,台帳!$F$2:$F$2000,AF$4)</f>
        <v>0</v>
      </c>
      <c r="AG131" s="46">
        <f>SUMIFS(台帳!$I$2:$I$2000,台帳!$A$2:$A$2000,$A131,台帳!$F$2:$F$2000,AG$4)</f>
        <v>0</v>
      </c>
      <c r="AH131" s="46">
        <f>SUMIFS(台帳!$I$2:$I$2000,台帳!$A$2:$A$2000,$A131,台帳!$F$2:$F$2000,AH$4)</f>
        <v>0</v>
      </c>
      <c r="AI131" s="46">
        <f>SUMIFS(台帳!$I$2:$I$2000,台帳!$A$2:$A$2000,$A131,台帳!$F$2:$F$2000,AI$4)</f>
        <v>0</v>
      </c>
      <c r="AJ131" s="46">
        <f>SUMIFS(台帳!$I$2:$I$2000,台帳!$A$2:$A$2000,$A131,台帳!$F$2:$F$2000,AJ$4)</f>
        <v>0</v>
      </c>
      <c r="AK131" s="46">
        <f>SUMIFS(台帳!$I$2:$I$2000,台帳!$A$2:$A$2000,$A131,台帳!$F$2:$F$2000,AK$4)</f>
        <v>0</v>
      </c>
      <c r="AL131" s="46">
        <f>SUMIFS(台帳!$I$2:$I$2000,台帳!$A$2:$A$2000,$A131,台帳!$F$2:$F$2000,AL$4)</f>
        <v>0</v>
      </c>
      <c r="AM131" s="46">
        <f>SUMIFS(台帳!$I$2:$I$2000,台帳!$A$2:$A$2000,$A131,台帳!$F$2:$F$2000,AM$4)</f>
        <v>0</v>
      </c>
      <c r="AN131" s="46">
        <f>SUMIFS(台帳!$I$2:$I$2000,台帳!$A$2:$A$2000,$A131,台帳!$F$2:$F$2000,AN$4)</f>
        <v>0</v>
      </c>
      <c r="AO131" s="46">
        <f>SUMIFS(台帳!$I$2:$I$2000,台帳!$A$2:$A$2000,$A131,台帳!$F$2:$F$2000,AO$4)</f>
        <v>0</v>
      </c>
      <c r="AP131" s="46">
        <f>SUMIFS(台帳!$I$2:$I$2000,台帳!$A$2:$A$2000,$A131,台帳!$F$2:$F$2000,AP$4)</f>
        <v>0</v>
      </c>
      <c r="AQ131" s="46">
        <f>SUMIFS(台帳!$I$2:$I$2000,台帳!$A$2:$A$2000,$A131,台帳!$F$2:$F$2000,AQ$4)</f>
        <v>0</v>
      </c>
      <c r="AR131" s="46">
        <f>SUM(C131:AQ131)</f>
        <v>3</v>
      </c>
    </row>
    <row r="132" spans="1:44" ht="17.25" x14ac:dyDescent="0.35">
      <c r="A132" s="44">
        <v>46259</v>
      </c>
      <c r="B132" s="45" t="str">
        <f>CHOOSE(WEEKDAY(A132),"日","月","火","水","木","金","土")</f>
        <v>火</v>
      </c>
      <c r="C132" s="46">
        <f>SUMIFS(台帳!$I$2:$I$2000,台帳!$A$2:$A$2000,$A132,台帳!$F$2:$F$2000,C$4)</f>
        <v>0</v>
      </c>
      <c r="D132" s="46">
        <f>SUMIFS(台帳!$I$2:$I$2000,台帳!$A$2:$A$2000,$A132,台帳!$F$2:$F$2000,D$4)</f>
        <v>0</v>
      </c>
      <c r="E132" s="46">
        <f>SUMIFS(台帳!$I$2:$I$2000,台帳!$A$2:$A$2000,$A132,台帳!$F$2:$F$2000,E$4)</f>
        <v>0</v>
      </c>
      <c r="F132" s="46">
        <f>SUMIFS(台帳!$I$2:$I$2000,台帳!$A$2:$A$2000,$A132,台帳!$F$2:$F$2000,F$4)</f>
        <v>0</v>
      </c>
      <c r="G132" s="46">
        <f>SUMIFS(台帳!$I$2:$I$2000,台帳!$A$2:$A$2000,$A132,台帳!$F$2:$F$2000,G$4)</f>
        <v>0</v>
      </c>
      <c r="H132" s="46">
        <f>SUMIFS(台帳!$I$2:$I$2000,台帳!$A$2:$A$2000,$A132,台帳!$F$2:$F$2000,H$4)</f>
        <v>0</v>
      </c>
      <c r="I132" s="46">
        <f>SUMIFS(台帳!$I$2:$I$2000,台帳!$A$2:$A$2000,$A132,台帳!$F$2:$F$2000,I$4)</f>
        <v>0</v>
      </c>
      <c r="J132" s="46">
        <f>SUMIFS(台帳!$I$2:$I$2000,台帳!$A$2:$A$2000,$A132,台帳!$F$2:$F$2000,J$4)</f>
        <v>0</v>
      </c>
      <c r="K132" s="46">
        <f>SUMIFS(台帳!$I$2:$I$2000,台帳!$A$2:$A$2000,$A132,台帳!$F$2:$F$2000,K$4)</f>
        <v>0</v>
      </c>
      <c r="L132" s="46">
        <f>SUMIFS(台帳!$I$2:$I$2000,台帳!$A$2:$A$2000,$A132,台帳!$F$2:$F$2000,L$4)</f>
        <v>0</v>
      </c>
      <c r="M132" s="46">
        <f>SUMIFS(台帳!$I$2:$I$2000,台帳!$A$2:$A$2000,$A132,台帳!$F$2:$F$2000,M$4)</f>
        <v>0</v>
      </c>
      <c r="N132" s="46">
        <f>SUMIFS(台帳!$I$2:$I$2000,台帳!$A$2:$A$2000,$A132,台帳!$F$2:$F$2000,N$4)</f>
        <v>0</v>
      </c>
      <c r="O132" s="46">
        <f>SUMIFS(台帳!$I$2:$I$2000,台帳!$A$2:$A$2000,$A132,台帳!$F$2:$F$2000,O$4)</f>
        <v>0</v>
      </c>
      <c r="P132" s="46">
        <f>SUMIFS(台帳!$I$2:$I$2000,台帳!$A$2:$A$2000,$A132,台帳!$F$2:$F$2000,P$4)</f>
        <v>0</v>
      </c>
      <c r="Q132" s="46">
        <f>SUMIFS(台帳!$I$2:$I$2000,台帳!$A$2:$A$2000,$A132,台帳!$F$2:$F$2000,Q$4)</f>
        <v>0</v>
      </c>
      <c r="R132" s="46">
        <f>SUMIFS(台帳!$I$2:$I$2000,台帳!$A$2:$A$2000,$A132,台帳!$F$2:$F$2000,R$4)</f>
        <v>0</v>
      </c>
      <c r="S132" s="46">
        <f>SUMIFS(台帳!$I$2:$I$2000,台帳!$A$2:$A$2000,$A132,台帳!$F$2:$F$2000,S$4)</f>
        <v>0</v>
      </c>
      <c r="T132" s="46">
        <f>SUMIFS(台帳!$I$2:$I$2000,台帳!$A$2:$A$2000,$A132,台帳!$F$2:$F$2000,T$4)</f>
        <v>0</v>
      </c>
      <c r="U132" s="46">
        <f>SUMIFS(台帳!$I$2:$I$2000,台帳!$A$2:$A$2000,$A132,台帳!$F$2:$F$2000,U$4)</f>
        <v>0</v>
      </c>
      <c r="V132" s="46">
        <f>SUMIFS(台帳!$I$2:$I$2000,台帳!$A$2:$A$2000,$A132,台帳!$F$2:$F$2000,V$4)</f>
        <v>0</v>
      </c>
      <c r="W132" s="46">
        <f>SUMIFS(台帳!$I$2:$I$2000,台帳!$A$2:$A$2000,$A132,台帳!$F$2:$F$2000,W$4)</f>
        <v>0</v>
      </c>
      <c r="X132" s="46">
        <f>SUMIFS(台帳!$I$2:$I$2000,台帳!$A$2:$A$2000,$A132,台帳!$F$2:$F$2000,X$4)</f>
        <v>1</v>
      </c>
      <c r="Y132" s="46">
        <f>SUMIFS(台帳!$I$2:$I$2000,台帳!$A$2:$A$2000,$A132,台帳!$F$2:$F$2000,Y$4)</f>
        <v>0</v>
      </c>
      <c r="Z132" s="46">
        <f>SUMIFS(台帳!$I$2:$I$2000,台帳!$A$2:$A$2000,$A132,台帳!$F$2:$F$2000,Z$4)</f>
        <v>0</v>
      </c>
      <c r="AA132" s="46">
        <f>SUMIFS(台帳!$I$2:$I$2000,台帳!$A$2:$A$2000,$A132,台帳!$F$2:$F$2000,AA$4)</f>
        <v>0</v>
      </c>
      <c r="AB132" s="46">
        <f>SUMIFS(台帳!$I$2:$I$2000,台帳!$A$2:$A$2000,$A132,台帳!$F$2:$F$2000,AB$4)</f>
        <v>0</v>
      </c>
      <c r="AC132" s="46">
        <f>SUMIFS(台帳!$I$2:$I$2000,台帳!$A$2:$A$2000,$A132,台帳!$F$2:$F$2000,AC$4)</f>
        <v>0</v>
      </c>
      <c r="AD132" s="46">
        <f>SUMIFS(台帳!$I$2:$I$2000,台帳!$A$2:$A$2000,$A132,台帳!$F$2:$F$2000,AD$4)</f>
        <v>0</v>
      </c>
      <c r="AE132" s="46">
        <f>SUMIFS(台帳!$I$2:$I$2000,台帳!$A$2:$A$2000,$A132,台帳!$F$2:$F$2000,AE$4)</f>
        <v>3</v>
      </c>
      <c r="AF132" s="46">
        <f>SUMIFS(台帳!$I$2:$I$2000,台帳!$A$2:$A$2000,$A132,台帳!$F$2:$F$2000,AF$4)</f>
        <v>0</v>
      </c>
      <c r="AG132" s="46">
        <f>SUMIFS(台帳!$I$2:$I$2000,台帳!$A$2:$A$2000,$A132,台帳!$F$2:$F$2000,AG$4)</f>
        <v>0</v>
      </c>
      <c r="AH132" s="46">
        <f>SUMIFS(台帳!$I$2:$I$2000,台帳!$A$2:$A$2000,$A132,台帳!$F$2:$F$2000,AH$4)</f>
        <v>2</v>
      </c>
      <c r="AI132" s="46">
        <f>SUMIFS(台帳!$I$2:$I$2000,台帳!$A$2:$A$2000,$A132,台帳!$F$2:$F$2000,AI$4)</f>
        <v>0</v>
      </c>
      <c r="AJ132" s="46">
        <f>SUMIFS(台帳!$I$2:$I$2000,台帳!$A$2:$A$2000,$A132,台帳!$F$2:$F$2000,AJ$4)</f>
        <v>0</v>
      </c>
      <c r="AK132" s="46">
        <f>SUMIFS(台帳!$I$2:$I$2000,台帳!$A$2:$A$2000,$A132,台帳!$F$2:$F$2000,AK$4)</f>
        <v>0</v>
      </c>
      <c r="AL132" s="46">
        <f>SUMIFS(台帳!$I$2:$I$2000,台帳!$A$2:$A$2000,$A132,台帳!$F$2:$F$2000,AL$4)</f>
        <v>0</v>
      </c>
      <c r="AM132" s="46">
        <f>SUMIFS(台帳!$I$2:$I$2000,台帳!$A$2:$A$2000,$A132,台帳!$F$2:$F$2000,AM$4)</f>
        <v>0</v>
      </c>
      <c r="AN132" s="46">
        <f>SUMIFS(台帳!$I$2:$I$2000,台帳!$A$2:$A$2000,$A132,台帳!$F$2:$F$2000,AN$4)</f>
        <v>0</v>
      </c>
      <c r="AO132" s="46">
        <f>SUMIFS(台帳!$I$2:$I$2000,台帳!$A$2:$A$2000,$A132,台帳!$F$2:$F$2000,AO$4)</f>
        <v>0</v>
      </c>
      <c r="AP132" s="46">
        <f>SUMIFS(台帳!$I$2:$I$2000,台帳!$A$2:$A$2000,$A132,台帳!$F$2:$F$2000,AP$4)</f>
        <v>0</v>
      </c>
      <c r="AQ132" s="46">
        <f>SUMIFS(台帳!$I$2:$I$2000,台帳!$A$2:$A$2000,$A132,台帳!$F$2:$F$2000,AQ$4)</f>
        <v>0</v>
      </c>
      <c r="AR132" s="46">
        <f>SUM(C132:AQ132)</f>
        <v>6</v>
      </c>
    </row>
    <row r="133" spans="1:44" ht="17.25" x14ac:dyDescent="0.35">
      <c r="A133" s="44">
        <v>46260</v>
      </c>
      <c r="B133" s="45" t="str">
        <f>CHOOSE(WEEKDAY(A133),"日","月","火","水","木","金","土")</f>
        <v>水</v>
      </c>
      <c r="C133" s="46">
        <f>SUMIFS(台帳!$I$2:$I$2000,台帳!$A$2:$A$2000,$A133,台帳!$F$2:$F$2000,C$4)</f>
        <v>0</v>
      </c>
      <c r="D133" s="46">
        <f>SUMIFS(台帳!$I$2:$I$2000,台帳!$A$2:$A$2000,$A133,台帳!$F$2:$F$2000,D$4)</f>
        <v>0</v>
      </c>
      <c r="E133" s="46">
        <f>SUMIFS(台帳!$I$2:$I$2000,台帳!$A$2:$A$2000,$A133,台帳!$F$2:$F$2000,E$4)</f>
        <v>0</v>
      </c>
      <c r="F133" s="46">
        <f>SUMIFS(台帳!$I$2:$I$2000,台帳!$A$2:$A$2000,$A133,台帳!$F$2:$F$2000,F$4)</f>
        <v>0</v>
      </c>
      <c r="G133" s="46">
        <f>SUMIFS(台帳!$I$2:$I$2000,台帳!$A$2:$A$2000,$A133,台帳!$F$2:$F$2000,G$4)</f>
        <v>0</v>
      </c>
      <c r="H133" s="46">
        <f>SUMIFS(台帳!$I$2:$I$2000,台帳!$A$2:$A$2000,$A133,台帳!$F$2:$F$2000,H$4)</f>
        <v>0</v>
      </c>
      <c r="I133" s="46">
        <f>SUMIFS(台帳!$I$2:$I$2000,台帳!$A$2:$A$2000,$A133,台帳!$F$2:$F$2000,I$4)</f>
        <v>0</v>
      </c>
      <c r="J133" s="46">
        <f>SUMIFS(台帳!$I$2:$I$2000,台帳!$A$2:$A$2000,$A133,台帳!$F$2:$F$2000,J$4)</f>
        <v>0</v>
      </c>
      <c r="K133" s="46">
        <f>SUMIFS(台帳!$I$2:$I$2000,台帳!$A$2:$A$2000,$A133,台帳!$F$2:$F$2000,K$4)</f>
        <v>0</v>
      </c>
      <c r="L133" s="46">
        <f>SUMIFS(台帳!$I$2:$I$2000,台帳!$A$2:$A$2000,$A133,台帳!$F$2:$F$2000,L$4)</f>
        <v>0</v>
      </c>
      <c r="M133" s="46">
        <f>SUMIFS(台帳!$I$2:$I$2000,台帳!$A$2:$A$2000,$A133,台帳!$F$2:$F$2000,M$4)</f>
        <v>0</v>
      </c>
      <c r="N133" s="46">
        <f>SUMIFS(台帳!$I$2:$I$2000,台帳!$A$2:$A$2000,$A133,台帳!$F$2:$F$2000,N$4)</f>
        <v>0</v>
      </c>
      <c r="O133" s="46">
        <f>SUMIFS(台帳!$I$2:$I$2000,台帳!$A$2:$A$2000,$A133,台帳!$F$2:$F$2000,O$4)</f>
        <v>0</v>
      </c>
      <c r="P133" s="46">
        <f>SUMIFS(台帳!$I$2:$I$2000,台帳!$A$2:$A$2000,$A133,台帳!$F$2:$F$2000,P$4)</f>
        <v>0</v>
      </c>
      <c r="Q133" s="46">
        <f>SUMIFS(台帳!$I$2:$I$2000,台帳!$A$2:$A$2000,$A133,台帳!$F$2:$F$2000,Q$4)</f>
        <v>0</v>
      </c>
      <c r="R133" s="46">
        <f>SUMIFS(台帳!$I$2:$I$2000,台帳!$A$2:$A$2000,$A133,台帳!$F$2:$F$2000,R$4)</f>
        <v>0</v>
      </c>
      <c r="S133" s="46">
        <f>SUMIFS(台帳!$I$2:$I$2000,台帳!$A$2:$A$2000,$A133,台帳!$F$2:$F$2000,S$4)</f>
        <v>0</v>
      </c>
      <c r="T133" s="46">
        <f>SUMIFS(台帳!$I$2:$I$2000,台帳!$A$2:$A$2000,$A133,台帳!$F$2:$F$2000,T$4)</f>
        <v>0</v>
      </c>
      <c r="U133" s="46">
        <f>SUMIFS(台帳!$I$2:$I$2000,台帳!$A$2:$A$2000,$A133,台帳!$F$2:$F$2000,U$4)</f>
        <v>0</v>
      </c>
      <c r="V133" s="46">
        <f>SUMIFS(台帳!$I$2:$I$2000,台帳!$A$2:$A$2000,$A133,台帳!$F$2:$F$2000,V$4)</f>
        <v>0</v>
      </c>
      <c r="W133" s="46">
        <f>SUMIFS(台帳!$I$2:$I$2000,台帳!$A$2:$A$2000,$A133,台帳!$F$2:$F$2000,W$4)</f>
        <v>0</v>
      </c>
      <c r="X133" s="46">
        <f>SUMIFS(台帳!$I$2:$I$2000,台帳!$A$2:$A$2000,$A133,台帳!$F$2:$F$2000,X$4)</f>
        <v>0</v>
      </c>
      <c r="Y133" s="46">
        <f>SUMIFS(台帳!$I$2:$I$2000,台帳!$A$2:$A$2000,$A133,台帳!$F$2:$F$2000,Y$4)</f>
        <v>0</v>
      </c>
      <c r="Z133" s="46">
        <f>SUMIFS(台帳!$I$2:$I$2000,台帳!$A$2:$A$2000,$A133,台帳!$F$2:$F$2000,Z$4)</f>
        <v>0</v>
      </c>
      <c r="AA133" s="46">
        <f>SUMIFS(台帳!$I$2:$I$2000,台帳!$A$2:$A$2000,$A133,台帳!$F$2:$F$2000,AA$4)</f>
        <v>0</v>
      </c>
      <c r="AB133" s="46">
        <f>SUMIFS(台帳!$I$2:$I$2000,台帳!$A$2:$A$2000,$A133,台帳!$F$2:$F$2000,AB$4)</f>
        <v>0</v>
      </c>
      <c r="AC133" s="46">
        <f>SUMIFS(台帳!$I$2:$I$2000,台帳!$A$2:$A$2000,$A133,台帳!$F$2:$F$2000,AC$4)</f>
        <v>0</v>
      </c>
      <c r="AD133" s="46">
        <f>SUMIFS(台帳!$I$2:$I$2000,台帳!$A$2:$A$2000,$A133,台帳!$F$2:$F$2000,AD$4)</f>
        <v>0</v>
      </c>
      <c r="AE133" s="46">
        <f>SUMIFS(台帳!$I$2:$I$2000,台帳!$A$2:$A$2000,$A133,台帳!$F$2:$F$2000,AE$4)</f>
        <v>3</v>
      </c>
      <c r="AF133" s="46">
        <f>SUMIFS(台帳!$I$2:$I$2000,台帳!$A$2:$A$2000,$A133,台帳!$F$2:$F$2000,AF$4)</f>
        <v>0</v>
      </c>
      <c r="AG133" s="46">
        <f>SUMIFS(台帳!$I$2:$I$2000,台帳!$A$2:$A$2000,$A133,台帳!$F$2:$F$2000,AG$4)</f>
        <v>0</v>
      </c>
      <c r="AH133" s="46">
        <f>SUMIFS(台帳!$I$2:$I$2000,台帳!$A$2:$A$2000,$A133,台帳!$F$2:$F$2000,AH$4)</f>
        <v>0</v>
      </c>
      <c r="AI133" s="46">
        <f>SUMIFS(台帳!$I$2:$I$2000,台帳!$A$2:$A$2000,$A133,台帳!$F$2:$F$2000,AI$4)</f>
        <v>0</v>
      </c>
      <c r="AJ133" s="46">
        <f>SUMIFS(台帳!$I$2:$I$2000,台帳!$A$2:$A$2000,$A133,台帳!$F$2:$F$2000,AJ$4)</f>
        <v>0</v>
      </c>
      <c r="AK133" s="46">
        <f>SUMIFS(台帳!$I$2:$I$2000,台帳!$A$2:$A$2000,$A133,台帳!$F$2:$F$2000,AK$4)</f>
        <v>0</v>
      </c>
      <c r="AL133" s="46">
        <f>SUMIFS(台帳!$I$2:$I$2000,台帳!$A$2:$A$2000,$A133,台帳!$F$2:$F$2000,AL$4)</f>
        <v>0</v>
      </c>
      <c r="AM133" s="46">
        <f>SUMIFS(台帳!$I$2:$I$2000,台帳!$A$2:$A$2000,$A133,台帳!$F$2:$F$2000,AM$4)</f>
        <v>0</v>
      </c>
      <c r="AN133" s="46">
        <f>SUMIFS(台帳!$I$2:$I$2000,台帳!$A$2:$A$2000,$A133,台帳!$F$2:$F$2000,AN$4)</f>
        <v>0</v>
      </c>
      <c r="AO133" s="46">
        <f>SUMIFS(台帳!$I$2:$I$2000,台帳!$A$2:$A$2000,$A133,台帳!$F$2:$F$2000,AO$4)</f>
        <v>0</v>
      </c>
      <c r="AP133" s="46">
        <f>SUMIFS(台帳!$I$2:$I$2000,台帳!$A$2:$A$2000,$A133,台帳!$F$2:$F$2000,AP$4)</f>
        <v>0</v>
      </c>
      <c r="AQ133" s="46">
        <f>SUMIFS(台帳!$I$2:$I$2000,台帳!$A$2:$A$2000,$A133,台帳!$F$2:$F$2000,AQ$4)</f>
        <v>0</v>
      </c>
      <c r="AR133" s="46">
        <f>SUM(C133:AQ133)</f>
        <v>3</v>
      </c>
    </row>
    <row r="134" spans="1:44" ht="17.25" x14ac:dyDescent="0.35">
      <c r="A134" s="44">
        <v>46261</v>
      </c>
      <c r="B134" s="45" t="str">
        <f>CHOOSE(WEEKDAY(A134),"日","月","火","水","木","金","土")</f>
        <v>木</v>
      </c>
      <c r="C134" s="46">
        <f>SUMIFS(台帳!$I$2:$I$2000,台帳!$A$2:$A$2000,$A134,台帳!$F$2:$F$2000,C$4)</f>
        <v>0</v>
      </c>
      <c r="D134" s="46">
        <f>SUMIFS(台帳!$I$2:$I$2000,台帳!$A$2:$A$2000,$A134,台帳!$F$2:$F$2000,D$4)</f>
        <v>0</v>
      </c>
      <c r="E134" s="46">
        <f>SUMIFS(台帳!$I$2:$I$2000,台帳!$A$2:$A$2000,$A134,台帳!$F$2:$F$2000,E$4)</f>
        <v>0</v>
      </c>
      <c r="F134" s="46">
        <f>SUMIFS(台帳!$I$2:$I$2000,台帳!$A$2:$A$2000,$A134,台帳!$F$2:$F$2000,F$4)</f>
        <v>0</v>
      </c>
      <c r="G134" s="46">
        <f>SUMIFS(台帳!$I$2:$I$2000,台帳!$A$2:$A$2000,$A134,台帳!$F$2:$F$2000,G$4)</f>
        <v>0</v>
      </c>
      <c r="H134" s="46">
        <f>SUMIFS(台帳!$I$2:$I$2000,台帳!$A$2:$A$2000,$A134,台帳!$F$2:$F$2000,H$4)</f>
        <v>0</v>
      </c>
      <c r="I134" s="46">
        <f>SUMIFS(台帳!$I$2:$I$2000,台帳!$A$2:$A$2000,$A134,台帳!$F$2:$F$2000,I$4)</f>
        <v>0</v>
      </c>
      <c r="J134" s="46">
        <f>SUMIFS(台帳!$I$2:$I$2000,台帳!$A$2:$A$2000,$A134,台帳!$F$2:$F$2000,J$4)</f>
        <v>0</v>
      </c>
      <c r="K134" s="46">
        <f>SUMIFS(台帳!$I$2:$I$2000,台帳!$A$2:$A$2000,$A134,台帳!$F$2:$F$2000,K$4)</f>
        <v>0</v>
      </c>
      <c r="L134" s="46">
        <f>SUMIFS(台帳!$I$2:$I$2000,台帳!$A$2:$A$2000,$A134,台帳!$F$2:$F$2000,L$4)</f>
        <v>0</v>
      </c>
      <c r="M134" s="46">
        <f>SUMIFS(台帳!$I$2:$I$2000,台帳!$A$2:$A$2000,$A134,台帳!$F$2:$F$2000,M$4)</f>
        <v>0</v>
      </c>
      <c r="N134" s="46">
        <f>SUMIFS(台帳!$I$2:$I$2000,台帳!$A$2:$A$2000,$A134,台帳!$F$2:$F$2000,N$4)</f>
        <v>0</v>
      </c>
      <c r="O134" s="46">
        <f>SUMIFS(台帳!$I$2:$I$2000,台帳!$A$2:$A$2000,$A134,台帳!$F$2:$F$2000,O$4)</f>
        <v>0</v>
      </c>
      <c r="P134" s="46">
        <f>SUMIFS(台帳!$I$2:$I$2000,台帳!$A$2:$A$2000,$A134,台帳!$F$2:$F$2000,P$4)</f>
        <v>0</v>
      </c>
      <c r="Q134" s="46">
        <f>SUMIFS(台帳!$I$2:$I$2000,台帳!$A$2:$A$2000,$A134,台帳!$F$2:$F$2000,Q$4)</f>
        <v>0</v>
      </c>
      <c r="R134" s="46">
        <f>SUMIFS(台帳!$I$2:$I$2000,台帳!$A$2:$A$2000,$A134,台帳!$F$2:$F$2000,R$4)</f>
        <v>0</v>
      </c>
      <c r="S134" s="46">
        <f>SUMIFS(台帳!$I$2:$I$2000,台帳!$A$2:$A$2000,$A134,台帳!$F$2:$F$2000,S$4)</f>
        <v>0</v>
      </c>
      <c r="T134" s="46">
        <f>SUMIFS(台帳!$I$2:$I$2000,台帳!$A$2:$A$2000,$A134,台帳!$F$2:$F$2000,T$4)</f>
        <v>0</v>
      </c>
      <c r="U134" s="46">
        <f>SUMIFS(台帳!$I$2:$I$2000,台帳!$A$2:$A$2000,$A134,台帳!$F$2:$F$2000,U$4)</f>
        <v>0</v>
      </c>
      <c r="V134" s="46">
        <f>SUMIFS(台帳!$I$2:$I$2000,台帳!$A$2:$A$2000,$A134,台帳!$F$2:$F$2000,V$4)</f>
        <v>0</v>
      </c>
      <c r="W134" s="46">
        <f>SUMIFS(台帳!$I$2:$I$2000,台帳!$A$2:$A$2000,$A134,台帳!$F$2:$F$2000,W$4)</f>
        <v>0</v>
      </c>
      <c r="X134" s="46">
        <f>SUMIFS(台帳!$I$2:$I$2000,台帳!$A$2:$A$2000,$A134,台帳!$F$2:$F$2000,X$4)</f>
        <v>0</v>
      </c>
      <c r="Y134" s="46">
        <f>SUMIFS(台帳!$I$2:$I$2000,台帳!$A$2:$A$2000,$A134,台帳!$F$2:$F$2000,Y$4)</f>
        <v>0</v>
      </c>
      <c r="Z134" s="46">
        <f>SUMIFS(台帳!$I$2:$I$2000,台帳!$A$2:$A$2000,$A134,台帳!$F$2:$F$2000,Z$4)</f>
        <v>0</v>
      </c>
      <c r="AA134" s="46">
        <f>SUMIFS(台帳!$I$2:$I$2000,台帳!$A$2:$A$2000,$A134,台帳!$F$2:$F$2000,AA$4)</f>
        <v>0</v>
      </c>
      <c r="AB134" s="46">
        <f>SUMIFS(台帳!$I$2:$I$2000,台帳!$A$2:$A$2000,$A134,台帳!$F$2:$F$2000,AB$4)</f>
        <v>0</v>
      </c>
      <c r="AC134" s="46">
        <f>SUMIFS(台帳!$I$2:$I$2000,台帳!$A$2:$A$2000,$A134,台帳!$F$2:$F$2000,AC$4)</f>
        <v>0</v>
      </c>
      <c r="AD134" s="46">
        <f>SUMIFS(台帳!$I$2:$I$2000,台帳!$A$2:$A$2000,$A134,台帳!$F$2:$F$2000,AD$4)</f>
        <v>0</v>
      </c>
      <c r="AE134" s="46">
        <f>SUMIFS(台帳!$I$2:$I$2000,台帳!$A$2:$A$2000,$A134,台帳!$F$2:$F$2000,AE$4)</f>
        <v>0</v>
      </c>
      <c r="AF134" s="46">
        <f>SUMIFS(台帳!$I$2:$I$2000,台帳!$A$2:$A$2000,$A134,台帳!$F$2:$F$2000,AF$4)</f>
        <v>0</v>
      </c>
      <c r="AG134" s="46">
        <f>SUMIFS(台帳!$I$2:$I$2000,台帳!$A$2:$A$2000,$A134,台帳!$F$2:$F$2000,AG$4)</f>
        <v>0</v>
      </c>
      <c r="AH134" s="46">
        <f>SUMIFS(台帳!$I$2:$I$2000,台帳!$A$2:$A$2000,$A134,台帳!$F$2:$F$2000,AH$4)</f>
        <v>0</v>
      </c>
      <c r="AI134" s="46">
        <f>SUMIFS(台帳!$I$2:$I$2000,台帳!$A$2:$A$2000,$A134,台帳!$F$2:$F$2000,AI$4)</f>
        <v>3</v>
      </c>
      <c r="AJ134" s="46">
        <f>SUMIFS(台帳!$I$2:$I$2000,台帳!$A$2:$A$2000,$A134,台帳!$F$2:$F$2000,AJ$4)</f>
        <v>0</v>
      </c>
      <c r="AK134" s="46">
        <f>SUMIFS(台帳!$I$2:$I$2000,台帳!$A$2:$A$2000,$A134,台帳!$F$2:$F$2000,AK$4)</f>
        <v>0</v>
      </c>
      <c r="AL134" s="46">
        <f>SUMIFS(台帳!$I$2:$I$2000,台帳!$A$2:$A$2000,$A134,台帳!$F$2:$F$2000,AL$4)</f>
        <v>0</v>
      </c>
      <c r="AM134" s="46">
        <f>SUMIFS(台帳!$I$2:$I$2000,台帳!$A$2:$A$2000,$A134,台帳!$F$2:$F$2000,AM$4)</f>
        <v>0</v>
      </c>
      <c r="AN134" s="46">
        <f>SUMIFS(台帳!$I$2:$I$2000,台帳!$A$2:$A$2000,$A134,台帳!$F$2:$F$2000,AN$4)</f>
        <v>0</v>
      </c>
      <c r="AO134" s="46">
        <f>SUMIFS(台帳!$I$2:$I$2000,台帳!$A$2:$A$2000,$A134,台帳!$F$2:$F$2000,AO$4)</f>
        <v>0</v>
      </c>
      <c r="AP134" s="46">
        <f>SUMIFS(台帳!$I$2:$I$2000,台帳!$A$2:$A$2000,$A134,台帳!$F$2:$F$2000,AP$4)</f>
        <v>0</v>
      </c>
      <c r="AQ134" s="46">
        <f>SUMIFS(台帳!$I$2:$I$2000,台帳!$A$2:$A$2000,$A134,台帳!$F$2:$F$2000,AQ$4)</f>
        <v>0</v>
      </c>
      <c r="AR134" s="46">
        <f>SUM(C134:AQ134)</f>
        <v>3</v>
      </c>
    </row>
    <row r="135" spans="1:44" ht="17.25" x14ac:dyDescent="0.35">
      <c r="A135" s="44">
        <v>46262</v>
      </c>
      <c r="B135" s="45" t="str">
        <f>CHOOSE(WEEKDAY(A135),"日","月","火","水","木","金","土")</f>
        <v>金</v>
      </c>
      <c r="C135" s="46">
        <f>SUMIFS(台帳!$I$2:$I$2000,台帳!$A$2:$A$2000,$A135,台帳!$F$2:$F$2000,C$4)</f>
        <v>0</v>
      </c>
      <c r="D135" s="46">
        <f>SUMIFS(台帳!$I$2:$I$2000,台帳!$A$2:$A$2000,$A135,台帳!$F$2:$F$2000,D$4)</f>
        <v>0</v>
      </c>
      <c r="E135" s="46">
        <f>SUMIFS(台帳!$I$2:$I$2000,台帳!$A$2:$A$2000,$A135,台帳!$F$2:$F$2000,E$4)</f>
        <v>0</v>
      </c>
      <c r="F135" s="46">
        <f>SUMIFS(台帳!$I$2:$I$2000,台帳!$A$2:$A$2000,$A135,台帳!$F$2:$F$2000,F$4)</f>
        <v>0</v>
      </c>
      <c r="G135" s="46">
        <f>SUMIFS(台帳!$I$2:$I$2000,台帳!$A$2:$A$2000,$A135,台帳!$F$2:$F$2000,G$4)</f>
        <v>0</v>
      </c>
      <c r="H135" s="46">
        <f>SUMIFS(台帳!$I$2:$I$2000,台帳!$A$2:$A$2000,$A135,台帳!$F$2:$F$2000,H$4)</f>
        <v>0</v>
      </c>
      <c r="I135" s="46">
        <f>SUMIFS(台帳!$I$2:$I$2000,台帳!$A$2:$A$2000,$A135,台帳!$F$2:$F$2000,I$4)</f>
        <v>0</v>
      </c>
      <c r="J135" s="46">
        <f>SUMIFS(台帳!$I$2:$I$2000,台帳!$A$2:$A$2000,$A135,台帳!$F$2:$F$2000,J$4)</f>
        <v>0</v>
      </c>
      <c r="K135" s="46">
        <f>SUMIFS(台帳!$I$2:$I$2000,台帳!$A$2:$A$2000,$A135,台帳!$F$2:$F$2000,K$4)</f>
        <v>0</v>
      </c>
      <c r="L135" s="46">
        <f>SUMIFS(台帳!$I$2:$I$2000,台帳!$A$2:$A$2000,$A135,台帳!$F$2:$F$2000,L$4)</f>
        <v>0</v>
      </c>
      <c r="M135" s="46">
        <f>SUMIFS(台帳!$I$2:$I$2000,台帳!$A$2:$A$2000,$A135,台帳!$F$2:$F$2000,M$4)</f>
        <v>0</v>
      </c>
      <c r="N135" s="46">
        <f>SUMIFS(台帳!$I$2:$I$2000,台帳!$A$2:$A$2000,$A135,台帳!$F$2:$F$2000,N$4)</f>
        <v>0</v>
      </c>
      <c r="O135" s="46">
        <f>SUMIFS(台帳!$I$2:$I$2000,台帳!$A$2:$A$2000,$A135,台帳!$F$2:$F$2000,O$4)</f>
        <v>0</v>
      </c>
      <c r="P135" s="46">
        <f>SUMIFS(台帳!$I$2:$I$2000,台帳!$A$2:$A$2000,$A135,台帳!$F$2:$F$2000,P$4)</f>
        <v>0</v>
      </c>
      <c r="Q135" s="46">
        <f>SUMIFS(台帳!$I$2:$I$2000,台帳!$A$2:$A$2000,$A135,台帳!$F$2:$F$2000,Q$4)</f>
        <v>0</v>
      </c>
      <c r="R135" s="46">
        <f>SUMIFS(台帳!$I$2:$I$2000,台帳!$A$2:$A$2000,$A135,台帳!$F$2:$F$2000,R$4)</f>
        <v>0</v>
      </c>
      <c r="S135" s="46">
        <f>SUMIFS(台帳!$I$2:$I$2000,台帳!$A$2:$A$2000,$A135,台帳!$F$2:$F$2000,S$4)</f>
        <v>0</v>
      </c>
      <c r="T135" s="46">
        <f>SUMIFS(台帳!$I$2:$I$2000,台帳!$A$2:$A$2000,$A135,台帳!$F$2:$F$2000,T$4)</f>
        <v>0</v>
      </c>
      <c r="U135" s="46">
        <f>SUMIFS(台帳!$I$2:$I$2000,台帳!$A$2:$A$2000,$A135,台帳!$F$2:$F$2000,U$4)</f>
        <v>0</v>
      </c>
      <c r="V135" s="46">
        <f>SUMIFS(台帳!$I$2:$I$2000,台帳!$A$2:$A$2000,$A135,台帳!$F$2:$F$2000,V$4)</f>
        <v>0</v>
      </c>
      <c r="W135" s="46">
        <f>SUMIFS(台帳!$I$2:$I$2000,台帳!$A$2:$A$2000,$A135,台帳!$F$2:$F$2000,W$4)</f>
        <v>0</v>
      </c>
      <c r="X135" s="46">
        <f>SUMIFS(台帳!$I$2:$I$2000,台帳!$A$2:$A$2000,$A135,台帳!$F$2:$F$2000,X$4)</f>
        <v>0</v>
      </c>
      <c r="Y135" s="46">
        <f>SUMIFS(台帳!$I$2:$I$2000,台帳!$A$2:$A$2000,$A135,台帳!$F$2:$F$2000,Y$4)</f>
        <v>0</v>
      </c>
      <c r="Z135" s="46">
        <f>SUMIFS(台帳!$I$2:$I$2000,台帳!$A$2:$A$2000,$A135,台帳!$F$2:$F$2000,Z$4)</f>
        <v>0</v>
      </c>
      <c r="AA135" s="46">
        <f>SUMIFS(台帳!$I$2:$I$2000,台帳!$A$2:$A$2000,$A135,台帳!$F$2:$F$2000,AA$4)</f>
        <v>0</v>
      </c>
      <c r="AB135" s="46">
        <f>SUMIFS(台帳!$I$2:$I$2000,台帳!$A$2:$A$2000,$A135,台帳!$F$2:$F$2000,AB$4)</f>
        <v>0</v>
      </c>
      <c r="AC135" s="46">
        <f>SUMIFS(台帳!$I$2:$I$2000,台帳!$A$2:$A$2000,$A135,台帳!$F$2:$F$2000,AC$4)</f>
        <v>0</v>
      </c>
      <c r="AD135" s="46">
        <f>SUMIFS(台帳!$I$2:$I$2000,台帳!$A$2:$A$2000,$A135,台帳!$F$2:$F$2000,AD$4)</f>
        <v>0</v>
      </c>
      <c r="AE135" s="46">
        <f>SUMIFS(台帳!$I$2:$I$2000,台帳!$A$2:$A$2000,$A135,台帳!$F$2:$F$2000,AE$4)</f>
        <v>0</v>
      </c>
      <c r="AF135" s="46">
        <f>SUMIFS(台帳!$I$2:$I$2000,台帳!$A$2:$A$2000,$A135,台帳!$F$2:$F$2000,AF$4)</f>
        <v>0</v>
      </c>
      <c r="AG135" s="46">
        <f>SUMIFS(台帳!$I$2:$I$2000,台帳!$A$2:$A$2000,$A135,台帳!$F$2:$F$2000,AG$4)</f>
        <v>0</v>
      </c>
      <c r="AH135" s="46">
        <f>SUMIFS(台帳!$I$2:$I$2000,台帳!$A$2:$A$2000,$A135,台帳!$F$2:$F$2000,AH$4)</f>
        <v>0</v>
      </c>
      <c r="AI135" s="46">
        <f>SUMIFS(台帳!$I$2:$I$2000,台帳!$A$2:$A$2000,$A135,台帳!$F$2:$F$2000,AI$4)</f>
        <v>0</v>
      </c>
      <c r="AJ135" s="46">
        <f>SUMIFS(台帳!$I$2:$I$2000,台帳!$A$2:$A$2000,$A135,台帳!$F$2:$F$2000,AJ$4)</f>
        <v>0</v>
      </c>
      <c r="AK135" s="46">
        <f>SUMIFS(台帳!$I$2:$I$2000,台帳!$A$2:$A$2000,$A135,台帳!$F$2:$F$2000,AK$4)</f>
        <v>0</v>
      </c>
      <c r="AL135" s="46">
        <f>SUMIFS(台帳!$I$2:$I$2000,台帳!$A$2:$A$2000,$A135,台帳!$F$2:$F$2000,AL$4)</f>
        <v>0</v>
      </c>
      <c r="AM135" s="46">
        <f>SUMIFS(台帳!$I$2:$I$2000,台帳!$A$2:$A$2000,$A135,台帳!$F$2:$F$2000,AM$4)</f>
        <v>0</v>
      </c>
      <c r="AN135" s="46">
        <f>SUMIFS(台帳!$I$2:$I$2000,台帳!$A$2:$A$2000,$A135,台帳!$F$2:$F$2000,AN$4)</f>
        <v>0</v>
      </c>
      <c r="AO135" s="46">
        <f>SUMIFS(台帳!$I$2:$I$2000,台帳!$A$2:$A$2000,$A135,台帳!$F$2:$F$2000,AO$4)</f>
        <v>0</v>
      </c>
      <c r="AP135" s="46">
        <f>SUMIFS(台帳!$I$2:$I$2000,台帳!$A$2:$A$2000,$A135,台帳!$F$2:$F$2000,AP$4)</f>
        <v>2</v>
      </c>
      <c r="AQ135" s="46">
        <f>SUMIFS(台帳!$I$2:$I$2000,台帳!$A$2:$A$2000,$A135,台帳!$F$2:$F$2000,AQ$4)</f>
        <v>0</v>
      </c>
      <c r="AR135" s="46">
        <f>SUM(C135:AQ135)</f>
        <v>2</v>
      </c>
    </row>
    <row r="136" spans="1:44" ht="17.25" x14ac:dyDescent="0.35">
      <c r="A136" s="44">
        <v>46263</v>
      </c>
      <c r="B136" s="45" t="str">
        <f>CHOOSE(WEEKDAY(A136),"日","月","火","水","木","金","土")</f>
        <v>土</v>
      </c>
      <c r="C136" s="46">
        <f>SUMIFS(台帳!$I$2:$I$2000,台帳!$A$2:$A$2000,$A136,台帳!$F$2:$F$2000,C$4)</f>
        <v>0</v>
      </c>
      <c r="D136" s="46">
        <f>SUMIFS(台帳!$I$2:$I$2000,台帳!$A$2:$A$2000,$A136,台帳!$F$2:$F$2000,D$4)</f>
        <v>0</v>
      </c>
      <c r="E136" s="46">
        <f>SUMIFS(台帳!$I$2:$I$2000,台帳!$A$2:$A$2000,$A136,台帳!$F$2:$F$2000,E$4)</f>
        <v>0</v>
      </c>
      <c r="F136" s="46">
        <f>SUMIFS(台帳!$I$2:$I$2000,台帳!$A$2:$A$2000,$A136,台帳!$F$2:$F$2000,F$4)</f>
        <v>0</v>
      </c>
      <c r="G136" s="46">
        <f>SUMIFS(台帳!$I$2:$I$2000,台帳!$A$2:$A$2000,$A136,台帳!$F$2:$F$2000,G$4)</f>
        <v>0</v>
      </c>
      <c r="H136" s="46">
        <f>SUMIFS(台帳!$I$2:$I$2000,台帳!$A$2:$A$2000,$A136,台帳!$F$2:$F$2000,H$4)</f>
        <v>0</v>
      </c>
      <c r="I136" s="46">
        <f>SUMIFS(台帳!$I$2:$I$2000,台帳!$A$2:$A$2000,$A136,台帳!$F$2:$F$2000,I$4)</f>
        <v>0</v>
      </c>
      <c r="J136" s="46">
        <f>SUMIFS(台帳!$I$2:$I$2000,台帳!$A$2:$A$2000,$A136,台帳!$F$2:$F$2000,J$4)</f>
        <v>0</v>
      </c>
      <c r="K136" s="46">
        <f>SUMIFS(台帳!$I$2:$I$2000,台帳!$A$2:$A$2000,$A136,台帳!$F$2:$F$2000,K$4)</f>
        <v>0</v>
      </c>
      <c r="L136" s="46">
        <f>SUMIFS(台帳!$I$2:$I$2000,台帳!$A$2:$A$2000,$A136,台帳!$F$2:$F$2000,L$4)</f>
        <v>0</v>
      </c>
      <c r="M136" s="46">
        <f>SUMIFS(台帳!$I$2:$I$2000,台帳!$A$2:$A$2000,$A136,台帳!$F$2:$F$2000,M$4)</f>
        <v>0</v>
      </c>
      <c r="N136" s="46">
        <f>SUMIFS(台帳!$I$2:$I$2000,台帳!$A$2:$A$2000,$A136,台帳!$F$2:$F$2000,N$4)</f>
        <v>0</v>
      </c>
      <c r="O136" s="46">
        <f>SUMIFS(台帳!$I$2:$I$2000,台帳!$A$2:$A$2000,$A136,台帳!$F$2:$F$2000,O$4)</f>
        <v>0</v>
      </c>
      <c r="P136" s="46">
        <f>SUMIFS(台帳!$I$2:$I$2000,台帳!$A$2:$A$2000,$A136,台帳!$F$2:$F$2000,P$4)</f>
        <v>0</v>
      </c>
      <c r="Q136" s="46">
        <f>SUMIFS(台帳!$I$2:$I$2000,台帳!$A$2:$A$2000,$A136,台帳!$F$2:$F$2000,Q$4)</f>
        <v>0</v>
      </c>
      <c r="R136" s="46">
        <f>SUMIFS(台帳!$I$2:$I$2000,台帳!$A$2:$A$2000,$A136,台帳!$F$2:$F$2000,R$4)</f>
        <v>0</v>
      </c>
      <c r="S136" s="46">
        <f>SUMIFS(台帳!$I$2:$I$2000,台帳!$A$2:$A$2000,$A136,台帳!$F$2:$F$2000,S$4)</f>
        <v>0</v>
      </c>
      <c r="T136" s="46">
        <f>SUMIFS(台帳!$I$2:$I$2000,台帳!$A$2:$A$2000,$A136,台帳!$F$2:$F$2000,T$4)</f>
        <v>0</v>
      </c>
      <c r="U136" s="46">
        <f>SUMIFS(台帳!$I$2:$I$2000,台帳!$A$2:$A$2000,$A136,台帳!$F$2:$F$2000,U$4)</f>
        <v>0</v>
      </c>
      <c r="V136" s="46">
        <f>SUMIFS(台帳!$I$2:$I$2000,台帳!$A$2:$A$2000,$A136,台帳!$F$2:$F$2000,V$4)</f>
        <v>0</v>
      </c>
      <c r="W136" s="46">
        <f>SUMIFS(台帳!$I$2:$I$2000,台帳!$A$2:$A$2000,$A136,台帳!$F$2:$F$2000,W$4)</f>
        <v>0</v>
      </c>
      <c r="X136" s="46">
        <f>SUMIFS(台帳!$I$2:$I$2000,台帳!$A$2:$A$2000,$A136,台帳!$F$2:$F$2000,X$4)</f>
        <v>0</v>
      </c>
      <c r="Y136" s="46">
        <f>SUMIFS(台帳!$I$2:$I$2000,台帳!$A$2:$A$2000,$A136,台帳!$F$2:$F$2000,Y$4)</f>
        <v>0</v>
      </c>
      <c r="Z136" s="46">
        <f>SUMIFS(台帳!$I$2:$I$2000,台帳!$A$2:$A$2000,$A136,台帳!$F$2:$F$2000,Z$4)</f>
        <v>0</v>
      </c>
      <c r="AA136" s="46">
        <f>SUMIFS(台帳!$I$2:$I$2000,台帳!$A$2:$A$2000,$A136,台帳!$F$2:$F$2000,AA$4)</f>
        <v>0</v>
      </c>
      <c r="AB136" s="46">
        <f>SUMIFS(台帳!$I$2:$I$2000,台帳!$A$2:$A$2000,$A136,台帳!$F$2:$F$2000,AB$4)</f>
        <v>0</v>
      </c>
      <c r="AC136" s="46">
        <f>SUMIFS(台帳!$I$2:$I$2000,台帳!$A$2:$A$2000,$A136,台帳!$F$2:$F$2000,AC$4)</f>
        <v>0</v>
      </c>
      <c r="AD136" s="46">
        <f>SUMIFS(台帳!$I$2:$I$2000,台帳!$A$2:$A$2000,$A136,台帳!$F$2:$F$2000,AD$4)</f>
        <v>0</v>
      </c>
      <c r="AE136" s="46">
        <f>SUMIFS(台帳!$I$2:$I$2000,台帳!$A$2:$A$2000,$A136,台帳!$F$2:$F$2000,AE$4)</f>
        <v>0</v>
      </c>
      <c r="AF136" s="46">
        <f>SUMIFS(台帳!$I$2:$I$2000,台帳!$A$2:$A$2000,$A136,台帳!$F$2:$F$2000,AF$4)</f>
        <v>0</v>
      </c>
      <c r="AG136" s="46">
        <f>SUMIFS(台帳!$I$2:$I$2000,台帳!$A$2:$A$2000,$A136,台帳!$F$2:$F$2000,AG$4)</f>
        <v>0</v>
      </c>
      <c r="AH136" s="46">
        <f>SUMIFS(台帳!$I$2:$I$2000,台帳!$A$2:$A$2000,$A136,台帳!$F$2:$F$2000,AH$4)</f>
        <v>0</v>
      </c>
      <c r="AI136" s="46">
        <f>SUMIFS(台帳!$I$2:$I$2000,台帳!$A$2:$A$2000,$A136,台帳!$F$2:$F$2000,AI$4)</f>
        <v>0</v>
      </c>
      <c r="AJ136" s="46">
        <f>SUMIFS(台帳!$I$2:$I$2000,台帳!$A$2:$A$2000,$A136,台帳!$F$2:$F$2000,AJ$4)</f>
        <v>0</v>
      </c>
      <c r="AK136" s="46">
        <f>SUMIFS(台帳!$I$2:$I$2000,台帳!$A$2:$A$2000,$A136,台帳!$F$2:$F$2000,AK$4)</f>
        <v>0</v>
      </c>
      <c r="AL136" s="46">
        <f>SUMIFS(台帳!$I$2:$I$2000,台帳!$A$2:$A$2000,$A136,台帳!$F$2:$F$2000,AL$4)</f>
        <v>0</v>
      </c>
      <c r="AM136" s="46">
        <f>SUMIFS(台帳!$I$2:$I$2000,台帳!$A$2:$A$2000,$A136,台帳!$F$2:$F$2000,AM$4)</f>
        <v>0</v>
      </c>
      <c r="AN136" s="46">
        <f>SUMIFS(台帳!$I$2:$I$2000,台帳!$A$2:$A$2000,$A136,台帳!$F$2:$F$2000,AN$4)</f>
        <v>0</v>
      </c>
      <c r="AO136" s="46">
        <f>SUMIFS(台帳!$I$2:$I$2000,台帳!$A$2:$A$2000,$A136,台帳!$F$2:$F$2000,AO$4)</f>
        <v>1</v>
      </c>
      <c r="AP136" s="46">
        <f>SUMIFS(台帳!$I$2:$I$2000,台帳!$A$2:$A$2000,$A136,台帳!$F$2:$F$2000,AP$4)</f>
        <v>0</v>
      </c>
      <c r="AQ136" s="46">
        <f>SUMIFS(台帳!$I$2:$I$2000,台帳!$A$2:$A$2000,$A136,台帳!$F$2:$F$2000,AQ$4)</f>
        <v>0</v>
      </c>
      <c r="AR136" s="46">
        <f>SUM(C136:AQ136)</f>
        <v>1</v>
      </c>
    </row>
    <row r="137" spans="1:44" ht="17.25" x14ac:dyDescent="0.35">
      <c r="A137" s="44">
        <v>46264</v>
      </c>
      <c r="B137" s="45" t="str">
        <f>CHOOSE(WEEKDAY(A137),"日","月","火","水","木","金","土")</f>
        <v>日</v>
      </c>
      <c r="C137" s="46">
        <f>SUMIFS(台帳!$I$2:$I$2000,台帳!$A$2:$A$2000,$A137,台帳!$F$2:$F$2000,C$4)</f>
        <v>0</v>
      </c>
      <c r="D137" s="46">
        <f>SUMIFS(台帳!$I$2:$I$2000,台帳!$A$2:$A$2000,$A137,台帳!$F$2:$F$2000,D$4)</f>
        <v>0</v>
      </c>
      <c r="E137" s="46">
        <f>SUMIFS(台帳!$I$2:$I$2000,台帳!$A$2:$A$2000,$A137,台帳!$F$2:$F$2000,E$4)</f>
        <v>0</v>
      </c>
      <c r="F137" s="46">
        <f>SUMIFS(台帳!$I$2:$I$2000,台帳!$A$2:$A$2000,$A137,台帳!$F$2:$F$2000,F$4)</f>
        <v>0</v>
      </c>
      <c r="G137" s="46">
        <f>SUMIFS(台帳!$I$2:$I$2000,台帳!$A$2:$A$2000,$A137,台帳!$F$2:$F$2000,G$4)</f>
        <v>0</v>
      </c>
      <c r="H137" s="46">
        <f>SUMIFS(台帳!$I$2:$I$2000,台帳!$A$2:$A$2000,$A137,台帳!$F$2:$F$2000,H$4)</f>
        <v>0</v>
      </c>
      <c r="I137" s="46">
        <f>SUMIFS(台帳!$I$2:$I$2000,台帳!$A$2:$A$2000,$A137,台帳!$F$2:$F$2000,I$4)</f>
        <v>0</v>
      </c>
      <c r="J137" s="46">
        <f>SUMIFS(台帳!$I$2:$I$2000,台帳!$A$2:$A$2000,$A137,台帳!$F$2:$F$2000,J$4)</f>
        <v>0</v>
      </c>
      <c r="K137" s="46">
        <f>SUMIFS(台帳!$I$2:$I$2000,台帳!$A$2:$A$2000,$A137,台帳!$F$2:$F$2000,K$4)</f>
        <v>0</v>
      </c>
      <c r="L137" s="46">
        <f>SUMIFS(台帳!$I$2:$I$2000,台帳!$A$2:$A$2000,$A137,台帳!$F$2:$F$2000,L$4)</f>
        <v>0</v>
      </c>
      <c r="M137" s="46">
        <f>SUMIFS(台帳!$I$2:$I$2000,台帳!$A$2:$A$2000,$A137,台帳!$F$2:$F$2000,M$4)</f>
        <v>0</v>
      </c>
      <c r="N137" s="46">
        <f>SUMIFS(台帳!$I$2:$I$2000,台帳!$A$2:$A$2000,$A137,台帳!$F$2:$F$2000,N$4)</f>
        <v>0</v>
      </c>
      <c r="O137" s="46">
        <f>SUMIFS(台帳!$I$2:$I$2000,台帳!$A$2:$A$2000,$A137,台帳!$F$2:$F$2000,O$4)</f>
        <v>0</v>
      </c>
      <c r="P137" s="46">
        <f>SUMIFS(台帳!$I$2:$I$2000,台帳!$A$2:$A$2000,$A137,台帳!$F$2:$F$2000,P$4)</f>
        <v>0</v>
      </c>
      <c r="Q137" s="46">
        <f>SUMIFS(台帳!$I$2:$I$2000,台帳!$A$2:$A$2000,$A137,台帳!$F$2:$F$2000,Q$4)</f>
        <v>0</v>
      </c>
      <c r="R137" s="46">
        <f>SUMIFS(台帳!$I$2:$I$2000,台帳!$A$2:$A$2000,$A137,台帳!$F$2:$F$2000,R$4)</f>
        <v>0</v>
      </c>
      <c r="S137" s="46">
        <f>SUMIFS(台帳!$I$2:$I$2000,台帳!$A$2:$A$2000,$A137,台帳!$F$2:$F$2000,S$4)</f>
        <v>0</v>
      </c>
      <c r="T137" s="46">
        <f>SUMIFS(台帳!$I$2:$I$2000,台帳!$A$2:$A$2000,$A137,台帳!$F$2:$F$2000,T$4)</f>
        <v>0</v>
      </c>
      <c r="U137" s="46">
        <f>SUMIFS(台帳!$I$2:$I$2000,台帳!$A$2:$A$2000,$A137,台帳!$F$2:$F$2000,U$4)</f>
        <v>0</v>
      </c>
      <c r="V137" s="46">
        <f>SUMIFS(台帳!$I$2:$I$2000,台帳!$A$2:$A$2000,$A137,台帳!$F$2:$F$2000,V$4)</f>
        <v>0</v>
      </c>
      <c r="W137" s="46">
        <f>SUMIFS(台帳!$I$2:$I$2000,台帳!$A$2:$A$2000,$A137,台帳!$F$2:$F$2000,W$4)</f>
        <v>0</v>
      </c>
      <c r="X137" s="46">
        <f>SUMIFS(台帳!$I$2:$I$2000,台帳!$A$2:$A$2000,$A137,台帳!$F$2:$F$2000,X$4)</f>
        <v>0</v>
      </c>
      <c r="Y137" s="46">
        <f>SUMIFS(台帳!$I$2:$I$2000,台帳!$A$2:$A$2000,$A137,台帳!$F$2:$F$2000,Y$4)</f>
        <v>0</v>
      </c>
      <c r="Z137" s="46">
        <f>SUMIFS(台帳!$I$2:$I$2000,台帳!$A$2:$A$2000,$A137,台帳!$F$2:$F$2000,Z$4)</f>
        <v>0</v>
      </c>
      <c r="AA137" s="46">
        <f>SUMIFS(台帳!$I$2:$I$2000,台帳!$A$2:$A$2000,$A137,台帳!$F$2:$F$2000,AA$4)</f>
        <v>0</v>
      </c>
      <c r="AB137" s="46">
        <f>SUMIFS(台帳!$I$2:$I$2000,台帳!$A$2:$A$2000,$A137,台帳!$F$2:$F$2000,AB$4)</f>
        <v>0</v>
      </c>
      <c r="AC137" s="46">
        <f>SUMIFS(台帳!$I$2:$I$2000,台帳!$A$2:$A$2000,$A137,台帳!$F$2:$F$2000,AC$4)</f>
        <v>0</v>
      </c>
      <c r="AD137" s="46">
        <f>SUMIFS(台帳!$I$2:$I$2000,台帳!$A$2:$A$2000,$A137,台帳!$F$2:$F$2000,AD$4)</f>
        <v>0</v>
      </c>
      <c r="AE137" s="46">
        <f>SUMIFS(台帳!$I$2:$I$2000,台帳!$A$2:$A$2000,$A137,台帳!$F$2:$F$2000,AE$4)</f>
        <v>0</v>
      </c>
      <c r="AF137" s="46">
        <f>SUMIFS(台帳!$I$2:$I$2000,台帳!$A$2:$A$2000,$A137,台帳!$F$2:$F$2000,AF$4)</f>
        <v>0</v>
      </c>
      <c r="AG137" s="46">
        <f>SUMIFS(台帳!$I$2:$I$2000,台帳!$A$2:$A$2000,$A137,台帳!$F$2:$F$2000,AG$4)</f>
        <v>0</v>
      </c>
      <c r="AH137" s="46">
        <f>SUMIFS(台帳!$I$2:$I$2000,台帳!$A$2:$A$2000,$A137,台帳!$F$2:$F$2000,AH$4)</f>
        <v>0</v>
      </c>
      <c r="AI137" s="46">
        <f>SUMIFS(台帳!$I$2:$I$2000,台帳!$A$2:$A$2000,$A137,台帳!$F$2:$F$2000,AI$4)</f>
        <v>0</v>
      </c>
      <c r="AJ137" s="46">
        <f>SUMIFS(台帳!$I$2:$I$2000,台帳!$A$2:$A$2000,$A137,台帳!$F$2:$F$2000,AJ$4)</f>
        <v>0</v>
      </c>
      <c r="AK137" s="46">
        <f>SUMIFS(台帳!$I$2:$I$2000,台帳!$A$2:$A$2000,$A137,台帳!$F$2:$F$2000,AK$4)</f>
        <v>2</v>
      </c>
      <c r="AL137" s="46">
        <f>SUMIFS(台帳!$I$2:$I$2000,台帳!$A$2:$A$2000,$A137,台帳!$F$2:$F$2000,AL$4)</f>
        <v>0</v>
      </c>
      <c r="AM137" s="46">
        <f>SUMIFS(台帳!$I$2:$I$2000,台帳!$A$2:$A$2000,$A137,台帳!$F$2:$F$2000,AM$4)</f>
        <v>0</v>
      </c>
      <c r="AN137" s="46">
        <f>SUMIFS(台帳!$I$2:$I$2000,台帳!$A$2:$A$2000,$A137,台帳!$F$2:$F$2000,AN$4)</f>
        <v>0</v>
      </c>
      <c r="AO137" s="46">
        <f>SUMIFS(台帳!$I$2:$I$2000,台帳!$A$2:$A$2000,$A137,台帳!$F$2:$F$2000,AO$4)</f>
        <v>4</v>
      </c>
      <c r="AP137" s="46">
        <f>SUMIFS(台帳!$I$2:$I$2000,台帳!$A$2:$A$2000,$A137,台帳!$F$2:$F$2000,AP$4)</f>
        <v>0</v>
      </c>
      <c r="AQ137" s="46">
        <f>SUMIFS(台帳!$I$2:$I$2000,台帳!$A$2:$A$2000,$A137,台帳!$F$2:$F$2000,AQ$4)</f>
        <v>0</v>
      </c>
      <c r="AR137" s="46">
        <f>SUM(C137:AQ137)</f>
        <v>6</v>
      </c>
    </row>
    <row r="138" spans="1:44" ht="17.25" x14ac:dyDescent="0.35">
      <c r="A138" s="44">
        <v>46265</v>
      </c>
      <c r="B138" s="45" t="str">
        <f>CHOOSE(WEEKDAY(A138),"日","月","火","水","木","金","土")</f>
        <v>月</v>
      </c>
      <c r="C138" s="46">
        <f>SUMIFS(台帳!$I$2:$I$2000,台帳!$A$2:$A$2000,$A138,台帳!$F$2:$F$2000,C$4)</f>
        <v>0</v>
      </c>
      <c r="D138" s="46">
        <f>SUMIFS(台帳!$I$2:$I$2000,台帳!$A$2:$A$2000,$A138,台帳!$F$2:$F$2000,D$4)</f>
        <v>0</v>
      </c>
      <c r="E138" s="46">
        <f>SUMIFS(台帳!$I$2:$I$2000,台帳!$A$2:$A$2000,$A138,台帳!$F$2:$F$2000,E$4)</f>
        <v>0</v>
      </c>
      <c r="F138" s="46">
        <f>SUMIFS(台帳!$I$2:$I$2000,台帳!$A$2:$A$2000,$A138,台帳!$F$2:$F$2000,F$4)</f>
        <v>0</v>
      </c>
      <c r="G138" s="46">
        <f>SUMIFS(台帳!$I$2:$I$2000,台帳!$A$2:$A$2000,$A138,台帳!$F$2:$F$2000,G$4)</f>
        <v>0</v>
      </c>
      <c r="H138" s="46">
        <f>SUMIFS(台帳!$I$2:$I$2000,台帳!$A$2:$A$2000,$A138,台帳!$F$2:$F$2000,H$4)</f>
        <v>0</v>
      </c>
      <c r="I138" s="46">
        <f>SUMIFS(台帳!$I$2:$I$2000,台帳!$A$2:$A$2000,$A138,台帳!$F$2:$F$2000,I$4)</f>
        <v>0</v>
      </c>
      <c r="J138" s="46">
        <f>SUMIFS(台帳!$I$2:$I$2000,台帳!$A$2:$A$2000,$A138,台帳!$F$2:$F$2000,J$4)</f>
        <v>0</v>
      </c>
      <c r="K138" s="46">
        <f>SUMIFS(台帳!$I$2:$I$2000,台帳!$A$2:$A$2000,$A138,台帳!$F$2:$F$2000,K$4)</f>
        <v>0</v>
      </c>
      <c r="L138" s="46">
        <f>SUMIFS(台帳!$I$2:$I$2000,台帳!$A$2:$A$2000,$A138,台帳!$F$2:$F$2000,L$4)</f>
        <v>0</v>
      </c>
      <c r="M138" s="46">
        <f>SUMIFS(台帳!$I$2:$I$2000,台帳!$A$2:$A$2000,$A138,台帳!$F$2:$F$2000,M$4)</f>
        <v>0</v>
      </c>
      <c r="N138" s="46">
        <f>SUMIFS(台帳!$I$2:$I$2000,台帳!$A$2:$A$2000,$A138,台帳!$F$2:$F$2000,N$4)</f>
        <v>0</v>
      </c>
      <c r="O138" s="46">
        <f>SUMIFS(台帳!$I$2:$I$2000,台帳!$A$2:$A$2000,$A138,台帳!$F$2:$F$2000,O$4)</f>
        <v>0</v>
      </c>
      <c r="P138" s="46">
        <f>SUMIFS(台帳!$I$2:$I$2000,台帳!$A$2:$A$2000,$A138,台帳!$F$2:$F$2000,P$4)</f>
        <v>0</v>
      </c>
      <c r="Q138" s="46">
        <f>SUMIFS(台帳!$I$2:$I$2000,台帳!$A$2:$A$2000,$A138,台帳!$F$2:$F$2000,Q$4)</f>
        <v>0</v>
      </c>
      <c r="R138" s="46">
        <f>SUMIFS(台帳!$I$2:$I$2000,台帳!$A$2:$A$2000,$A138,台帳!$F$2:$F$2000,R$4)</f>
        <v>0</v>
      </c>
      <c r="S138" s="46">
        <f>SUMIFS(台帳!$I$2:$I$2000,台帳!$A$2:$A$2000,$A138,台帳!$F$2:$F$2000,S$4)</f>
        <v>0</v>
      </c>
      <c r="T138" s="46">
        <f>SUMIFS(台帳!$I$2:$I$2000,台帳!$A$2:$A$2000,$A138,台帳!$F$2:$F$2000,T$4)</f>
        <v>0</v>
      </c>
      <c r="U138" s="46">
        <f>SUMIFS(台帳!$I$2:$I$2000,台帳!$A$2:$A$2000,$A138,台帳!$F$2:$F$2000,U$4)</f>
        <v>0</v>
      </c>
      <c r="V138" s="46">
        <f>SUMIFS(台帳!$I$2:$I$2000,台帳!$A$2:$A$2000,$A138,台帳!$F$2:$F$2000,V$4)</f>
        <v>0</v>
      </c>
      <c r="W138" s="46">
        <f>SUMIFS(台帳!$I$2:$I$2000,台帳!$A$2:$A$2000,$A138,台帳!$F$2:$F$2000,W$4)</f>
        <v>0</v>
      </c>
      <c r="X138" s="46">
        <f>SUMIFS(台帳!$I$2:$I$2000,台帳!$A$2:$A$2000,$A138,台帳!$F$2:$F$2000,X$4)</f>
        <v>0</v>
      </c>
      <c r="Y138" s="46">
        <f>SUMIFS(台帳!$I$2:$I$2000,台帳!$A$2:$A$2000,$A138,台帳!$F$2:$F$2000,Y$4)</f>
        <v>0</v>
      </c>
      <c r="Z138" s="46">
        <f>SUMIFS(台帳!$I$2:$I$2000,台帳!$A$2:$A$2000,$A138,台帳!$F$2:$F$2000,Z$4)</f>
        <v>0</v>
      </c>
      <c r="AA138" s="46">
        <f>SUMIFS(台帳!$I$2:$I$2000,台帳!$A$2:$A$2000,$A138,台帳!$F$2:$F$2000,AA$4)</f>
        <v>0</v>
      </c>
      <c r="AB138" s="46">
        <f>SUMIFS(台帳!$I$2:$I$2000,台帳!$A$2:$A$2000,$A138,台帳!$F$2:$F$2000,AB$4)</f>
        <v>0</v>
      </c>
      <c r="AC138" s="46">
        <f>SUMIFS(台帳!$I$2:$I$2000,台帳!$A$2:$A$2000,$A138,台帳!$F$2:$F$2000,AC$4)</f>
        <v>0</v>
      </c>
      <c r="AD138" s="46">
        <f>SUMIFS(台帳!$I$2:$I$2000,台帳!$A$2:$A$2000,$A138,台帳!$F$2:$F$2000,AD$4)</f>
        <v>0</v>
      </c>
      <c r="AE138" s="46">
        <f>SUMIFS(台帳!$I$2:$I$2000,台帳!$A$2:$A$2000,$A138,台帳!$F$2:$F$2000,AE$4)</f>
        <v>2</v>
      </c>
      <c r="AF138" s="46">
        <f>SUMIFS(台帳!$I$2:$I$2000,台帳!$A$2:$A$2000,$A138,台帳!$F$2:$F$2000,AF$4)</f>
        <v>1</v>
      </c>
      <c r="AG138" s="46">
        <f>SUMIFS(台帳!$I$2:$I$2000,台帳!$A$2:$A$2000,$A138,台帳!$F$2:$F$2000,AG$4)</f>
        <v>0</v>
      </c>
      <c r="AH138" s="46">
        <f>SUMIFS(台帳!$I$2:$I$2000,台帳!$A$2:$A$2000,$A138,台帳!$F$2:$F$2000,AH$4)</f>
        <v>0</v>
      </c>
      <c r="AI138" s="46">
        <f>SUMIFS(台帳!$I$2:$I$2000,台帳!$A$2:$A$2000,$A138,台帳!$F$2:$F$2000,AI$4)</f>
        <v>0</v>
      </c>
      <c r="AJ138" s="46">
        <f>SUMIFS(台帳!$I$2:$I$2000,台帳!$A$2:$A$2000,$A138,台帳!$F$2:$F$2000,AJ$4)</f>
        <v>0</v>
      </c>
      <c r="AK138" s="46">
        <f>SUMIFS(台帳!$I$2:$I$2000,台帳!$A$2:$A$2000,$A138,台帳!$F$2:$F$2000,AK$4)</f>
        <v>0</v>
      </c>
      <c r="AL138" s="46">
        <f>SUMIFS(台帳!$I$2:$I$2000,台帳!$A$2:$A$2000,$A138,台帳!$F$2:$F$2000,AL$4)</f>
        <v>0</v>
      </c>
      <c r="AM138" s="46">
        <f>SUMIFS(台帳!$I$2:$I$2000,台帳!$A$2:$A$2000,$A138,台帳!$F$2:$F$2000,AM$4)</f>
        <v>0</v>
      </c>
      <c r="AN138" s="46">
        <f>SUMIFS(台帳!$I$2:$I$2000,台帳!$A$2:$A$2000,$A138,台帳!$F$2:$F$2000,AN$4)</f>
        <v>0</v>
      </c>
      <c r="AO138" s="46">
        <f>SUMIFS(台帳!$I$2:$I$2000,台帳!$A$2:$A$2000,$A138,台帳!$F$2:$F$2000,AO$4)</f>
        <v>0</v>
      </c>
      <c r="AP138" s="46">
        <f>SUMIFS(台帳!$I$2:$I$2000,台帳!$A$2:$A$2000,$A138,台帳!$F$2:$F$2000,AP$4)</f>
        <v>0</v>
      </c>
      <c r="AQ138" s="46">
        <f>SUMIFS(台帳!$I$2:$I$2000,台帳!$A$2:$A$2000,$A138,台帳!$F$2:$F$2000,AQ$4)</f>
        <v>0</v>
      </c>
      <c r="AR138" s="46">
        <f>SUM(C138:AQ138)</f>
        <v>3</v>
      </c>
    </row>
    <row r="139" spans="1:44" ht="17.25" x14ac:dyDescent="0.35">
      <c r="A139" s="44">
        <v>46266</v>
      </c>
      <c r="B139" s="45" t="str">
        <f>CHOOSE(WEEKDAY(A139),"日","月","火","水","木","金","土")</f>
        <v>火</v>
      </c>
      <c r="C139" s="46">
        <f>SUMIFS(台帳!$I$2:$I$2000,台帳!$A$2:$A$2000,$A139,台帳!$F$2:$F$2000,C$4)</f>
        <v>0</v>
      </c>
      <c r="D139" s="46">
        <f>SUMIFS(台帳!$I$2:$I$2000,台帳!$A$2:$A$2000,$A139,台帳!$F$2:$F$2000,D$4)</f>
        <v>0</v>
      </c>
      <c r="E139" s="46">
        <f>SUMIFS(台帳!$I$2:$I$2000,台帳!$A$2:$A$2000,$A139,台帳!$F$2:$F$2000,E$4)</f>
        <v>0</v>
      </c>
      <c r="F139" s="46">
        <f>SUMIFS(台帳!$I$2:$I$2000,台帳!$A$2:$A$2000,$A139,台帳!$F$2:$F$2000,F$4)</f>
        <v>0</v>
      </c>
      <c r="G139" s="46">
        <f>SUMIFS(台帳!$I$2:$I$2000,台帳!$A$2:$A$2000,$A139,台帳!$F$2:$F$2000,G$4)</f>
        <v>0</v>
      </c>
      <c r="H139" s="46">
        <f>SUMIFS(台帳!$I$2:$I$2000,台帳!$A$2:$A$2000,$A139,台帳!$F$2:$F$2000,H$4)</f>
        <v>0</v>
      </c>
      <c r="I139" s="46">
        <f>SUMIFS(台帳!$I$2:$I$2000,台帳!$A$2:$A$2000,$A139,台帳!$F$2:$F$2000,I$4)</f>
        <v>0</v>
      </c>
      <c r="J139" s="46">
        <f>SUMIFS(台帳!$I$2:$I$2000,台帳!$A$2:$A$2000,$A139,台帳!$F$2:$F$2000,J$4)</f>
        <v>0</v>
      </c>
      <c r="K139" s="46">
        <f>SUMIFS(台帳!$I$2:$I$2000,台帳!$A$2:$A$2000,$A139,台帳!$F$2:$F$2000,K$4)</f>
        <v>0</v>
      </c>
      <c r="L139" s="46">
        <f>SUMIFS(台帳!$I$2:$I$2000,台帳!$A$2:$A$2000,$A139,台帳!$F$2:$F$2000,L$4)</f>
        <v>0</v>
      </c>
      <c r="M139" s="46">
        <f>SUMIFS(台帳!$I$2:$I$2000,台帳!$A$2:$A$2000,$A139,台帳!$F$2:$F$2000,M$4)</f>
        <v>0</v>
      </c>
      <c r="N139" s="46">
        <f>SUMIFS(台帳!$I$2:$I$2000,台帳!$A$2:$A$2000,$A139,台帳!$F$2:$F$2000,N$4)</f>
        <v>0</v>
      </c>
      <c r="O139" s="46">
        <f>SUMIFS(台帳!$I$2:$I$2000,台帳!$A$2:$A$2000,$A139,台帳!$F$2:$F$2000,O$4)</f>
        <v>0</v>
      </c>
      <c r="P139" s="46">
        <f>SUMIFS(台帳!$I$2:$I$2000,台帳!$A$2:$A$2000,$A139,台帳!$F$2:$F$2000,P$4)</f>
        <v>0</v>
      </c>
      <c r="Q139" s="46">
        <f>SUMIFS(台帳!$I$2:$I$2000,台帳!$A$2:$A$2000,$A139,台帳!$F$2:$F$2000,Q$4)</f>
        <v>0</v>
      </c>
      <c r="R139" s="46">
        <f>SUMIFS(台帳!$I$2:$I$2000,台帳!$A$2:$A$2000,$A139,台帳!$F$2:$F$2000,R$4)</f>
        <v>0</v>
      </c>
      <c r="S139" s="46">
        <f>SUMIFS(台帳!$I$2:$I$2000,台帳!$A$2:$A$2000,$A139,台帳!$F$2:$F$2000,S$4)</f>
        <v>0</v>
      </c>
      <c r="T139" s="46">
        <f>SUMIFS(台帳!$I$2:$I$2000,台帳!$A$2:$A$2000,$A139,台帳!$F$2:$F$2000,T$4)</f>
        <v>0</v>
      </c>
      <c r="U139" s="46">
        <f>SUMIFS(台帳!$I$2:$I$2000,台帳!$A$2:$A$2000,$A139,台帳!$F$2:$F$2000,U$4)</f>
        <v>0</v>
      </c>
      <c r="V139" s="46">
        <f>SUMIFS(台帳!$I$2:$I$2000,台帳!$A$2:$A$2000,$A139,台帳!$F$2:$F$2000,V$4)</f>
        <v>0</v>
      </c>
      <c r="W139" s="46">
        <f>SUMIFS(台帳!$I$2:$I$2000,台帳!$A$2:$A$2000,$A139,台帳!$F$2:$F$2000,W$4)</f>
        <v>0</v>
      </c>
      <c r="X139" s="46">
        <f>SUMIFS(台帳!$I$2:$I$2000,台帳!$A$2:$A$2000,$A139,台帳!$F$2:$F$2000,X$4)</f>
        <v>0</v>
      </c>
      <c r="Y139" s="46">
        <f>SUMIFS(台帳!$I$2:$I$2000,台帳!$A$2:$A$2000,$A139,台帳!$F$2:$F$2000,Y$4)</f>
        <v>0</v>
      </c>
      <c r="Z139" s="46">
        <f>SUMIFS(台帳!$I$2:$I$2000,台帳!$A$2:$A$2000,$A139,台帳!$F$2:$F$2000,Z$4)</f>
        <v>0</v>
      </c>
      <c r="AA139" s="46">
        <f>SUMIFS(台帳!$I$2:$I$2000,台帳!$A$2:$A$2000,$A139,台帳!$F$2:$F$2000,AA$4)</f>
        <v>0</v>
      </c>
      <c r="AB139" s="46">
        <f>SUMIFS(台帳!$I$2:$I$2000,台帳!$A$2:$A$2000,$A139,台帳!$F$2:$F$2000,AB$4)</f>
        <v>0</v>
      </c>
      <c r="AC139" s="46">
        <f>SUMIFS(台帳!$I$2:$I$2000,台帳!$A$2:$A$2000,$A139,台帳!$F$2:$F$2000,AC$4)</f>
        <v>0</v>
      </c>
      <c r="AD139" s="46">
        <f>SUMIFS(台帳!$I$2:$I$2000,台帳!$A$2:$A$2000,$A139,台帳!$F$2:$F$2000,AD$4)</f>
        <v>0</v>
      </c>
      <c r="AE139" s="46">
        <f>SUMIFS(台帳!$I$2:$I$2000,台帳!$A$2:$A$2000,$A139,台帳!$F$2:$F$2000,AE$4)</f>
        <v>0</v>
      </c>
      <c r="AF139" s="46">
        <f>SUMIFS(台帳!$I$2:$I$2000,台帳!$A$2:$A$2000,$A139,台帳!$F$2:$F$2000,AF$4)</f>
        <v>1</v>
      </c>
      <c r="AG139" s="46">
        <f>SUMIFS(台帳!$I$2:$I$2000,台帳!$A$2:$A$2000,$A139,台帳!$F$2:$F$2000,AG$4)</f>
        <v>0</v>
      </c>
      <c r="AH139" s="46">
        <f>SUMIFS(台帳!$I$2:$I$2000,台帳!$A$2:$A$2000,$A139,台帳!$F$2:$F$2000,AH$4)</f>
        <v>0</v>
      </c>
      <c r="AI139" s="46">
        <f>SUMIFS(台帳!$I$2:$I$2000,台帳!$A$2:$A$2000,$A139,台帳!$F$2:$F$2000,AI$4)</f>
        <v>0</v>
      </c>
      <c r="AJ139" s="46">
        <f>SUMIFS(台帳!$I$2:$I$2000,台帳!$A$2:$A$2000,$A139,台帳!$F$2:$F$2000,AJ$4)</f>
        <v>0</v>
      </c>
      <c r="AK139" s="46">
        <f>SUMIFS(台帳!$I$2:$I$2000,台帳!$A$2:$A$2000,$A139,台帳!$F$2:$F$2000,AK$4)</f>
        <v>0</v>
      </c>
      <c r="AL139" s="46">
        <f>SUMIFS(台帳!$I$2:$I$2000,台帳!$A$2:$A$2000,$A139,台帳!$F$2:$F$2000,AL$4)</f>
        <v>0</v>
      </c>
      <c r="AM139" s="46">
        <f>SUMIFS(台帳!$I$2:$I$2000,台帳!$A$2:$A$2000,$A139,台帳!$F$2:$F$2000,AM$4)</f>
        <v>2</v>
      </c>
      <c r="AN139" s="46">
        <f>SUMIFS(台帳!$I$2:$I$2000,台帳!$A$2:$A$2000,$A139,台帳!$F$2:$F$2000,AN$4)</f>
        <v>0</v>
      </c>
      <c r="AO139" s="46">
        <f>SUMIFS(台帳!$I$2:$I$2000,台帳!$A$2:$A$2000,$A139,台帳!$F$2:$F$2000,AO$4)</f>
        <v>0</v>
      </c>
      <c r="AP139" s="46">
        <f>SUMIFS(台帳!$I$2:$I$2000,台帳!$A$2:$A$2000,$A139,台帳!$F$2:$F$2000,AP$4)</f>
        <v>0</v>
      </c>
      <c r="AQ139" s="46">
        <f>SUMIFS(台帳!$I$2:$I$2000,台帳!$A$2:$A$2000,$A139,台帳!$F$2:$F$2000,AQ$4)</f>
        <v>0</v>
      </c>
      <c r="AR139" s="46">
        <f>SUM(C139:AQ139)</f>
        <v>3</v>
      </c>
    </row>
    <row r="140" spans="1:44" ht="17.25" x14ac:dyDescent="0.35">
      <c r="A140" s="44">
        <v>46267</v>
      </c>
      <c r="B140" s="45" t="str">
        <f>CHOOSE(WEEKDAY(A140),"日","月","火","水","木","金","土")</f>
        <v>水</v>
      </c>
      <c r="C140" s="46">
        <f>SUMIFS(台帳!$I$2:$I$2000,台帳!$A$2:$A$2000,$A140,台帳!$F$2:$F$2000,C$4)</f>
        <v>0</v>
      </c>
      <c r="D140" s="46">
        <f>SUMIFS(台帳!$I$2:$I$2000,台帳!$A$2:$A$2000,$A140,台帳!$F$2:$F$2000,D$4)</f>
        <v>0</v>
      </c>
      <c r="E140" s="46">
        <f>SUMIFS(台帳!$I$2:$I$2000,台帳!$A$2:$A$2000,$A140,台帳!$F$2:$F$2000,E$4)</f>
        <v>0</v>
      </c>
      <c r="F140" s="46">
        <f>SUMIFS(台帳!$I$2:$I$2000,台帳!$A$2:$A$2000,$A140,台帳!$F$2:$F$2000,F$4)</f>
        <v>0</v>
      </c>
      <c r="G140" s="46">
        <f>SUMIFS(台帳!$I$2:$I$2000,台帳!$A$2:$A$2000,$A140,台帳!$F$2:$F$2000,G$4)</f>
        <v>0</v>
      </c>
      <c r="H140" s="46">
        <f>SUMIFS(台帳!$I$2:$I$2000,台帳!$A$2:$A$2000,$A140,台帳!$F$2:$F$2000,H$4)</f>
        <v>0</v>
      </c>
      <c r="I140" s="46">
        <f>SUMIFS(台帳!$I$2:$I$2000,台帳!$A$2:$A$2000,$A140,台帳!$F$2:$F$2000,I$4)</f>
        <v>0</v>
      </c>
      <c r="J140" s="46">
        <f>SUMIFS(台帳!$I$2:$I$2000,台帳!$A$2:$A$2000,$A140,台帳!$F$2:$F$2000,J$4)</f>
        <v>0</v>
      </c>
      <c r="K140" s="46">
        <f>SUMIFS(台帳!$I$2:$I$2000,台帳!$A$2:$A$2000,$A140,台帳!$F$2:$F$2000,K$4)</f>
        <v>0</v>
      </c>
      <c r="L140" s="46">
        <f>SUMIFS(台帳!$I$2:$I$2000,台帳!$A$2:$A$2000,$A140,台帳!$F$2:$F$2000,L$4)</f>
        <v>0</v>
      </c>
      <c r="M140" s="46">
        <f>SUMIFS(台帳!$I$2:$I$2000,台帳!$A$2:$A$2000,$A140,台帳!$F$2:$F$2000,M$4)</f>
        <v>0</v>
      </c>
      <c r="N140" s="46">
        <f>SUMIFS(台帳!$I$2:$I$2000,台帳!$A$2:$A$2000,$A140,台帳!$F$2:$F$2000,N$4)</f>
        <v>0</v>
      </c>
      <c r="O140" s="46">
        <f>SUMIFS(台帳!$I$2:$I$2000,台帳!$A$2:$A$2000,$A140,台帳!$F$2:$F$2000,O$4)</f>
        <v>0</v>
      </c>
      <c r="P140" s="46">
        <f>SUMIFS(台帳!$I$2:$I$2000,台帳!$A$2:$A$2000,$A140,台帳!$F$2:$F$2000,P$4)</f>
        <v>0</v>
      </c>
      <c r="Q140" s="46">
        <f>SUMIFS(台帳!$I$2:$I$2000,台帳!$A$2:$A$2000,$A140,台帳!$F$2:$F$2000,Q$4)</f>
        <v>0</v>
      </c>
      <c r="R140" s="46">
        <f>SUMIFS(台帳!$I$2:$I$2000,台帳!$A$2:$A$2000,$A140,台帳!$F$2:$F$2000,R$4)</f>
        <v>0</v>
      </c>
      <c r="S140" s="46">
        <f>SUMIFS(台帳!$I$2:$I$2000,台帳!$A$2:$A$2000,$A140,台帳!$F$2:$F$2000,S$4)</f>
        <v>0</v>
      </c>
      <c r="T140" s="46">
        <f>SUMIFS(台帳!$I$2:$I$2000,台帳!$A$2:$A$2000,$A140,台帳!$F$2:$F$2000,T$4)</f>
        <v>0</v>
      </c>
      <c r="U140" s="46">
        <f>SUMIFS(台帳!$I$2:$I$2000,台帳!$A$2:$A$2000,$A140,台帳!$F$2:$F$2000,U$4)</f>
        <v>0</v>
      </c>
      <c r="V140" s="46">
        <f>SUMIFS(台帳!$I$2:$I$2000,台帳!$A$2:$A$2000,$A140,台帳!$F$2:$F$2000,V$4)</f>
        <v>0</v>
      </c>
      <c r="W140" s="46">
        <f>SUMIFS(台帳!$I$2:$I$2000,台帳!$A$2:$A$2000,$A140,台帳!$F$2:$F$2000,W$4)</f>
        <v>0</v>
      </c>
      <c r="X140" s="46">
        <f>SUMIFS(台帳!$I$2:$I$2000,台帳!$A$2:$A$2000,$A140,台帳!$F$2:$F$2000,X$4)</f>
        <v>0</v>
      </c>
      <c r="Y140" s="46">
        <f>SUMIFS(台帳!$I$2:$I$2000,台帳!$A$2:$A$2000,$A140,台帳!$F$2:$F$2000,Y$4)</f>
        <v>0</v>
      </c>
      <c r="Z140" s="46">
        <f>SUMIFS(台帳!$I$2:$I$2000,台帳!$A$2:$A$2000,$A140,台帳!$F$2:$F$2000,Z$4)</f>
        <v>0</v>
      </c>
      <c r="AA140" s="46">
        <f>SUMIFS(台帳!$I$2:$I$2000,台帳!$A$2:$A$2000,$A140,台帳!$F$2:$F$2000,AA$4)</f>
        <v>0</v>
      </c>
      <c r="AB140" s="46">
        <f>SUMIFS(台帳!$I$2:$I$2000,台帳!$A$2:$A$2000,$A140,台帳!$F$2:$F$2000,AB$4)</f>
        <v>0</v>
      </c>
      <c r="AC140" s="46">
        <f>SUMIFS(台帳!$I$2:$I$2000,台帳!$A$2:$A$2000,$A140,台帳!$F$2:$F$2000,AC$4)</f>
        <v>0</v>
      </c>
      <c r="AD140" s="46">
        <f>SUMIFS(台帳!$I$2:$I$2000,台帳!$A$2:$A$2000,$A140,台帳!$F$2:$F$2000,AD$4)</f>
        <v>0</v>
      </c>
      <c r="AE140" s="46">
        <f>SUMIFS(台帳!$I$2:$I$2000,台帳!$A$2:$A$2000,$A140,台帳!$F$2:$F$2000,AE$4)</f>
        <v>0</v>
      </c>
      <c r="AF140" s="46">
        <f>SUMIFS(台帳!$I$2:$I$2000,台帳!$A$2:$A$2000,$A140,台帳!$F$2:$F$2000,AF$4)</f>
        <v>0</v>
      </c>
      <c r="AG140" s="46">
        <f>SUMIFS(台帳!$I$2:$I$2000,台帳!$A$2:$A$2000,$A140,台帳!$F$2:$F$2000,AG$4)</f>
        <v>0</v>
      </c>
      <c r="AH140" s="46">
        <f>SUMIFS(台帳!$I$2:$I$2000,台帳!$A$2:$A$2000,$A140,台帳!$F$2:$F$2000,AH$4)</f>
        <v>0</v>
      </c>
      <c r="AI140" s="46">
        <f>SUMIFS(台帳!$I$2:$I$2000,台帳!$A$2:$A$2000,$A140,台帳!$F$2:$F$2000,AI$4)</f>
        <v>0</v>
      </c>
      <c r="AJ140" s="46">
        <f>SUMIFS(台帳!$I$2:$I$2000,台帳!$A$2:$A$2000,$A140,台帳!$F$2:$F$2000,AJ$4)</f>
        <v>0</v>
      </c>
      <c r="AK140" s="46">
        <f>SUMIFS(台帳!$I$2:$I$2000,台帳!$A$2:$A$2000,$A140,台帳!$F$2:$F$2000,AK$4)</f>
        <v>0</v>
      </c>
      <c r="AL140" s="46">
        <f>SUMIFS(台帳!$I$2:$I$2000,台帳!$A$2:$A$2000,$A140,台帳!$F$2:$F$2000,AL$4)</f>
        <v>0</v>
      </c>
      <c r="AM140" s="46">
        <f>SUMIFS(台帳!$I$2:$I$2000,台帳!$A$2:$A$2000,$A140,台帳!$F$2:$F$2000,AM$4)</f>
        <v>3</v>
      </c>
      <c r="AN140" s="46">
        <f>SUMIFS(台帳!$I$2:$I$2000,台帳!$A$2:$A$2000,$A140,台帳!$F$2:$F$2000,AN$4)</f>
        <v>0</v>
      </c>
      <c r="AO140" s="46">
        <f>SUMIFS(台帳!$I$2:$I$2000,台帳!$A$2:$A$2000,$A140,台帳!$F$2:$F$2000,AO$4)</f>
        <v>0</v>
      </c>
      <c r="AP140" s="46">
        <f>SUMIFS(台帳!$I$2:$I$2000,台帳!$A$2:$A$2000,$A140,台帳!$F$2:$F$2000,AP$4)</f>
        <v>0</v>
      </c>
      <c r="AQ140" s="46">
        <f>SUMIFS(台帳!$I$2:$I$2000,台帳!$A$2:$A$2000,$A140,台帳!$F$2:$F$2000,AQ$4)</f>
        <v>0</v>
      </c>
      <c r="AR140" s="46">
        <f>SUM(C140:AQ140)</f>
        <v>3</v>
      </c>
    </row>
    <row r="141" spans="1:44" ht="17.25" x14ac:dyDescent="0.35">
      <c r="A141" s="10" t="s">
        <v>421</v>
      </c>
      <c r="C141" s="11">
        <f>SUM(C5:C140)</f>
        <v>0</v>
      </c>
      <c r="D141" s="11">
        <f>SUM(D5:D140)</f>
        <v>0</v>
      </c>
      <c r="E141" s="11">
        <f>SUM(E5:E140)</f>
        <v>7</v>
      </c>
      <c r="F141" s="11">
        <f>SUM(F5:F140)</f>
        <v>0</v>
      </c>
      <c r="G141" s="11">
        <f>SUM(G5:G140)</f>
        <v>6</v>
      </c>
      <c r="H141" s="11">
        <f>SUM(H5:H140)</f>
        <v>30</v>
      </c>
      <c r="I141" s="11">
        <f>SUM(I5:I140)</f>
        <v>12</v>
      </c>
      <c r="J141" s="11">
        <f>SUM(J5:J140)</f>
        <v>21</v>
      </c>
      <c r="K141" s="11">
        <f>SUM(K5:K140)</f>
        <v>2</v>
      </c>
      <c r="L141" s="11">
        <f>SUM(L5:L140)</f>
        <v>5</v>
      </c>
      <c r="M141" s="11">
        <f>SUM(M5:M140)</f>
        <v>3</v>
      </c>
      <c r="N141" s="11">
        <f>SUM(N5:N140)</f>
        <v>3</v>
      </c>
      <c r="O141" s="11">
        <f>SUM(O5:O140)</f>
        <v>5</v>
      </c>
      <c r="P141" s="11">
        <f>SUM(P5:P140)</f>
        <v>14</v>
      </c>
      <c r="Q141" s="11">
        <f>SUM(Q5:Q140)</f>
        <v>4</v>
      </c>
      <c r="R141" s="11">
        <f>SUM(R5:R140)</f>
        <v>8</v>
      </c>
      <c r="S141" s="11">
        <f>SUM(S5:S140)</f>
        <v>12</v>
      </c>
      <c r="T141" s="11">
        <f>SUM(T5:T140)</f>
        <v>0</v>
      </c>
      <c r="U141" s="11">
        <f>SUM(U5:U140)</f>
        <v>4</v>
      </c>
      <c r="V141" s="11">
        <f>SUM(V5:V140)</f>
        <v>17</v>
      </c>
      <c r="W141" s="11">
        <f>SUM(W5:W140)</f>
        <v>26</v>
      </c>
      <c r="X141" s="11">
        <f>SUM(X5:X140)</f>
        <v>2</v>
      </c>
      <c r="Y141" s="11">
        <f>SUM(Y5:Y140)</f>
        <v>4</v>
      </c>
      <c r="Z141" s="11">
        <f>SUM(Z5:Z140)</f>
        <v>2</v>
      </c>
      <c r="AA141" s="11">
        <f>SUM(AA5:AA140)</f>
        <v>11</v>
      </c>
      <c r="AB141" s="11">
        <f>SUM(AB5:AB140)</f>
        <v>2</v>
      </c>
      <c r="AC141" s="11">
        <f>SUM(AC5:AC140)</f>
        <v>3</v>
      </c>
      <c r="AD141" s="11">
        <f>SUM(AD5:AD140)</f>
        <v>7</v>
      </c>
      <c r="AE141" s="11">
        <f>SUM(AE5:AE140)</f>
        <v>19</v>
      </c>
      <c r="AF141" s="11">
        <f>SUM(AF5:AF140)</f>
        <v>2</v>
      </c>
      <c r="AG141" s="11">
        <f>SUM(AG5:AG140)</f>
        <v>17</v>
      </c>
      <c r="AH141" s="11">
        <f>SUM(AH5:AH140)</f>
        <v>2</v>
      </c>
      <c r="AI141" s="11">
        <f>SUM(AI5:AI140)</f>
        <v>3</v>
      </c>
      <c r="AJ141" s="11">
        <f>SUM(AJ5:AJ140)</f>
        <v>2</v>
      </c>
      <c r="AK141" s="11">
        <f>SUM(AK5:AK140)</f>
        <v>2</v>
      </c>
      <c r="AL141" s="11">
        <f>SUM(AL5:AL140)</f>
        <v>1</v>
      </c>
      <c r="AM141" s="11">
        <f>SUM(AM5:AM140)</f>
        <v>5</v>
      </c>
      <c r="AN141" s="11">
        <f>SUM(AN5:AN140)</f>
        <v>4</v>
      </c>
      <c r="AO141" s="11">
        <f>SUM(AO5:AO140)</f>
        <v>7</v>
      </c>
      <c r="AP141" s="11">
        <f>SUM(AP5:AP140)</f>
        <v>2</v>
      </c>
      <c r="AQ141" s="11">
        <f>SUM(AQ5:AQ140)</f>
        <v>0</v>
      </c>
      <c r="AR141" s="11">
        <f>SUM(AR5:AR140)</f>
        <v>276</v>
      </c>
    </row>
  </sheetData>
  <conditionalFormatting sqref="C5:AQ140">
    <cfRule type="colorScale" priority="2">
      <colorScale>
        <cfvo type="num" val="0"/>
        <cfvo type="max"/>
        <color rgb="FFFFFFFF"/>
        <color rgb="FF4472C4"/>
      </colorScale>
    </cfRule>
  </conditionalFormatting>
  <printOptions horizontalCentered="1"/>
  <pageMargins left="0.4" right="0.4" top="0.5" bottom="0.5" header="0.25" footer="0.25"/>
  <pageSetup paperSize="9" fitToHeight="0" orientation="landscape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8"/>
    <pageSetUpPr fitToPage="1"/>
  </sheetPr>
  <dimension ref="A1:C28"/>
  <sheetViews>
    <sheetView zoomScale="90" zoomScaleNormal="90" workbookViewId="0"/>
  </sheetViews>
  <sheetFormatPr defaultColWidth="8.7421875" defaultRowHeight="15" x14ac:dyDescent="0.2"/>
  <cols>
    <col min="1" max="1" width="9.953125" customWidth="1"/>
    <col min="2" max="2" width="69.94921875" customWidth="1"/>
    <col min="3" max="3" width="39.953125" customWidth="1"/>
  </cols>
  <sheetData>
    <row r="1" spans="1:3" ht="18.75" x14ac:dyDescent="0.25">
      <c r="A1" s="3" t="s">
        <v>441</v>
      </c>
    </row>
    <row r="2" spans="1:3" x14ac:dyDescent="0.2">
      <c r="A2" s="15" t="s">
        <v>442</v>
      </c>
    </row>
    <row r="4" spans="1:3" x14ac:dyDescent="0.2">
      <c r="A4" s="5" t="s">
        <v>108</v>
      </c>
      <c r="B4" s="5" t="s">
        <v>6</v>
      </c>
      <c r="C4" s="5" t="s">
        <v>443</v>
      </c>
    </row>
    <row r="5" spans="1:3" ht="25.5" x14ac:dyDescent="0.2">
      <c r="A5" s="6" t="s">
        <v>444</v>
      </c>
      <c r="B5" s="6" t="s">
        <v>445</v>
      </c>
      <c r="C5" s="6" t="s">
        <v>446</v>
      </c>
    </row>
    <row r="6" spans="1:3" x14ac:dyDescent="0.2">
      <c r="A6" s="6" t="s">
        <v>444</v>
      </c>
      <c r="B6" s="6" t="s">
        <v>447</v>
      </c>
      <c r="C6" s="6" t="s">
        <v>448</v>
      </c>
    </row>
    <row r="7" spans="1:3" x14ac:dyDescent="0.2">
      <c r="A7" s="6" t="s">
        <v>444</v>
      </c>
      <c r="B7" s="6" t="s">
        <v>449</v>
      </c>
      <c r="C7" s="6" t="s">
        <v>448</v>
      </c>
    </row>
    <row r="8" spans="1:3" ht="25.5" x14ac:dyDescent="0.2">
      <c r="A8" s="6" t="s">
        <v>444</v>
      </c>
      <c r="B8" s="6" t="s">
        <v>450</v>
      </c>
      <c r="C8" s="6" t="s">
        <v>451</v>
      </c>
    </row>
    <row r="9" spans="1:3" ht="18.75" x14ac:dyDescent="0.2">
      <c r="A9" s="6" t="s">
        <v>452</v>
      </c>
      <c r="B9" s="6" t="s">
        <v>453</v>
      </c>
      <c r="C9" s="47" t="s">
        <v>454</v>
      </c>
    </row>
    <row r="10" spans="1:3" ht="18.75" x14ac:dyDescent="0.2">
      <c r="A10" s="6" t="s">
        <v>452</v>
      </c>
      <c r="B10" s="6" t="s">
        <v>455</v>
      </c>
      <c r="C10" s="47" t="s">
        <v>456</v>
      </c>
    </row>
    <row r="11" spans="1:3" ht="18.75" x14ac:dyDescent="0.2">
      <c r="A11" s="6" t="s">
        <v>452</v>
      </c>
      <c r="B11" s="6" t="s">
        <v>457</v>
      </c>
      <c r="C11" s="47" t="s">
        <v>458</v>
      </c>
    </row>
    <row r="12" spans="1:3" ht="18.75" x14ac:dyDescent="0.2">
      <c r="A12" s="6" t="s">
        <v>452</v>
      </c>
      <c r="B12" s="6" t="s">
        <v>459</v>
      </c>
      <c r="C12" s="47" t="s">
        <v>460</v>
      </c>
    </row>
    <row r="13" spans="1:3" ht="18.75" x14ac:dyDescent="0.2">
      <c r="A13" s="6" t="s">
        <v>452</v>
      </c>
      <c r="B13" s="6" t="s">
        <v>461</v>
      </c>
      <c r="C13" s="6"/>
    </row>
    <row r="14" spans="1:3" ht="21" x14ac:dyDescent="0.2">
      <c r="A14" s="6" t="s">
        <v>229</v>
      </c>
      <c r="B14" s="47" t="s">
        <v>462</v>
      </c>
      <c r="C14" s="6" t="s">
        <v>463</v>
      </c>
    </row>
    <row r="15" spans="1:3" ht="18.75" x14ac:dyDescent="0.2">
      <c r="A15" s="6" t="s">
        <v>229</v>
      </c>
      <c r="B15" s="47" t="s">
        <v>464</v>
      </c>
      <c r="C15" s="6" t="s">
        <v>465</v>
      </c>
    </row>
    <row r="16" spans="1:3" ht="18.75" x14ac:dyDescent="0.2">
      <c r="A16" s="6" t="s">
        <v>466</v>
      </c>
      <c r="B16" s="47" t="s">
        <v>467</v>
      </c>
      <c r="C16" s="6" t="s">
        <v>468</v>
      </c>
    </row>
    <row r="17" spans="1:3" ht="21" x14ac:dyDescent="0.2">
      <c r="A17" s="6" t="s">
        <v>469</v>
      </c>
      <c r="B17" s="47" t="s">
        <v>470</v>
      </c>
      <c r="C17" s="6" t="s">
        <v>471</v>
      </c>
    </row>
    <row r="18" spans="1:3" ht="28.5" x14ac:dyDescent="0.2">
      <c r="A18" s="6" t="s">
        <v>472</v>
      </c>
      <c r="B18" s="47" t="s">
        <v>473</v>
      </c>
      <c r="C18" s="6"/>
    </row>
    <row r="19" spans="1:3" ht="18.75" x14ac:dyDescent="0.2">
      <c r="A19" s="6" t="s">
        <v>472</v>
      </c>
      <c r="B19" s="47" t="s">
        <v>474</v>
      </c>
      <c r="C19" s="6" t="s">
        <v>475</v>
      </c>
    </row>
    <row r="20" spans="1:3" ht="18.75" x14ac:dyDescent="0.2">
      <c r="A20" s="6" t="s">
        <v>472</v>
      </c>
      <c r="B20" s="47" t="s">
        <v>476</v>
      </c>
      <c r="C20" s="6" t="s">
        <v>477</v>
      </c>
    </row>
    <row r="21" spans="1:3" ht="18.75" x14ac:dyDescent="0.2">
      <c r="A21" s="6" t="s">
        <v>472</v>
      </c>
      <c r="B21" s="47" t="s">
        <v>478</v>
      </c>
      <c r="C21" s="6" t="s">
        <v>479</v>
      </c>
    </row>
    <row r="22" spans="1:3" ht="18.75" x14ac:dyDescent="0.2">
      <c r="A22" s="6" t="s">
        <v>472</v>
      </c>
      <c r="B22" s="47" t="s">
        <v>480</v>
      </c>
      <c r="C22" s="6"/>
    </row>
    <row r="23" spans="1:3" ht="30.75" x14ac:dyDescent="0.2">
      <c r="A23" s="6" t="s">
        <v>472</v>
      </c>
      <c r="B23" s="47" t="s">
        <v>481</v>
      </c>
      <c r="C23" s="6"/>
    </row>
    <row r="24" spans="1:3" ht="18.75" x14ac:dyDescent="0.2">
      <c r="A24" s="6" t="s">
        <v>472</v>
      </c>
      <c r="B24" s="47" t="s">
        <v>482</v>
      </c>
      <c r="C24" s="6" t="s">
        <v>483</v>
      </c>
    </row>
    <row r="25" spans="1:3" ht="33.75" x14ac:dyDescent="0.2">
      <c r="A25" s="6" t="s">
        <v>484</v>
      </c>
      <c r="B25" s="6" t="s">
        <v>485</v>
      </c>
      <c r="C25" s="47" t="s">
        <v>486</v>
      </c>
    </row>
    <row r="26" spans="1:3" ht="18.75" x14ac:dyDescent="0.2">
      <c r="A26" s="6" t="s">
        <v>484</v>
      </c>
      <c r="B26" s="47" t="s">
        <v>487</v>
      </c>
      <c r="C26" s="6"/>
    </row>
    <row r="27" spans="1:3" x14ac:dyDescent="0.2">
      <c r="A27" s="6" t="s">
        <v>484</v>
      </c>
      <c r="B27" s="6" t="s">
        <v>488</v>
      </c>
      <c r="C27" s="6" t="s">
        <v>489</v>
      </c>
    </row>
    <row r="28" spans="1:3" ht="30.75" x14ac:dyDescent="0.2">
      <c r="A28" s="6" t="s">
        <v>490</v>
      </c>
      <c r="B28" s="47" t="s">
        <v>491</v>
      </c>
      <c r="C28" s="6" t="s">
        <v>492</v>
      </c>
    </row>
  </sheetData>
  <printOptions horizontalCentered="1"/>
  <pageMargins left="0.4" right="0.4" top="0.5" bottom="0.5" header="0.25" footer="0.25"/>
  <pageSetup paperSize="9" orientation="portrait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  <pageSetUpPr fitToPage="1"/>
  </sheetPr>
  <dimension ref="A1:Q141"/>
  <sheetViews>
    <sheetView zoomScale="90" zoomScaleNormal="90" workbookViewId="0"/>
  </sheetViews>
  <sheetFormatPr defaultColWidth="8.7421875" defaultRowHeight="15" x14ac:dyDescent="0.2"/>
  <cols>
    <col min="1" max="1" width="6.05078125" customWidth="1"/>
    <col min="2" max="2" width="3.49609375" customWidth="1"/>
    <col min="3" max="14" width="7.53125" customWidth="1"/>
    <col min="15" max="17" width="6.05078125" customWidth="1"/>
  </cols>
  <sheetData>
    <row r="1" spans="1:17" ht="18.75" x14ac:dyDescent="0.25">
      <c r="A1" s="3" t="s">
        <v>493</v>
      </c>
    </row>
    <row r="2" spans="1:17" x14ac:dyDescent="0.2">
      <c r="A2" s="15" t="s">
        <v>494</v>
      </c>
    </row>
    <row r="4" spans="1:17" ht="39.75" customHeight="1" x14ac:dyDescent="0.2">
      <c r="A4" s="5" t="s">
        <v>105</v>
      </c>
      <c r="B4" s="5" t="s">
        <v>106</v>
      </c>
      <c r="C4" s="5" t="s">
        <v>368</v>
      </c>
      <c r="D4" s="5" t="s">
        <v>372</v>
      </c>
      <c r="E4" s="5" t="s">
        <v>375</v>
      </c>
      <c r="F4" s="5" t="s">
        <v>377</v>
      </c>
      <c r="G4" s="5" t="s">
        <v>380</v>
      </c>
      <c r="H4" s="5" t="s">
        <v>382</v>
      </c>
      <c r="I4" s="5" t="s">
        <v>384</v>
      </c>
      <c r="J4" s="5" t="s">
        <v>387</v>
      </c>
      <c r="K4" s="5" t="s">
        <v>389</v>
      </c>
      <c r="L4" s="5" t="s">
        <v>392</v>
      </c>
      <c r="M4" s="5" t="s">
        <v>394</v>
      </c>
      <c r="N4" s="5" t="s">
        <v>396</v>
      </c>
      <c r="O4" s="5" t="s">
        <v>94</v>
      </c>
      <c r="P4" s="5" t="s">
        <v>96</v>
      </c>
      <c r="Q4" s="5" t="s">
        <v>421</v>
      </c>
    </row>
    <row r="5" spans="1:17" ht="16.5" x14ac:dyDescent="0.3">
      <c r="A5" s="48">
        <f>IF(日別集計!A5="","",日別集計!A5)</f>
        <v>46132</v>
      </c>
      <c r="B5" s="49" t="str">
        <f>IF(日別集計!B5="","",日別集計!B5)</f>
        <v>月</v>
      </c>
      <c r="C5" s="50">
        <f>IF(日別集計!C5="","",日別集計!C5)</f>
        <v>0</v>
      </c>
      <c r="D5" s="50">
        <f>IF(日別集計!D5="","",日別集計!D5)</f>
        <v>2</v>
      </c>
      <c r="E5" s="50">
        <f>IF(日別集計!E5="","",日別集計!E5)</f>
        <v>0</v>
      </c>
      <c r="F5" s="50">
        <f>IF(日別集計!F5="","",日別集計!F5)</f>
        <v>0</v>
      </c>
      <c r="G5" s="50">
        <f>IF(日別集計!G5="","",日別集計!G5)</f>
        <v>0</v>
      </c>
      <c r="H5" s="50">
        <f>IF(日別集計!H5="","",日別集計!H5)</f>
        <v>0</v>
      </c>
      <c r="I5" s="50">
        <f>IF(日別集計!I5="","",日別集計!I5)</f>
        <v>0</v>
      </c>
      <c r="J5" s="50">
        <f>IF(日別集計!J5="","",日別集計!J5)</f>
        <v>0</v>
      </c>
      <c r="K5" s="50">
        <f>IF(日別集計!K5="","",日別集計!K5)</f>
        <v>0</v>
      </c>
      <c r="L5" s="50">
        <f>IF(日別集計!L5="","",日別集計!L5)</f>
        <v>0</v>
      </c>
      <c r="M5" s="50">
        <f>IF(日別集計!M5="","",日別集計!M5)</f>
        <v>0</v>
      </c>
      <c r="N5" s="50">
        <f>IF(日別集計!N5="","",日別集計!N5)</f>
        <v>0</v>
      </c>
      <c r="O5" s="50">
        <f>IF(日別集計!O5="","",日別集計!O5)</f>
        <v>2</v>
      </c>
      <c r="P5" s="50">
        <f>IF(日別集計!P5="","",日別集計!P5)</f>
        <v>0</v>
      </c>
      <c r="Q5" s="50">
        <f>IF(日別集計!Q5="","",日別集計!Q5)</f>
        <v>2</v>
      </c>
    </row>
    <row r="6" spans="1:17" ht="16.5" x14ac:dyDescent="0.3">
      <c r="A6" s="48">
        <f>IF(日別集計!A6="","",日別集計!A6)</f>
        <v>46133</v>
      </c>
      <c r="B6" s="49" t="str">
        <f>IF(日別集計!B6="","",日別集計!B6)</f>
        <v>火</v>
      </c>
      <c r="C6" s="50">
        <f>IF(日別集計!C6="","",日別集計!C6)</f>
        <v>0</v>
      </c>
      <c r="D6" s="50">
        <f>IF(日別集計!D6="","",日別集計!D6)</f>
        <v>2</v>
      </c>
      <c r="E6" s="50">
        <f>IF(日別集計!E6="","",日別集計!E6)</f>
        <v>0</v>
      </c>
      <c r="F6" s="50">
        <f>IF(日別集計!F6="","",日別集計!F6)</f>
        <v>0</v>
      </c>
      <c r="G6" s="50">
        <f>IF(日別集計!G6="","",日別集計!G6)</f>
        <v>0</v>
      </c>
      <c r="H6" s="50">
        <f>IF(日別集計!H6="","",日別集計!H6)</f>
        <v>0</v>
      </c>
      <c r="I6" s="50">
        <f>IF(日別集計!I6="","",日別集計!I6)</f>
        <v>0</v>
      </c>
      <c r="J6" s="50">
        <f>IF(日別集計!J6="","",日別集計!J6)</f>
        <v>0</v>
      </c>
      <c r="K6" s="50">
        <f>IF(日別集計!K6="","",日別集計!K6)</f>
        <v>0</v>
      </c>
      <c r="L6" s="50">
        <f>IF(日別集計!L6="","",日別集計!L6)</f>
        <v>0</v>
      </c>
      <c r="M6" s="50">
        <f>IF(日別集計!M6="","",日別集計!M6)</f>
        <v>0</v>
      </c>
      <c r="N6" s="50">
        <f>IF(日別集計!N6="","",日別集計!N6)</f>
        <v>0</v>
      </c>
      <c r="O6" s="50">
        <f>IF(日別集計!O6="","",日別集計!O6)</f>
        <v>2</v>
      </c>
      <c r="P6" s="50">
        <f>IF(日別集計!P6="","",日別集計!P6)</f>
        <v>0</v>
      </c>
      <c r="Q6" s="50">
        <f>IF(日別集計!Q6="","",日別集計!Q6)</f>
        <v>2</v>
      </c>
    </row>
    <row r="7" spans="1:17" ht="16.5" x14ac:dyDescent="0.3">
      <c r="A7" s="48">
        <f>IF(日別集計!A7="","",日別集計!A7)</f>
        <v>46134</v>
      </c>
      <c r="B7" s="49" t="str">
        <f>IF(日別集計!B7="","",日別集計!B7)</f>
        <v>水</v>
      </c>
      <c r="C7" s="50">
        <f>IF(日別集計!C7="","",日別集計!C7)</f>
        <v>0</v>
      </c>
      <c r="D7" s="50">
        <f>IF(日別集計!D7="","",日別集計!D7)</f>
        <v>3</v>
      </c>
      <c r="E7" s="50">
        <f>IF(日別集計!E7="","",日別集計!E7)</f>
        <v>0</v>
      </c>
      <c r="F7" s="50">
        <f>IF(日別集計!F7="","",日別集計!F7)</f>
        <v>0</v>
      </c>
      <c r="G7" s="50">
        <f>IF(日別集計!G7="","",日別集計!G7)</f>
        <v>0</v>
      </c>
      <c r="H7" s="50">
        <f>IF(日別集計!H7="","",日別集計!H7)</f>
        <v>0</v>
      </c>
      <c r="I7" s="50">
        <f>IF(日別集計!I7="","",日別集計!I7)</f>
        <v>0</v>
      </c>
      <c r="J7" s="50">
        <f>IF(日別集計!J7="","",日別集計!J7)</f>
        <v>0</v>
      </c>
      <c r="K7" s="50">
        <f>IF(日別集計!K7="","",日別集計!K7)</f>
        <v>0</v>
      </c>
      <c r="L7" s="50">
        <f>IF(日別集計!L7="","",日別集計!L7)</f>
        <v>0</v>
      </c>
      <c r="M7" s="50">
        <f>IF(日別集計!M7="","",日別集計!M7)</f>
        <v>0</v>
      </c>
      <c r="N7" s="50">
        <f>IF(日別集計!N7="","",日別集計!N7)</f>
        <v>0</v>
      </c>
      <c r="O7" s="50">
        <f>IF(日別集計!O7="","",日別集計!O7)</f>
        <v>3</v>
      </c>
      <c r="P7" s="50">
        <f>IF(日別集計!P7="","",日別集計!P7)</f>
        <v>0</v>
      </c>
      <c r="Q7" s="50">
        <f>IF(日別集計!Q7="","",日別集計!Q7)</f>
        <v>3</v>
      </c>
    </row>
    <row r="8" spans="1:17" ht="16.5" x14ac:dyDescent="0.3">
      <c r="A8" s="48">
        <f>IF(日別集計!A8="","",日別集計!A8)</f>
        <v>46135</v>
      </c>
      <c r="B8" s="49" t="str">
        <f>IF(日別集計!B8="","",日別集計!B8)</f>
        <v>木</v>
      </c>
      <c r="C8" s="50">
        <f>IF(日別集計!C8="","",日別集計!C8)</f>
        <v>0</v>
      </c>
      <c r="D8" s="50">
        <f>IF(日別集計!D8="","",日別集計!D8)</f>
        <v>0</v>
      </c>
      <c r="E8" s="50">
        <f>IF(日別集計!E8="","",日別集計!E8)</f>
        <v>0</v>
      </c>
      <c r="F8" s="50">
        <f>IF(日別集計!F8="","",日別集計!F8)</f>
        <v>0</v>
      </c>
      <c r="G8" s="50">
        <f>IF(日別集計!G8="","",日別集計!G8)</f>
        <v>0</v>
      </c>
      <c r="H8" s="50">
        <f>IF(日別集計!H8="","",日別集計!H8)</f>
        <v>0</v>
      </c>
      <c r="I8" s="50">
        <f>IF(日別集計!I8="","",日別集計!I8)</f>
        <v>0</v>
      </c>
      <c r="J8" s="50">
        <f>IF(日別集計!J8="","",日別集計!J8)</f>
        <v>0</v>
      </c>
      <c r="K8" s="50">
        <f>IF(日別集計!K8="","",日別集計!K8)</f>
        <v>0</v>
      </c>
      <c r="L8" s="50">
        <f>IF(日別集計!L8="","",日別集計!L8)</f>
        <v>0</v>
      </c>
      <c r="M8" s="50">
        <f>IF(日別集計!M8="","",日別集計!M8)</f>
        <v>0</v>
      </c>
      <c r="N8" s="50">
        <f>IF(日別集計!N8="","",日別集計!N8)</f>
        <v>0</v>
      </c>
      <c r="O8" s="50">
        <f>IF(日別集計!O8="","",日別集計!O8)</f>
        <v>0</v>
      </c>
      <c r="P8" s="50">
        <f>IF(日別集計!P8="","",日別集計!P8)</f>
        <v>0</v>
      </c>
      <c r="Q8" s="50">
        <f>IF(日別集計!Q8="","",日別集計!Q8)</f>
        <v>0</v>
      </c>
    </row>
    <row r="9" spans="1:17" ht="16.5" x14ac:dyDescent="0.3">
      <c r="A9" s="48">
        <f>IF(日別集計!A9="","",日別集計!A9)</f>
        <v>46136</v>
      </c>
      <c r="B9" s="49" t="str">
        <f>IF(日別集計!B9="","",日別集計!B9)</f>
        <v>金</v>
      </c>
      <c r="C9" s="50">
        <f>IF(日別集計!C9="","",日別集計!C9)</f>
        <v>0</v>
      </c>
      <c r="D9" s="50">
        <f>IF(日別集計!D9="","",日別集計!D9)</f>
        <v>0</v>
      </c>
      <c r="E9" s="50">
        <f>IF(日別集計!E9="","",日別集計!E9)</f>
        <v>0</v>
      </c>
      <c r="F9" s="50">
        <f>IF(日別集計!F9="","",日別集計!F9)</f>
        <v>0</v>
      </c>
      <c r="G9" s="50">
        <f>IF(日別集計!G9="","",日別集計!G9)</f>
        <v>0</v>
      </c>
      <c r="H9" s="50">
        <f>IF(日別集計!H9="","",日別集計!H9)</f>
        <v>0</v>
      </c>
      <c r="I9" s="50">
        <f>IF(日別集計!I9="","",日別集計!I9)</f>
        <v>0</v>
      </c>
      <c r="J9" s="50">
        <f>IF(日別集計!J9="","",日別集計!J9)</f>
        <v>0</v>
      </c>
      <c r="K9" s="50">
        <f>IF(日別集計!K9="","",日別集計!K9)</f>
        <v>0</v>
      </c>
      <c r="L9" s="50">
        <f>IF(日別集計!L9="","",日別集計!L9)</f>
        <v>0</v>
      </c>
      <c r="M9" s="50">
        <f>IF(日別集計!M9="","",日別集計!M9)</f>
        <v>0</v>
      </c>
      <c r="N9" s="50">
        <f>IF(日別集計!N9="","",日別集計!N9)</f>
        <v>0</v>
      </c>
      <c r="O9" s="50">
        <f>IF(日別集計!O9="","",日別集計!O9)</f>
        <v>0</v>
      </c>
      <c r="P9" s="50">
        <f>IF(日別集計!P9="","",日別集計!P9)</f>
        <v>0</v>
      </c>
      <c r="Q9" s="50">
        <f>IF(日別集計!Q9="","",日別集計!Q9)</f>
        <v>0</v>
      </c>
    </row>
    <row r="10" spans="1:17" ht="16.5" x14ac:dyDescent="0.3">
      <c r="A10" s="51">
        <f>IF(日別集計!A10="","",日別集計!A10)</f>
        <v>46137</v>
      </c>
      <c r="B10" s="52" t="str">
        <f>IF(日別集計!B10="","",日別集計!B10)</f>
        <v>土</v>
      </c>
      <c r="C10" s="53">
        <f>IF(日別集計!C10="","",日別集計!C10)</f>
        <v>0</v>
      </c>
      <c r="D10" s="53">
        <f>IF(日別集計!D10="","",日別集計!D10)</f>
        <v>0</v>
      </c>
      <c r="E10" s="53">
        <f>IF(日別集計!E10="","",日別集計!E10)</f>
        <v>0</v>
      </c>
      <c r="F10" s="53">
        <f>IF(日別集計!F10="","",日別集計!F10)</f>
        <v>0</v>
      </c>
      <c r="G10" s="53">
        <f>IF(日別集計!G10="","",日別集計!G10)</f>
        <v>0</v>
      </c>
      <c r="H10" s="53">
        <f>IF(日別集計!H10="","",日別集計!H10)</f>
        <v>0</v>
      </c>
      <c r="I10" s="53">
        <f>IF(日別集計!I10="","",日別集計!I10)</f>
        <v>0</v>
      </c>
      <c r="J10" s="53">
        <f>IF(日別集計!J10="","",日別集計!J10)</f>
        <v>0</v>
      </c>
      <c r="K10" s="53">
        <f>IF(日別集計!K10="","",日別集計!K10)</f>
        <v>0</v>
      </c>
      <c r="L10" s="53">
        <f>IF(日別集計!L10="","",日別集計!L10)</f>
        <v>0</v>
      </c>
      <c r="M10" s="53">
        <f>IF(日別集計!M10="","",日別集計!M10)</f>
        <v>0</v>
      </c>
      <c r="N10" s="53">
        <f>IF(日別集計!N10="","",日別集計!N10)</f>
        <v>0</v>
      </c>
      <c r="O10" s="53">
        <f>IF(日別集計!O10="","",日別集計!O10)</f>
        <v>0</v>
      </c>
      <c r="P10" s="53">
        <f>IF(日別集計!P10="","",日別集計!P10)</f>
        <v>0</v>
      </c>
      <c r="Q10" s="53">
        <f>IF(日別集計!Q10="","",日別集計!Q10)</f>
        <v>0</v>
      </c>
    </row>
    <row r="11" spans="1:17" ht="16.5" x14ac:dyDescent="0.3">
      <c r="A11" s="51">
        <f>IF(日別集計!A11="","",日別集計!A11)</f>
        <v>46138</v>
      </c>
      <c r="B11" s="52" t="str">
        <f>IF(日別集計!B11="","",日別集計!B11)</f>
        <v>日</v>
      </c>
      <c r="C11" s="53">
        <f>IF(日別集計!C11="","",日別集計!C11)</f>
        <v>0</v>
      </c>
      <c r="D11" s="53">
        <f>IF(日別集計!D11="","",日別集計!D11)</f>
        <v>0</v>
      </c>
      <c r="E11" s="53">
        <f>IF(日別集計!E11="","",日別集計!E11)</f>
        <v>0</v>
      </c>
      <c r="F11" s="53">
        <f>IF(日別集計!F11="","",日別集計!F11)</f>
        <v>0</v>
      </c>
      <c r="G11" s="53">
        <f>IF(日別集計!G11="","",日別集計!G11)</f>
        <v>0</v>
      </c>
      <c r="H11" s="53">
        <f>IF(日別集計!H11="","",日別集計!H11)</f>
        <v>0</v>
      </c>
      <c r="I11" s="53">
        <f>IF(日別集計!I11="","",日別集計!I11)</f>
        <v>0</v>
      </c>
      <c r="J11" s="53">
        <f>IF(日別集計!J11="","",日別集計!J11)</f>
        <v>0</v>
      </c>
      <c r="K11" s="53">
        <f>IF(日別集計!K11="","",日別集計!K11)</f>
        <v>0</v>
      </c>
      <c r="L11" s="53">
        <f>IF(日別集計!L11="","",日別集計!L11)</f>
        <v>0</v>
      </c>
      <c r="M11" s="53">
        <f>IF(日別集計!M11="","",日別集計!M11)</f>
        <v>0</v>
      </c>
      <c r="N11" s="53">
        <f>IF(日別集計!N11="","",日別集計!N11)</f>
        <v>0</v>
      </c>
      <c r="O11" s="53">
        <f>IF(日別集計!O11="","",日別集計!O11)</f>
        <v>0</v>
      </c>
      <c r="P11" s="53">
        <f>IF(日別集計!P11="","",日別集計!P11)</f>
        <v>0</v>
      </c>
      <c r="Q11" s="53">
        <f>IF(日別集計!Q11="","",日別集計!Q11)</f>
        <v>0</v>
      </c>
    </row>
    <row r="12" spans="1:17" ht="16.5" x14ac:dyDescent="0.3">
      <c r="A12" s="48">
        <f>IF(日別集計!A12="","",日別集計!A12)</f>
        <v>46139</v>
      </c>
      <c r="B12" s="49" t="str">
        <f>IF(日別集計!B12="","",日別集計!B12)</f>
        <v>月</v>
      </c>
      <c r="C12" s="50">
        <f>IF(日別集計!C12="","",日別集計!C12)</f>
        <v>0</v>
      </c>
      <c r="D12" s="50">
        <f>IF(日別集計!D12="","",日別集計!D12)</f>
        <v>0</v>
      </c>
      <c r="E12" s="50">
        <f>IF(日別集計!E12="","",日別集計!E12)</f>
        <v>0</v>
      </c>
      <c r="F12" s="50">
        <f>IF(日別集計!F12="","",日別集計!F12)</f>
        <v>0</v>
      </c>
      <c r="G12" s="50">
        <f>IF(日別集計!G12="","",日別集計!G12)</f>
        <v>0</v>
      </c>
      <c r="H12" s="50">
        <f>IF(日別集計!H12="","",日別集計!H12)</f>
        <v>0</v>
      </c>
      <c r="I12" s="50">
        <f>IF(日別集計!I12="","",日別集計!I12)</f>
        <v>0</v>
      </c>
      <c r="J12" s="50">
        <f>IF(日別集計!J12="","",日別集計!J12)</f>
        <v>0</v>
      </c>
      <c r="K12" s="50">
        <f>IF(日別集計!K12="","",日別集計!K12)</f>
        <v>0</v>
      </c>
      <c r="L12" s="50">
        <f>IF(日別集計!L12="","",日別集計!L12)</f>
        <v>0</v>
      </c>
      <c r="M12" s="50">
        <f>IF(日別集計!M12="","",日別集計!M12)</f>
        <v>0</v>
      </c>
      <c r="N12" s="50">
        <f>IF(日別集計!N12="","",日別集計!N12)</f>
        <v>0</v>
      </c>
      <c r="O12" s="50">
        <f>IF(日別集計!O12="","",日別集計!O12)</f>
        <v>0</v>
      </c>
      <c r="P12" s="50">
        <f>IF(日別集計!P12="","",日別集計!P12)</f>
        <v>0</v>
      </c>
      <c r="Q12" s="50">
        <f>IF(日別集計!Q12="","",日別集計!Q12)</f>
        <v>0</v>
      </c>
    </row>
    <row r="13" spans="1:17" ht="16.5" x14ac:dyDescent="0.3">
      <c r="A13" s="48">
        <f>IF(日別集計!A13="","",日別集計!A13)</f>
        <v>46140</v>
      </c>
      <c r="B13" s="49" t="str">
        <f>IF(日別集計!B13="","",日別集計!B13)</f>
        <v>火</v>
      </c>
      <c r="C13" s="50">
        <f>IF(日別集計!C13="","",日別集計!C13)</f>
        <v>0</v>
      </c>
      <c r="D13" s="50">
        <f>IF(日別集計!D13="","",日別集計!D13)</f>
        <v>0</v>
      </c>
      <c r="E13" s="50">
        <f>IF(日別集計!E13="","",日別集計!E13)</f>
        <v>0</v>
      </c>
      <c r="F13" s="50">
        <f>IF(日別集計!F13="","",日別集計!F13)</f>
        <v>0</v>
      </c>
      <c r="G13" s="50">
        <f>IF(日別集計!G13="","",日別集計!G13)</f>
        <v>0</v>
      </c>
      <c r="H13" s="50">
        <f>IF(日別集計!H13="","",日別集計!H13)</f>
        <v>0</v>
      </c>
      <c r="I13" s="50">
        <f>IF(日別集計!I13="","",日別集計!I13)</f>
        <v>0</v>
      </c>
      <c r="J13" s="50">
        <f>IF(日別集計!J13="","",日別集計!J13)</f>
        <v>0</v>
      </c>
      <c r="K13" s="50">
        <f>IF(日別集計!K13="","",日別集計!K13)</f>
        <v>0</v>
      </c>
      <c r="L13" s="50">
        <f>IF(日別集計!L13="","",日別集計!L13)</f>
        <v>0</v>
      </c>
      <c r="M13" s="50">
        <f>IF(日別集計!M13="","",日別集計!M13)</f>
        <v>0</v>
      </c>
      <c r="N13" s="50">
        <f>IF(日別集計!N13="","",日別集計!N13)</f>
        <v>0</v>
      </c>
      <c r="O13" s="50">
        <f>IF(日別集計!O13="","",日別集計!O13)</f>
        <v>0</v>
      </c>
      <c r="P13" s="50">
        <f>IF(日別集計!P13="","",日別集計!P13)</f>
        <v>0</v>
      </c>
      <c r="Q13" s="50">
        <f>IF(日別集計!Q13="","",日別集計!Q13)</f>
        <v>0</v>
      </c>
    </row>
    <row r="14" spans="1:17" ht="16.5" x14ac:dyDescent="0.3">
      <c r="A14" s="48">
        <f>IF(日別集計!A14="","",日別集計!A14)</f>
        <v>46141</v>
      </c>
      <c r="B14" s="49" t="str">
        <f>IF(日別集計!B14="","",日別集計!B14)</f>
        <v>水</v>
      </c>
      <c r="C14" s="50">
        <f>IF(日別集計!C14="","",日別集計!C14)</f>
        <v>0</v>
      </c>
      <c r="D14" s="50">
        <f>IF(日別集計!D14="","",日別集計!D14)</f>
        <v>0</v>
      </c>
      <c r="E14" s="50">
        <f>IF(日別集計!E14="","",日別集計!E14)</f>
        <v>0</v>
      </c>
      <c r="F14" s="50">
        <f>IF(日別集計!F14="","",日別集計!F14)</f>
        <v>0</v>
      </c>
      <c r="G14" s="50">
        <f>IF(日別集計!G14="","",日別集計!G14)</f>
        <v>0</v>
      </c>
      <c r="H14" s="50">
        <f>IF(日別集計!H14="","",日別集計!H14)</f>
        <v>0</v>
      </c>
      <c r="I14" s="50">
        <f>IF(日別集計!I14="","",日別集計!I14)</f>
        <v>0</v>
      </c>
      <c r="J14" s="50">
        <f>IF(日別集計!J14="","",日別集計!J14)</f>
        <v>0</v>
      </c>
      <c r="K14" s="50">
        <f>IF(日別集計!K14="","",日別集計!K14)</f>
        <v>0</v>
      </c>
      <c r="L14" s="50">
        <f>IF(日別集計!L14="","",日別集計!L14)</f>
        <v>0</v>
      </c>
      <c r="M14" s="50">
        <f>IF(日別集計!M14="","",日別集計!M14)</f>
        <v>0</v>
      </c>
      <c r="N14" s="50">
        <f>IF(日別集計!N14="","",日別集計!N14)</f>
        <v>0</v>
      </c>
      <c r="O14" s="50">
        <f>IF(日別集計!O14="","",日別集計!O14)</f>
        <v>0</v>
      </c>
      <c r="P14" s="50">
        <f>IF(日別集計!P14="","",日別集計!P14)</f>
        <v>0</v>
      </c>
      <c r="Q14" s="50">
        <f>IF(日別集計!Q14="","",日別集計!Q14)</f>
        <v>0</v>
      </c>
    </row>
    <row r="15" spans="1:17" ht="16.5" x14ac:dyDescent="0.3">
      <c r="A15" s="48">
        <f>IF(日別集計!A15="","",日別集計!A15)</f>
        <v>46142</v>
      </c>
      <c r="B15" s="49" t="str">
        <f>IF(日別集計!B15="","",日別集計!B15)</f>
        <v>木</v>
      </c>
      <c r="C15" s="50">
        <f>IF(日別集計!C15="","",日別集計!C15)</f>
        <v>0</v>
      </c>
      <c r="D15" s="50">
        <f>IF(日別集計!D15="","",日別集計!D15)</f>
        <v>0</v>
      </c>
      <c r="E15" s="50">
        <f>IF(日別集計!E15="","",日別集計!E15)</f>
        <v>0</v>
      </c>
      <c r="F15" s="50">
        <f>IF(日別集計!F15="","",日別集計!F15)</f>
        <v>0</v>
      </c>
      <c r="G15" s="50">
        <f>IF(日別集計!G15="","",日別集計!G15)</f>
        <v>0</v>
      </c>
      <c r="H15" s="50">
        <f>IF(日別集計!H15="","",日別集計!H15)</f>
        <v>0</v>
      </c>
      <c r="I15" s="50">
        <f>IF(日別集計!I15="","",日別集計!I15)</f>
        <v>0</v>
      </c>
      <c r="J15" s="50">
        <f>IF(日別集計!J15="","",日別集計!J15)</f>
        <v>0</v>
      </c>
      <c r="K15" s="50">
        <f>IF(日別集計!K15="","",日別集計!K15)</f>
        <v>0</v>
      </c>
      <c r="L15" s="50">
        <f>IF(日別集計!L15="","",日別集計!L15)</f>
        <v>0</v>
      </c>
      <c r="M15" s="50">
        <f>IF(日別集計!M15="","",日別集計!M15)</f>
        <v>0</v>
      </c>
      <c r="N15" s="50">
        <f>IF(日別集計!N15="","",日別集計!N15)</f>
        <v>0</v>
      </c>
      <c r="O15" s="50">
        <f>IF(日別集計!O15="","",日別集計!O15)</f>
        <v>0</v>
      </c>
      <c r="P15" s="50">
        <f>IF(日別集計!P15="","",日別集計!P15)</f>
        <v>0</v>
      </c>
      <c r="Q15" s="50">
        <f>IF(日別集計!Q15="","",日別集計!Q15)</f>
        <v>0</v>
      </c>
    </row>
    <row r="16" spans="1:17" ht="16.5" x14ac:dyDescent="0.3">
      <c r="A16" s="48">
        <f>IF(日別集計!A16="","",日別集計!A16)</f>
        <v>46143</v>
      </c>
      <c r="B16" s="49" t="str">
        <f>IF(日別集計!B16="","",日別集計!B16)</f>
        <v>金</v>
      </c>
      <c r="C16" s="50">
        <f>IF(日別集計!C16="","",日別集計!C16)</f>
        <v>0</v>
      </c>
      <c r="D16" s="50">
        <f>IF(日別集計!D16="","",日別集計!D16)</f>
        <v>0</v>
      </c>
      <c r="E16" s="50">
        <f>IF(日別集計!E16="","",日別集計!E16)</f>
        <v>0</v>
      </c>
      <c r="F16" s="50">
        <f>IF(日別集計!F16="","",日別集計!F16)</f>
        <v>0</v>
      </c>
      <c r="G16" s="50">
        <f>IF(日別集計!G16="","",日別集計!G16)</f>
        <v>0</v>
      </c>
      <c r="H16" s="50">
        <f>IF(日別集計!H16="","",日別集計!H16)</f>
        <v>0</v>
      </c>
      <c r="I16" s="50">
        <f>IF(日別集計!I16="","",日別集計!I16)</f>
        <v>0</v>
      </c>
      <c r="J16" s="50">
        <f>IF(日別集計!J16="","",日別集計!J16)</f>
        <v>0</v>
      </c>
      <c r="K16" s="50">
        <f>IF(日別集計!K16="","",日別集計!K16)</f>
        <v>0</v>
      </c>
      <c r="L16" s="50">
        <f>IF(日別集計!L16="","",日別集計!L16)</f>
        <v>0</v>
      </c>
      <c r="M16" s="50">
        <f>IF(日別集計!M16="","",日別集計!M16)</f>
        <v>0</v>
      </c>
      <c r="N16" s="50">
        <f>IF(日別集計!N16="","",日別集計!N16)</f>
        <v>0</v>
      </c>
      <c r="O16" s="50">
        <f>IF(日別集計!O16="","",日別集計!O16)</f>
        <v>0</v>
      </c>
      <c r="P16" s="50">
        <f>IF(日別集計!P16="","",日別集計!P16)</f>
        <v>0</v>
      </c>
      <c r="Q16" s="50">
        <f>IF(日別集計!Q16="","",日別集計!Q16)</f>
        <v>0</v>
      </c>
    </row>
    <row r="17" spans="1:17" ht="16.5" x14ac:dyDescent="0.3">
      <c r="A17" s="51">
        <f>IF(日別集計!A17="","",日別集計!A17)</f>
        <v>46144</v>
      </c>
      <c r="B17" s="52" t="str">
        <f>IF(日別集計!B17="","",日別集計!B17)</f>
        <v>土</v>
      </c>
      <c r="C17" s="53">
        <f>IF(日別集計!C17="","",日別集計!C17)</f>
        <v>0</v>
      </c>
      <c r="D17" s="53">
        <f>IF(日別集計!D17="","",日別集計!D17)</f>
        <v>0</v>
      </c>
      <c r="E17" s="53">
        <f>IF(日別集計!E17="","",日別集計!E17)</f>
        <v>0</v>
      </c>
      <c r="F17" s="53">
        <f>IF(日別集計!F17="","",日別集計!F17)</f>
        <v>0</v>
      </c>
      <c r="G17" s="53">
        <f>IF(日別集計!G17="","",日別集計!G17)</f>
        <v>0</v>
      </c>
      <c r="H17" s="53">
        <f>IF(日別集計!H17="","",日別集計!H17)</f>
        <v>0</v>
      </c>
      <c r="I17" s="53">
        <f>IF(日別集計!I17="","",日別集計!I17)</f>
        <v>0</v>
      </c>
      <c r="J17" s="53">
        <f>IF(日別集計!J17="","",日別集計!J17)</f>
        <v>0</v>
      </c>
      <c r="K17" s="53">
        <f>IF(日別集計!K17="","",日別集計!K17)</f>
        <v>0</v>
      </c>
      <c r="L17" s="53">
        <f>IF(日別集計!L17="","",日別集計!L17)</f>
        <v>0</v>
      </c>
      <c r="M17" s="53">
        <f>IF(日別集計!M17="","",日別集計!M17)</f>
        <v>0</v>
      </c>
      <c r="N17" s="53">
        <f>IF(日別集計!N17="","",日別集計!N17)</f>
        <v>0</v>
      </c>
      <c r="O17" s="53">
        <f>IF(日別集計!O17="","",日別集計!O17)</f>
        <v>0</v>
      </c>
      <c r="P17" s="53">
        <f>IF(日別集計!P17="","",日別集計!P17)</f>
        <v>0</v>
      </c>
      <c r="Q17" s="53">
        <f>IF(日別集計!Q17="","",日別集計!Q17)</f>
        <v>0</v>
      </c>
    </row>
    <row r="18" spans="1:17" ht="16.5" x14ac:dyDescent="0.3">
      <c r="A18" s="51">
        <f>IF(日別集計!A18="","",日別集計!A18)</f>
        <v>46145</v>
      </c>
      <c r="B18" s="52" t="str">
        <f>IF(日別集計!B18="","",日別集計!B18)</f>
        <v>日</v>
      </c>
      <c r="C18" s="53">
        <f>IF(日別集計!C18="","",日別集計!C18)</f>
        <v>0</v>
      </c>
      <c r="D18" s="53">
        <f>IF(日別集計!D18="","",日別集計!D18)</f>
        <v>0</v>
      </c>
      <c r="E18" s="53">
        <f>IF(日別集計!E18="","",日別集計!E18)</f>
        <v>0</v>
      </c>
      <c r="F18" s="53">
        <f>IF(日別集計!F18="","",日別集計!F18)</f>
        <v>0</v>
      </c>
      <c r="G18" s="53">
        <f>IF(日別集計!G18="","",日別集計!G18)</f>
        <v>0</v>
      </c>
      <c r="H18" s="53">
        <f>IF(日別集計!H18="","",日別集計!H18)</f>
        <v>0</v>
      </c>
      <c r="I18" s="53">
        <f>IF(日別集計!I18="","",日別集計!I18)</f>
        <v>0</v>
      </c>
      <c r="J18" s="53">
        <f>IF(日別集計!J18="","",日別集計!J18)</f>
        <v>0</v>
      </c>
      <c r="K18" s="53">
        <f>IF(日別集計!K18="","",日別集計!K18)</f>
        <v>0</v>
      </c>
      <c r="L18" s="53">
        <f>IF(日別集計!L18="","",日別集計!L18)</f>
        <v>0</v>
      </c>
      <c r="M18" s="53">
        <f>IF(日別集計!M18="","",日別集計!M18)</f>
        <v>0</v>
      </c>
      <c r="N18" s="53">
        <f>IF(日別集計!N18="","",日別集計!N18)</f>
        <v>0</v>
      </c>
      <c r="O18" s="53">
        <f>IF(日別集計!O18="","",日別集計!O18)</f>
        <v>0</v>
      </c>
      <c r="P18" s="53">
        <f>IF(日別集計!P18="","",日別集計!P18)</f>
        <v>0</v>
      </c>
      <c r="Q18" s="53">
        <f>IF(日別集計!Q18="","",日別集計!Q18)</f>
        <v>0</v>
      </c>
    </row>
    <row r="19" spans="1:17" ht="16.5" x14ac:dyDescent="0.3">
      <c r="A19" s="48">
        <f>IF(日別集計!A19="","",日別集計!A19)</f>
        <v>46146</v>
      </c>
      <c r="B19" s="49" t="str">
        <f>IF(日別集計!B19="","",日別集計!B19)</f>
        <v>月</v>
      </c>
      <c r="C19" s="50">
        <f>IF(日別集計!C19="","",日別集計!C19)</f>
        <v>0</v>
      </c>
      <c r="D19" s="50">
        <f>IF(日別集計!D19="","",日別集計!D19)</f>
        <v>0</v>
      </c>
      <c r="E19" s="50">
        <f>IF(日別集計!E19="","",日別集計!E19)</f>
        <v>0</v>
      </c>
      <c r="F19" s="50">
        <f>IF(日別集計!F19="","",日別集計!F19)</f>
        <v>0</v>
      </c>
      <c r="G19" s="50">
        <f>IF(日別集計!G19="","",日別集計!G19)</f>
        <v>0</v>
      </c>
      <c r="H19" s="50">
        <f>IF(日別集計!H19="","",日別集計!H19)</f>
        <v>0</v>
      </c>
      <c r="I19" s="50">
        <f>IF(日別集計!I19="","",日別集計!I19)</f>
        <v>0</v>
      </c>
      <c r="J19" s="50">
        <f>IF(日別集計!J19="","",日別集計!J19)</f>
        <v>0</v>
      </c>
      <c r="K19" s="50">
        <f>IF(日別集計!K19="","",日別集計!K19)</f>
        <v>0</v>
      </c>
      <c r="L19" s="50">
        <f>IF(日別集計!L19="","",日別集計!L19)</f>
        <v>0</v>
      </c>
      <c r="M19" s="50">
        <f>IF(日別集計!M19="","",日別集計!M19)</f>
        <v>0</v>
      </c>
      <c r="N19" s="50">
        <f>IF(日別集計!N19="","",日別集計!N19)</f>
        <v>0</v>
      </c>
      <c r="O19" s="50">
        <f>IF(日別集計!O19="","",日別集計!O19)</f>
        <v>0</v>
      </c>
      <c r="P19" s="50">
        <f>IF(日別集計!P19="","",日別集計!P19)</f>
        <v>0</v>
      </c>
      <c r="Q19" s="50">
        <f>IF(日別集計!Q19="","",日別集計!Q19)</f>
        <v>0</v>
      </c>
    </row>
    <row r="20" spans="1:17" ht="16.5" x14ac:dyDescent="0.3">
      <c r="A20" s="48">
        <f>IF(日別集計!A20="","",日別集計!A20)</f>
        <v>46147</v>
      </c>
      <c r="B20" s="49" t="str">
        <f>IF(日別集計!B20="","",日別集計!B20)</f>
        <v>火</v>
      </c>
      <c r="C20" s="50">
        <f>IF(日別集計!C20="","",日別集計!C20)</f>
        <v>0</v>
      </c>
      <c r="D20" s="50">
        <f>IF(日別集計!D20="","",日別集計!D20)</f>
        <v>0</v>
      </c>
      <c r="E20" s="50">
        <f>IF(日別集計!E20="","",日別集計!E20)</f>
        <v>0</v>
      </c>
      <c r="F20" s="50">
        <f>IF(日別集計!F20="","",日別集計!F20)</f>
        <v>0</v>
      </c>
      <c r="G20" s="50">
        <f>IF(日別集計!G20="","",日別集計!G20)</f>
        <v>0</v>
      </c>
      <c r="H20" s="50">
        <f>IF(日別集計!H20="","",日別集計!H20)</f>
        <v>0</v>
      </c>
      <c r="I20" s="50">
        <f>IF(日別集計!I20="","",日別集計!I20)</f>
        <v>0</v>
      </c>
      <c r="J20" s="50">
        <f>IF(日別集計!J20="","",日別集計!J20)</f>
        <v>0</v>
      </c>
      <c r="K20" s="50">
        <f>IF(日別集計!K20="","",日別集計!K20)</f>
        <v>0</v>
      </c>
      <c r="L20" s="50">
        <f>IF(日別集計!L20="","",日別集計!L20)</f>
        <v>0</v>
      </c>
      <c r="M20" s="50">
        <f>IF(日別集計!M20="","",日別集計!M20)</f>
        <v>0</v>
      </c>
      <c r="N20" s="50">
        <f>IF(日別集計!N20="","",日別集計!N20)</f>
        <v>0</v>
      </c>
      <c r="O20" s="50">
        <f>IF(日別集計!O20="","",日別集計!O20)</f>
        <v>0</v>
      </c>
      <c r="P20" s="50">
        <f>IF(日別集計!P20="","",日別集計!P20)</f>
        <v>0</v>
      </c>
      <c r="Q20" s="50">
        <f>IF(日別集計!Q20="","",日別集計!Q20)</f>
        <v>0</v>
      </c>
    </row>
    <row r="21" spans="1:17" ht="16.5" x14ac:dyDescent="0.3">
      <c r="A21" s="48">
        <f>IF(日別集計!A21="","",日別集計!A21)</f>
        <v>46148</v>
      </c>
      <c r="B21" s="49" t="str">
        <f>IF(日別集計!B21="","",日別集計!B21)</f>
        <v>水</v>
      </c>
      <c r="C21" s="50">
        <f>IF(日別集計!C21="","",日別集計!C21)</f>
        <v>0</v>
      </c>
      <c r="D21" s="50">
        <f>IF(日別集計!D21="","",日別集計!D21)</f>
        <v>0</v>
      </c>
      <c r="E21" s="50">
        <f>IF(日別集計!E21="","",日別集計!E21)</f>
        <v>0</v>
      </c>
      <c r="F21" s="50">
        <f>IF(日別集計!F21="","",日別集計!F21)</f>
        <v>0</v>
      </c>
      <c r="G21" s="50">
        <f>IF(日別集計!G21="","",日別集計!G21)</f>
        <v>0</v>
      </c>
      <c r="H21" s="50">
        <f>IF(日別集計!H21="","",日別集計!H21)</f>
        <v>0</v>
      </c>
      <c r="I21" s="50">
        <f>IF(日別集計!I21="","",日別集計!I21)</f>
        <v>0</v>
      </c>
      <c r="J21" s="50">
        <f>IF(日別集計!J21="","",日別集計!J21)</f>
        <v>0</v>
      </c>
      <c r="K21" s="50">
        <f>IF(日別集計!K21="","",日別集計!K21)</f>
        <v>0</v>
      </c>
      <c r="L21" s="50">
        <f>IF(日別集計!L21="","",日別集計!L21)</f>
        <v>0</v>
      </c>
      <c r="M21" s="50">
        <f>IF(日別集計!M21="","",日別集計!M21)</f>
        <v>0</v>
      </c>
      <c r="N21" s="50">
        <f>IF(日別集計!N21="","",日別集計!N21)</f>
        <v>0</v>
      </c>
      <c r="O21" s="50">
        <f>IF(日別集計!O21="","",日別集計!O21)</f>
        <v>0</v>
      </c>
      <c r="P21" s="50">
        <f>IF(日別集計!P21="","",日別集計!P21)</f>
        <v>0</v>
      </c>
      <c r="Q21" s="50">
        <f>IF(日別集計!Q21="","",日別集計!Q21)</f>
        <v>0</v>
      </c>
    </row>
    <row r="22" spans="1:17" ht="16.5" x14ac:dyDescent="0.3">
      <c r="A22" s="48">
        <f>IF(日別集計!A22="","",日別集計!A22)</f>
        <v>46149</v>
      </c>
      <c r="B22" s="49" t="str">
        <f>IF(日別集計!B22="","",日別集計!B22)</f>
        <v>木</v>
      </c>
      <c r="C22" s="50">
        <f>IF(日別集計!C22="","",日別集計!C22)</f>
        <v>0</v>
      </c>
      <c r="D22" s="50">
        <f>IF(日別集計!D22="","",日別集計!D22)</f>
        <v>0</v>
      </c>
      <c r="E22" s="50">
        <f>IF(日別集計!E22="","",日別集計!E22)</f>
        <v>0</v>
      </c>
      <c r="F22" s="50">
        <f>IF(日別集計!F22="","",日別集計!F22)</f>
        <v>0</v>
      </c>
      <c r="G22" s="50">
        <f>IF(日別集計!G22="","",日別集計!G22)</f>
        <v>0</v>
      </c>
      <c r="H22" s="50">
        <f>IF(日別集計!H22="","",日別集計!H22)</f>
        <v>0</v>
      </c>
      <c r="I22" s="50">
        <f>IF(日別集計!I22="","",日別集計!I22)</f>
        <v>0</v>
      </c>
      <c r="J22" s="50">
        <f>IF(日別集計!J22="","",日別集計!J22)</f>
        <v>0</v>
      </c>
      <c r="K22" s="50">
        <f>IF(日別集計!K22="","",日別集計!K22)</f>
        <v>0</v>
      </c>
      <c r="L22" s="50">
        <f>IF(日別集計!L22="","",日別集計!L22)</f>
        <v>0</v>
      </c>
      <c r="M22" s="50">
        <f>IF(日別集計!M22="","",日別集計!M22)</f>
        <v>0</v>
      </c>
      <c r="N22" s="50">
        <f>IF(日別集計!N22="","",日別集計!N22)</f>
        <v>0</v>
      </c>
      <c r="O22" s="50">
        <f>IF(日別集計!O22="","",日別集計!O22)</f>
        <v>0</v>
      </c>
      <c r="P22" s="50">
        <f>IF(日別集計!P22="","",日別集計!P22)</f>
        <v>0</v>
      </c>
      <c r="Q22" s="50">
        <f>IF(日別集計!Q22="","",日別集計!Q22)</f>
        <v>0</v>
      </c>
    </row>
    <row r="23" spans="1:17" ht="16.5" x14ac:dyDescent="0.3">
      <c r="A23" s="48">
        <f>IF(日別集計!A23="","",日別集計!A23)</f>
        <v>46150</v>
      </c>
      <c r="B23" s="49" t="str">
        <f>IF(日別集計!B23="","",日別集計!B23)</f>
        <v>金</v>
      </c>
      <c r="C23" s="50">
        <f>IF(日別集計!C23="","",日別集計!C23)</f>
        <v>0</v>
      </c>
      <c r="D23" s="50">
        <f>IF(日別集計!D23="","",日別集計!D23)</f>
        <v>0</v>
      </c>
      <c r="E23" s="50">
        <f>IF(日別集計!E23="","",日別集計!E23)</f>
        <v>0</v>
      </c>
      <c r="F23" s="50">
        <f>IF(日別集計!F23="","",日別集計!F23)</f>
        <v>0</v>
      </c>
      <c r="G23" s="50">
        <f>IF(日別集計!G23="","",日別集計!G23)</f>
        <v>0</v>
      </c>
      <c r="H23" s="50">
        <f>IF(日別集計!H23="","",日別集計!H23)</f>
        <v>0</v>
      </c>
      <c r="I23" s="50">
        <f>IF(日別集計!I23="","",日別集計!I23)</f>
        <v>0</v>
      </c>
      <c r="J23" s="50">
        <f>IF(日別集計!J23="","",日別集計!J23)</f>
        <v>0</v>
      </c>
      <c r="K23" s="50">
        <f>IF(日別集計!K23="","",日別集計!K23)</f>
        <v>0</v>
      </c>
      <c r="L23" s="50">
        <f>IF(日別集計!L23="","",日別集計!L23)</f>
        <v>0</v>
      </c>
      <c r="M23" s="50">
        <f>IF(日別集計!M23="","",日別集計!M23)</f>
        <v>0</v>
      </c>
      <c r="N23" s="50">
        <f>IF(日別集計!N23="","",日別集計!N23)</f>
        <v>0</v>
      </c>
      <c r="O23" s="50">
        <f>IF(日別集計!O23="","",日別集計!O23)</f>
        <v>0</v>
      </c>
      <c r="P23" s="50">
        <f>IF(日別集計!P23="","",日別集計!P23)</f>
        <v>0</v>
      </c>
      <c r="Q23" s="50">
        <f>IF(日別集計!Q23="","",日別集計!Q23)</f>
        <v>0</v>
      </c>
    </row>
    <row r="24" spans="1:17" ht="16.5" x14ac:dyDescent="0.3">
      <c r="A24" s="51">
        <f>IF(日別集計!A24="","",日別集計!A24)</f>
        <v>46151</v>
      </c>
      <c r="B24" s="52" t="str">
        <f>IF(日別集計!B24="","",日別集計!B24)</f>
        <v>土</v>
      </c>
      <c r="C24" s="53">
        <f>IF(日別集計!C24="","",日別集計!C24)</f>
        <v>0</v>
      </c>
      <c r="D24" s="53">
        <f>IF(日別集計!D24="","",日別集計!D24)</f>
        <v>0</v>
      </c>
      <c r="E24" s="53">
        <f>IF(日別集計!E24="","",日別集計!E24)</f>
        <v>0</v>
      </c>
      <c r="F24" s="53">
        <f>IF(日別集計!F24="","",日別集計!F24)</f>
        <v>0</v>
      </c>
      <c r="G24" s="53">
        <f>IF(日別集計!G24="","",日別集計!G24)</f>
        <v>0</v>
      </c>
      <c r="H24" s="53">
        <f>IF(日別集計!H24="","",日別集計!H24)</f>
        <v>0</v>
      </c>
      <c r="I24" s="53">
        <f>IF(日別集計!I24="","",日別集計!I24)</f>
        <v>0</v>
      </c>
      <c r="J24" s="53">
        <f>IF(日別集計!J24="","",日別集計!J24)</f>
        <v>0</v>
      </c>
      <c r="K24" s="53">
        <f>IF(日別集計!K24="","",日別集計!K24)</f>
        <v>0</v>
      </c>
      <c r="L24" s="53">
        <f>IF(日別集計!L24="","",日別集計!L24)</f>
        <v>0</v>
      </c>
      <c r="M24" s="53">
        <f>IF(日別集計!M24="","",日別集計!M24)</f>
        <v>0</v>
      </c>
      <c r="N24" s="53">
        <f>IF(日別集計!N24="","",日別集計!N24)</f>
        <v>0</v>
      </c>
      <c r="O24" s="53">
        <f>IF(日別集計!O24="","",日別集計!O24)</f>
        <v>0</v>
      </c>
      <c r="P24" s="53">
        <f>IF(日別集計!P24="","",日別集計!P24)</f>
        <v>0</v>
      </c>
      <c r="Q24" s="53">
        <f>IF(日別集計!Q24="","",日別集計!Q24)</f>
        <v>0</v>
      </c>
    </row>
    <row r="25" spans="1:17" ht="16.5" x14ac:dyDescent="0.3">
      <c r="A25" s="51">
        <f>IF(日別集計!A25="","",日別集計!A25)</f>
        <v>46152</v>
      </c>
      <c r="B25" s="52" t="str">
        <f>IF(日別集計!B25="","",日別集計!B25)</f>
        <v>日</v>
      </c>
      <c r="C25" s="53">
        <f>IF(日別集計!C25="","",日別集計!C25)</f>
        <v>0</v>
      </c>
      <c r="D25" s="53">
        <f>IF(日別集計!D25="","",日別集計!D25)</f>
        <v>0</v>
      </c>
      <c r="E25" s="53">
        <f>IF(日別集計!E25="","",日別集計!E25)</f>
        <v>0</v>
      </c>
      <c r="F25" s="53">
        <f>IF(日別集計!F25="","",日別集計!F25)</f>
        <v>0</v>
      </c>
      <c r="G25" s="53">
        <f>IF(日別集計!G25="","",日別集計!G25)</f>
        <v>0</v>
      </c>
      <c r="H25" s="53">
        <f>IF(日別集計!H25="","",日別集計!H25)</f>
        <v>0</v>
      </c>
      <c r="I25" s="53">
        <f>IF(日別集計!I25="","",日別集計!I25)</f>
        <v>0</v>
      </c>
      <c r="J25" s="53">
        <f>IF(日別集計!J25="","",日別集計!J25)</f>
        <v>0</v>
      </c>
      <c r="K25" s="53">
        <f>IF(日別集計!K25="","",日別集計!K25)</f>
        <v>0</v>
      </c>
      <c r="L25" s="53">
        <f>IF(日別集計!L25="","",日別集計!L25)</f>
        <v>0</v>
      </c>
      <c r="M25" s="53">
        <f>IF(日別集計!M25="","",日別集計!M25)</f>
        <v>0</v>
      </c>
      <c r="N25" s="53">
        <f>IF(日別集計!N25="","",日別集計!N25)</f>
        <v>0</v>
      </c>
      <c r="O25" s="53">
        <f>IF(日別集計!O25="","",日別集計!O25)</f>
        <v>0</v>
      </c>
      <c r="P25" s="53">
        <f>IF(日別集計!P25="","",日別集計!P25)</f>
        <v>0</v>
      </c>
      <c r="Q25" s="53">
        <f>IF(日別集計!Q25="","",日別集計!Q25)</f>
        <v>0</v>
      </c>
    </row>
    <row r="26" spans="1:17" ht="16.5" x14ac:dyDescent="0.3">
      <c r="A26" s="48">
        <f>IF(日別集計!A26="","",日別集計!A26)</f>
        <v>46153</v>
      </c>
      <c r="B26" s="49" t="str">
        <f>IF(日別集計!B26="","",日別集計!B26)</f>
        <v>月</v>
      </c>
      <c r="C26" s="50">
        <f>IF(日別集計!C26="","",日別集計!C26)</f>
        <v>0</v>
      </c>
      <c r="D26" s="50">
        <f>IF(日別集計!D26="","",日別集計!D26)</f>
        <v>0</v>
      </c>
      <c r="E26" s="50">
        <f>IF(日別集計!E26="","",日別集計!E26)</f>
        <v>0</v>
      </c>
      <c r="F26" s="50">
        <f>IF(日別集計!F26="","",日別集計!F26)</f>
        <v>0</v>
      </c>
      <c r="G26" s="50">
        <f>IF(日別集計!G26="","",日別集計!G26)</f>
        <v>0</v>
      </c>
      <c r="H26" s="50">
        <f>IF(日別集計!H26="","",日別集計!H26)</f>
        <v>0</v>
      </c>
      <c r="I26" s="50">
        <f>IF(日別集計!I26="","",日別集計!I26)</f>
        <v>0</v>
      </c>
      <c r="J26" s="50">
        <f>IF(日別集計!J26="","",日別集計!J26)</f>
        <v>0</v>
      </c>
      <c r="K26" s="50">
        <f>IF(日別集計!K26="","",日別集計!K26)</f>
        <v>0</v>
      </c>
      <c r="L26" s="50">
        <f>IF(日別集計!L26="","",日別集計!L26)</f>
        <v>0</v>
      </c>
      <c r="M26" s="50">
        <f>IF(日別集計!M26="","",日別集計!M26)</f>
        <v>0</v>
      </c>
      <c r="N26" s="50">
        <f>IF(日別集計!N26="","",日別集計!N26)</f>
        <v>0</v>
      </c>
      <c r="O26" s="50">
        <f>IF(日別集計!O26="","",日別集計!O26)</f>
        <v>0</v>
      </c>
      <c r="P26" s="50">
        <f>IF(日別集計!P26="","",日別集計!P26)</f>
        <v>0</v>
      </c>
      <c r="Q26" s="50">
        <f>IF(日別集計!Q26="","",日別集計!Q26)</f>
        <v>0</v>
      </c>
    </row>
    <row r="27" spans="1:17" ht="16.5" x14ac:dyDescent="0.3">
      <c r="A27" s="48">
        <f>IF(日別集計!A27="","",日別集計!A27)</f>
        <v>46154</v>
      </c>
      <c r="B27" s="49" t="str">
        <f>IF(日別集計!B27="","",日別集計!B27)</f>
        <v>火</v>
      </c>
      <c r="C27" s="50">
        <f>IF(日別集計!C27="","",日別集計!C27)</f>
        <v>0</v>
      </c>
      <c r="D27" s="50">
        <f>IF(日別集計!D27="","",日別集計!D27)</f>
        <v>0</v>
      </c>
      <c r="E27" s="50">
        <f>IF(日別集計!E27="","",日別集計!E27)</f>
        <v>0</v>
      </c>
      <c r="F27" s="50">
        <f>IF(日別集計!F27="","",日別集計!F27)</f>
        <v>0</v>
      </c>
      <c r="G27" s="50">
        <f>IF(日別集計!G27="","",日別集計!G27)</f>
        <v>0</v>
      </c>
      <c r="H27" s="50">
        <f>IF(日別集計!H27="","",日別集計!H27)</f>
        <v>0</v>
      </c>
      <c r="I27" s="50">
        <f>IF(日別集計!I27="","",日別集計!I27)</f>
        <v>0</v>
      </c>
      <c r="J27" s="50">
        <f>IF(日別集計!J27="","",日別集計!J27)</f>
        <v>0</v>
      </c>
      <c r="K27" s="50">
        <f>IF(日別集計!K27="","",日別集計!K27)</f>
        <v>0</v>
      </c>
      <c r="L27" s="50">
        <f>IF(日別集計!L27="","",日別集計!L27)</f>
        <v>0</v>
      </c>
      <c r="M27" s="50">
        <f>IF(日別集計!M27="","",日別集計!M27)</f>
        <v>0</v>
      </c>
      <c r="N27" s="50">
        <f>IF(日別集計!N27="","",日別集計!N27)</f>
        <v>0</v>
      </c>
      <c r="O27" s="50">
        <f>IF(日別集計!O27="","",日別集計!O27)</f>
        <v>0</v>
      </c>
      <c r="P27" s="50">
        <f>IF(日別集計!P27="","",日別集計!P27)</f>
        <v>0</v>
      </c>
      <c r="Q27" s="50">
        <f>IF(日別集計!Q27="","",日別集計!Q27)</f>
        <v>0</v>
      </c>
    </row>
    <row r="28" spans="1:17" ht="16.5" x14ac:dyDescent="0.3">
      <c r="A28" s="48">
        <f>IF(日別集計!A28="","",日別集計!A28)</f>
        <v>46155</v>
      </c>
      <c r="B28" s="49" t="str">
        <f>IF(日別集計!B28="","",日別集計!B28)</f>
        <v>水</v>
      </c>
      <c r="C28" s="50">
        <f>IF(日別集計!C28="","",日別集計!C28)</f>
        <v>0</v>
      </c>
      <c r="D28" s="50">
        <f>IF(日別集計!D28="","",日別集計!D28)</f>
        <v>0</v>
      </c>
      <c r="E28" s="50">
        <f>IF(日別集計!E28="","",日別集計!E28)</f>
        <v>0</v>
      </c>
      <c r="F28" s="50">
        <f>IF(日別集計!F28="","",日別集計!F28)</f>
        <v>0</v>
      </c>
      <c r="G28" s="50">
        <f>IF(日別集計!G28="","",日別集計!G28)</f>
        <v>0</v>
      </c>
      <c r="H28" s="50">
        <f>IF(日別集計!H28="","",日別集計!H28)</f>
        <v>0</v>
      </c>
      <c r="I28" s="50">
        <f>IF(日別集計!I28="","",日別集計!I28)</f>
        <v>0</v>
      </c>
      <c r="J28" s="50">
        <f>IF(日別集計!J28="","",日別集計!J28)</f>
        <v>0</v>
      </c>
      <c r="K28" s="50">
        <f>IF(日別集計!K28="","",日別集計!K28)</f>
        <v>0</v>
      </c>
      <c r="L28" s="50">
        <f>IF(日別集計!L28="","",日別集計!L28)</f>
        <v>0</v>
      </c>
      <c r="M28" s="50">
        <f>IF(日別集計!M28="","",日別集計!M28)</f>
        <v>0</v>
      </c>
      <c r="N28" s="50">
        <f>IF(日別集計!N28="","",日別集計!N28)</f>
        <v>0</v>
      </c>
      <c r="O28" s="50">
        <f>IF(日別集計!O28="","",日別集計!O28)</f>
        <v>0</v>
      </c>
      <c r="P28" s="50">
        <f>IF(日別集計!P28="","",日別集計!P28)</f>
        <v>0</v>
      </c>
      <c r="Q28" s="50">
        <f>IF(日別集計!Q28="","",日別集計!Q28)</f>
        <v>0</v>
      </c>
    </row>
    <row r="29" spans="1:17" ht="16.5" x14ac:dyDescent="0.3">
      <c r="A29" s="48">
        <f>IF(日別集計!A29="","",日別集計!A29)</f>
        <v>46156</v>
      </c>
      <c r="B29" s="49" t="str">
        <f>IF(日別集計!B29="","",日別集計!B29)</f>
        <v>木</v>
      </c>
      <c r="C29" s="50">
        <f>IF(日別集計!C29="","",日別集計!C29)</f>
        <v>0</v>
      </c>
      <c r="D29" s="50">
        <f>IF(日別集計!D29="","",日別集計!D29)</f>
        <v>0</v>
      </c>
      <c r="E29" s="50">
        <f>IF(日別集計!E29="","",日別集計!E29)</f>
        <v>0</v>
      </c>
      <c r="F29" s="50">
        <f>IF(日別集計!F29="","",日別集計!F29)</f>
        <v>0</v>
      </c>
      <c r="G29" s="50">
        <f>IF(日別集計!G29="","",日別集計!G29)</f>
        <v>0</v>
      </c>
      <c r="H29" s="50">
        <f>IF(日別集計!H29="","",日別集計!H29)</f>
        <v>0</v>
      </c>
      <c r="I29" s="50">
        <f>IF(日別集計!I29="","",日別集計!I29)</f>
        <v>0</v>
      </c>
      <c r="J29" s="50">
        <f>IF(日別集計!J29="","",日別集計!J29)</f>
        <v>0</v>
      </c>
      <c r="K29" s="50">
        <f>IF(日別集計!K29="","",日別集計!K29)</f>
        <v>0</v>
      </c>
      <c r="L29" s="50">
        <f>IF(日別集計!L29="","",日別集計!L29)</f>
        <v>0</v>
      </c>
      <c r="M29" s="50">
        <f>IF(日別集計!M29="","",日別集計!M29)</f>
        <v>0</v>
      </c>
      <c r="N29" s="50">
        <f>IF(日別集計!N29="","",日別集計!N29)</f>
        <v>0</v>
      </c>
      <c r="O29" s="50">
        <f>IF(日別集計!O29="","",日別集計!O29)</f>
        <v>0</v>
      </c>
      <c r="P29" s="50">
        <f>IF(日別集計!P29="","",日別集計!P29)</f>
        <v>0</v>
      </c>
      <c r="Q29" s="50">
        <f>IF(日別集計!Q29="","",日別集計!Q29)</f>
        <v>0</v>
      </c>
    </row>
    <row r="30" spans="1:17" ht="16.5" x14ac:dyDescent="0.3">
      <c r="A30" s="48">
        <f>IF(日別集計!A30="","",日別集計!A30)</f>
        <v>46157</v>
      </c>
      <c r="B30" s="49" t="str">
        <f>IF(日別集計!B30="","",日別集計!B30)</f>
        <v>金</v>
      </c>
      <c r="C30" s="50">
        <f>IF(日別集計!C30="","",日別集計!C30)</f>
        <v>0</v>
      </c>
      <c r="D30" s="50">
        <f>IF(日別集計!D30="","",日別集計!D30)</f>
        <v>0</v>
      </c>
      <c r="E30" s="50">
        <f>IF(日別集計!E30="","",日別集計!E30)</f>
        <v>0</v>
      </c>
      <c r="F30" s="50">
        <f>IF(日別集計!F30="","",日別集計!F30)</f>
        <v>0</v>
      </c>
      <c r="G30" s="50">
        <f>IF(日別集計!G30="","",日別集計!G30)</f>
        <v>0</v>
      </c>
      <c r="H30" s="50">
        <f>IF(日別集計!H30="","",日別集計!H30)</f>
        <v>0</v>
      </c>
      <c r="I30" s="50">
        <f>IF(日別集計!I30="","",日別集計!I30)</f>
        <v>0</v>
      </c>
      <c r="J30" s="50">
        <f>IF(日別集計!J30="","",日別集計!J30)</f>
        <v>0</v>
      </c>
      <c r="K30" s="50">
        <f>IF(日別集計!K30="","",日別集計!K30)</f>
        <v>0</v>
      </c>
      <c r="L30" s="50">
        <f>IF(日別集計!L30="","",日別集計!L30)</f>
        <v>0</v>
      </c>
      <c r="M30" s="50">
        <f>IF(日別集計!M30="","",日別集計!M30)</f>
        <v>0</v>
      </c>
      <c r="N30" s="50">
        <f>IF(日別集計!N30="","",日別集計!N30)</f>
        <v>0</v>
      </c>
      <c r="O30" s="50">
        <f>IF(日別集計!O30="","",日別集計!O30)</f>
        <v>0</v>
      </c>
      <c r="P30" s="50">
        <f>IF(日別集計!P30="","",日別集計!P30)</f>
        <v>0</v>
      </c>
      <c r="Q30" s="50">
        <f>IF(日別集計!Q30="","",日別集計!Q30)</f>
        <v>0</v>
      </c>
    </row>
    <row r="31" spans="1:17" ht="16.5" x14ac:dyDescent="0.3">
      <c r="A31" s="51">
        <f>IF(日別集計!A31="","",日別集計!A31)</f>
        <v>46158</v>
      </c>
      <c r="B31" s="52" t="str">
        <f>IF(日別集計!B31="","",日別集計!B31)</f>
        <v>土</v>
      </c>
      <c r="C31" s="53">
        <f>IF(日別集計!C31="","",日別集計!C31)</f>
        <v>0</v>
      </c>
      <c r="D31" s="53">
        <f>IF(日別集計!D31="","",日別集計!D31)</f>
        <v>0</v>
      </c>
      <c r="E31" s="53">
        <f>IF(日別集計!E31="","",日別集計!E31)</f>
        <v>0</v>
      </c>
      <c r="F31" s="53">
        <f>IF(日別集計!F31="","",日別集計!F31)</f>
        <v>0</v>
      </c>
      <c r="G31" s="53">
        <f>IF(日別集計!G31="","",日別集計!G31)</f>
        <v>0</v>
      </c>
      <c r="H31" s="53">
        <f>IF(日別集計!H31="","",日別集計!H31)</f>
        <v>0</v>
      </c>
      <c r="I31" s="53">
        <f>IF(日別集計!I31="","",日別集計!I31)</f>
        <v>0</v>
      </c>
      <c r="J31" s="53">
        <f>IF(日別集計!J31="","",日別集計!J31)</f>
        <v>0</v>
      </c>
      <c r="K31" s="53">
        <f>IF(日別集計!K31="","",日別集計!K31)</f>
        <v>0</v>
      </c>
      <c r="L31" s="53">
        <f>IF(日別集計!L31="","",日別集計!L31)</f>
        <v>0</v>
      </c>
      <c r="M31" s="53">
        <f>IF(日別集計!M31="","",日別集計!M31)</f>
        <v>0</v>
      </c>
      <c r="N31" s="53">
        <f>IF(日別集計!N31="","",日別集計!N31)</f>
        <v>0</v>
      </c>
      <c r="O31" s="53">
        <f>IF(日別集計!O31="","",日別集計!O31)</f>
        <v>0</v>
      </c>
      <c r="P31" s="53">
        <f>IF(日別集計!P31="","",日別集計!P31)</f>
        <v>0</v>
      </c>
      <c r="Q31" s="53">
        <f>IF(日別集計!Q31="","",日別集計!Q31)</f>
        <v>0</v>
      </c>
    </row>
    <row r="32" spans="1:17" ht="16.5" x14ac:dyDescent="0.3">
      <c r="A32" s="51">
        <f>IF(日別集計!A32="","",日別集計!A32)</f>
        <v>46159</v>
      </c>
      <c r="B32" s="52" t="str">
        <f>IF(日別集計!B32="","",日別集計!B32)</f>
        <v>日</v>
      </c>
      <c r="C32" s="53">
        <f>IF(日別集計!C32="","",日別集計!C32)</f>
        <v>0</v>
      </c>
      <c r="D32" s="53">
        <f>IF(日別集計!D32="","",日別集計!D32)</f>
        <v>0</v>
      </c>
      <c r="E32" s="53">
        <f>IF(日別集計!E32="","",日別集計!E32)</f>
        <v>0</v>
      </c>
      <c r="F32" s="53">
        <f>IF(日別集計!F32="","",日別集計!F32)</f>
        <v>0</v>
      </c>
      <c r="G32" s="53">
        <f>IF(日別集計!G32="","",日別集計!G32)</f>
        <v>0</v>
      </c>
      <c r="H32" s="53">
        <f>IF(日別集計!H32="","",日別集計!H32)</f>
        <v>0</v>
      </c>
      <c r="I32" s="53">
        <f>IF(日別集計!I32="","",日別集計!I32)</f>
        <v>0</v>
      </c>
      <c r="J32" s="53">
        <f>IF(日別集計!J32="","",日別集計!J32)</f>
        <v>0</v>
      </c>
      <c r="K32" s="53">
        <f>IF(日別集計!K32="","",日別集計!K32)</f>
        <v>0</v>
      </c>
      <c r="L32" s="53">
        <f>IF(日別集計!L32="","",日別集計!L32)</f>
        <v>0</v>
      </c>
      <c r="M32" s="53">
        <f>IF(日別集計!M32="","",日別集計!M32)</f>
        <v>0</v>
      </c>
      <c r="N32" s="53">
        <f>IF(日別集計!N32="","",日別集計!N32)</f>
        <v>0</v>
      </c>
      <c r="O32" s="53">
        <f>IF(日別集計!O32="","",日別集計!O32)</f>
        <v>0</v>
      </c>
      <c r="P32" s="53">
        <f>IF(日別集計!P32="","",日別集計!P32)</f>
        <v>0</v>
      </c>
      <c r="Q32" s="53">
        <f>IF(日別集計!Q32="","",日別集計!Q32)</f>
        <v>0</v>
      </c>
    </row>
    <row r="33" spans="1:17" ht="16.5" x14ac:dyDescent="0.3">
      <c r="A33" s="48">
        <f>IF(日別集計!A33="","",日別集計!A33)</f>
        <v>46160</v>
      </c>
      <c r="B33" s="49" t="str">
        <f>IF(日別集計!B33="","",日別集計!B33)</f>
        <v>月</v>
      </c>
      <c r="C33" s="50">
        <f>IF(日別集計!C33="","",日別集計!C33)</f>
        <v>0</v>
      </c>
      <c r="D33" s="50">
        <f>IF(日別集計!D33="","",日別集計!D33)</f>
        <v>0</v>
      </c>
      <c r="E33" s="50">
        <f>IF(日別集計!E33="","",日別集計!E33)</f>
        <v>0</v>
      </c>
      <c r="F33" s="50">
        <f>IF(日別集計!F33="","",日別集計!F33)</f>
        <v>0</v>
      </c>
      <c r="G33" s="50">
        <f>IF(日別集計!G33="","",日別集計!G33)</f>
        <v>0</v>
      </c>
      <c r="H33" s="50">
        <f>IF(日別集計!H33="","",日別集計!H33)</f>
        <v>0</v>
      </c>
      <c r="I33" s="50">
        <f>IF(日別集計!I33="","",日別集計!I33)</f>
        <v>0</v>
      </c>
      <c r="J33" s="50">
        <f>IF(日別集計!J33="","",日別集計!J33)</f>
        <v>0</v>
      </c>
      <c r="K33" s="50">
        <f>IF(日別集計!K33="","",日別集計!K33)</f>
        <v>0</v>
      </c>
      <c r="L33" s="50">
        <f>IF(日別集計!L33="","",日別集計!L33)</f>
        <v>0</v>
      </c>
      <c r="M33" s="50">
        <f>IF(日別集計!M33="","",日別集計!M33)</f>
        <v>0</v>
      </c>
      <c r="N33" s="50">
        <f>IF(日別集計!N33="","",日別集計!N33)</f>
        <v>0</v>
      </c>
      <c r="O33" s="50">
        <f>IF(日別集計!O33="","",日別集計!O33)</f>
        <v>0</v>
      </c>
      <c r="P33" s="50">
        <f>IF(日別集計!P33="","",日別集計!P33)</f>
        <v>0</v>
      </c>
      <c r="Q33" s="50">
        <f>IF(日別集計!Q33="","",日別集計!Q33)</f>
        <v>0</v>
      </c>
    </row>
    <row r="34" spans="1:17" ht="16.5" x14ac:dyDescent="0.3">
      <c r="A34" s="48">
        <f>IF(日別集計!A34="","",日別集計!A34)</f>
        <v>46161</v>
      </c>
      <c r="B34" s="49" t="str">
        <f>IF(日別集計!B34="","",日別集計!B34)</f>
        <v>火</v>
      </c>
      <c r="C34" s="50">
        <f>IF(日別集計!C34="","",日別集計!C34)</f>
        <v>0</v>
      </c>
      <c r="D34" s="50">
        <f>IF(日別集計!D34="","",日別集計!D34)</f>
        <v>0</v>
      </c>
      <c r="E34" s="50">
        <f>IF(日別集計!E34="","",日別集計!E34)</f>
        <v>2</v>
      </c>
      <c r="F34" s="50">
        <f>IF(日別集計!F34="","",日別集計!F34)</f>
        <v>0</v>
      </c>
      <c r="G34" s="50">
        <f>IF(日別集計!G34="","",日別集計!G34)</f>
        <v>0</v>
      </c>
      <c r="H34" s="50">
        <f>IF(日別集計!H34="","",日別集計!H34)</f>
        <v>0</v>
      </c>
      <c r="I34" s="50">
        <f>IF(日別集計!I34="","",日別集計!I34)</f>
        <v>0</v>
      </c>
      <c r="J34" s="50">
        <f>IF(日別集計!J34="","",日別集計!J34)</f>
        <v>0</v>
      </c>
      <c r="K34" s="50">
        <f>IF(日別集計!K34="","",日別集計!K34)</f>
        <v>0</v>
      </c>
      <c r="L34" s="50">
        <f>IF(日別集計!L34="","",日別集計!L34)</f>
        <v>0</v>
      </c>
      <c r="M34" s="50">
        <f>IF(日別集計!M34="","",日別集計!M34)</f>
        <v>0</v>
      </c>
      <c r="N34" s="50">
        <f>IF(日別集計!N34="","",日別集計!N34)</f>
        <v>0</v>
      </c>
      <c r="O34" s="50">
        <f>IF(日別集計!O34="","",日別集計!O34)</f>
        <v>2</v>
      </c>
      <c r="P34" s="50">
        <f>IF(日別集計!P34="","",日別集計!P34)</f>
        <v>0</v>
      </c>
      <c r="Q34" s="50">
        <f>IF(日別集計!Q34="","",日別集計!Q34)</f>
        <v>2</v>
      </c>
    </row>
    <row r="35" spans="1:17" ht="16.5" x14ac:dyDescent="0.3">
      <c r="A35" s="48">
        <f>IF(日別集計!A35="","",日別集計!A35)</f>
        <v>46162</v>
      </c>
      <c r="B35" s="49" t="str">
        <f>IF(日別集計!B35="","",日別集計!B35)</f>
        <v>水</v>
      </c>
      <c r="C35" s="50">
        <f>IF(日別集計!C35="","",日別集計!C35)</f>
        <v>0</v>
      </c>
      <c r="D35" s="50">
        <f>IF(日別集計!D35="","",日別集計!D35)</f>
        <v>0</v>
      </c>
      <c r="E35" s="50">
        <f>IF(日別集計!E35="","",日別集計!E35)</f>
        <v>2</v>
      </c>
      <c r="F35" s="50">
        <f>IF(日別集計!F35="","",日別集計!F35)</f>
        <v>0</v>
      </c>
      <c r="G35" s="50">
        <f>IF(日別集計!G35="","",日別集計!G35)</f>
        <v>0</v>
      </c>
      <c r="H35" s="50">
        <f>IF(日別集計!H35="","",日別集計!H35)</f>
        <v>0</v>
      </c>
      <c r="I35" s="50">
        <f>IF(日別集計!I35="","",日別集計!I35)</f>
        <v>0</v>
      </c>
      <c r="J35" s="50">
        <f>IF(日別集計!J35="","",日別集計!J35)</f>
        <v>0</v>
      </c>
      <c r="K35" s="50">
        <f>IF(日別集計!K35="","",日別集計!K35)</f>
        <v>0</v>
      </c>
      <c r="L35" s="50">
        <f>IF(日別集計!L35="","",日別集計!L35)</f>
        <v>0</v>
      </c>
      <c r="M35" s="50">
        <f>IF(日別集計!M35="","",日別集計!M35)</f>
        <v>0</v>
      </c>
      <c r="N35" s="50">
        <f>IF(日別集計!N35="","",日別集計!N35)</f>
        <v>0</v>
      </c>
      <c r="O35" s="50">
        <f>IF(日別集計!O35="","",日別集計!O35)</f>
        <v>2</v>
      </c>
      <c r="P35" s="50">
        <f>IF(日別集計!P35="","",日別集計!P35)</f>
        <v>0</v>
      </c>
      <c r="Q35" s="50">
        <f>IF(日別集計!Q35="","",日別集計!Q35)</f>
        <v>2</v>
      </c>
    </row>
    <row r="36" spans="1:17" ht="16.5" x14ac:dyDescent="0.3">
      <c r="A36" s="48">
        <f>IF(日別集計!A36="","",日別集計!A36)</f>
        <v>46163</v>
      </c>
      <c r="B36" s="49" t="str">
        <f>IF(日別集計!B36="","",日別集計!B36)</f>
        <v>木</v>
      </c>
      <c r="C36" s="50">
        <f>IF(日別集計!C36="","",日別集計!C36)</f>
        <v>0</v>
      </c>
      <c r="D36" s="50">
        <f>IF(日別集計!D36="","",日別集計!D36)</f>
        <v>0</v>
      </c>
      <c r="E36" s="50">
        <f>IF(日別集計!E36="","",日別集計!E36)</f>
        <v>2</v>
      </c>
      <c r="F36" s="50">
        <f>IF(日別集計!F36="","",日別集計!F36)</f>
        <v>0</v>
      </c>
      <c r="G36" s="50">
        <f>IF(日別集計!G36="","",日別集計!G36)</f>
        <v>0</v>
      </c>
      <c r="H36" s="50">
        <f>IF(日別集計!H36="","",日別集計!H36)</f>
        <v>0</v>
      </c>
      <c r="I36" s="50">
        <f>IF(日別集計!I36="","",日別集計!I36)</f>
        <v>0</v>
      </c>
      <c r="J36" s="50">
        <f>IF(日別集計!J36="","",日別集計!J36)</f>
        <v>0</v>
      </c>
      <c r="K36" s="50">
        <f>IF(日別集計!K36="","",日別集計!K36)</f>
        <v>0</v>
      </c>
      <c r="L36" s="50">
        <f>IF(日別集計!L36="","",日別集計!L36)</f>
        <v>0</v>
      </c>
      <c r="M36" s="50">
        <f>IF(日別集計!M36="","",日別集計!M36)</f>
        <v>0</v>
      </c>
      <c r="N36" s="50">
        <f>IF(日別集計!N36="","",日別集計!N36)</f>
        <v>0</v>
      </c>
      <c r="O36" s="50">
        <f>IF(日別集計!O36="","",日別集計!O36)</f>
        <v>2</v>
      </c>
      <c r="P36" s="50">
        <f>IF(日別集計!P36="","",日別集計!P36)</f>
        <v>0</v>
      </c>
      <c r="Q36" s="50">
        <f>IF(日別集計!Q36="","",日別集計!Q36)</f>
        <v>2</v>
      </c>
    </row>
    <row r="37" spans="1:17" ht="16.5" x14ac:dyDescent="0.3">
      <c r="A37" s="48">
        <f>IF(日別集計!A37="","",日別集計!A37)</f>
        <v>46164</v>
      </c>
      <c r="B37" s="49" t="str">
        <f>IF(日別集計!B37="","",日別集計!B37)</f>
        <v>金</v>
      </c>
      <c r="C37" s="50">
        <f>IF(日別集計!C37="","",日別集計!C37)</f>
        <v>0</v>
      </c>
      <c r="D37" s="50">
        <f>IF(日別集計!D37="","",日別集計!D37)</f>
        <v>0</v>
      </c>
      <c r="E37" s="50">
        <f>IF(日別集計!E37="","",日別集計!E37)</f>
        <v>0</v>
      </c>
      <c r="F37" s="50">
        <f>IF(日別集計!F37="","",日別集計!F37)</f>
        <v>0</v>
      </c>
      <c r="G37" s="50">
        <f>IF(日別集計!G37="","",日別集計!G37)</f>
        <v>0</v>
      </c>
      <c r="H37" s="50">
        <f>IF(日別集計!H37="","",日別集計!H37)</f>
        <v>0</v>
      </c>
      <c r="I37" s="50">
        <f>IF(日別集計!I37="","",日別集計!I37)</f>
        <v>0</v>
      </c>
      <c r="J37" s="50">
        <f>IF(日別集計!J37="","",日別集計!J37)</f>
        <v>0</v>
      </c>
      <c r="K37" s="50">
        <f>IF(日別集計!K37="","",日別集計!K37)</f>
        <v>0</v>
      </c>
      <c r="L37" s="50">
        <f>IF(日別集計!L37="","",日別集計!L37)</f>
        <v>0</v>
      </c>
      <c r="M37" s="50">
        <f>IF(日別集計!M37="","",日別集計!M37)</f>
        <v>0</v>
      </c>
      <c r="N37" s="50">
        <f>IF(日別集計!N37="","",日別集計!N37)</f>
        <v>0</v>
      </c>
      <c r="O37" s="50">
        <f>IF(日別集計!O37="","",日別集計!O37)</f>
        <v>0</v>
      </c>
      <c r="P37" s="50">
        <f>IF(日別集計!P37="","",日別集計!P37)</f>
        <v>0</v>
      </c>
      <c r="Q37" s="50">
        <f>IF(日別集計!Q37="","",日別集計!Q37)</f>
        <v>0</v>
      </c>
    </row>
    <row r="38" spans="1:17" ht="16.5" x14ac:dyDescent="0.3">
      <c r="A38" s="51">
        <f>IF(日別集計!A38="","",日別集計!A38)</f>
        <v>46165</v>
      </c>
      <c r="B38" s="52" t="str">
        <f>IF(日別集計!B38="","",日別集計!B38)</f>
        <v>土</v>
      </c>
      <c r="C38" s="53">
        <f>IF(日別集計!C38="","",日別集計!C38)</f>
        <v>0</v>
      </c>
      <c r="D38" s="53">
        <f>IF(日別集計!D38="","",日別集計!D38)</f>
        <v>0</v>
      </c>
      <c r="E38" s="53">
        <f>IF(日別集計!E38="","",日別集計!E38)</f>
        <v>0</v>
      </c>
      <c r="F38" s="53">
        <f>IF(日別集計!F38="","",日別集計!F38)</f>
        <v>0</v>
      </c>
      <c r="G38" s="53">
        <f>IF(日別集計!G38="","",日別集計!G38)</f>
        <v>0</v>
      </c>
      <c r="H38" s="53">
        <f>IF(日別集計!H38="","",日別集計!H38)</f>
        <v>0</v>
      </c>
      <c r="I38" s="53">
        <f>IF(日別集計!I38="","",日別集計!I38)</f>
        <v>0</v>
      </c>
      <c r="J38" s="53">
        <f>IF(日別集計!J38="","",日別集計!J38)</f>
        <v>0</v>
      </c>
      <c r="K38" s="53">
        <f>IF(日別集計!K38="","",日別集計!K38)</f>
        <v>0</v>
      </c>
      <c r="L38" s="53">
        <f>IF(日別集計!L38="","",日別集計!L38)</f>
        <v>0</v>
      </c>
      <c r="M38" s="53">
        <f>IF(日別集計!M38="","",日別集計!M38)</f>
        <v>0</v>
      </c>
      <c r="N38" s="53">
        <f>IF(日別集計!N38="","",日別集計!N38)</f>
        <v>0</v>
      </c>
      <c r="O38" s="53">
        <f>IF(日別集計!O38="","",日別集計!O38)</f>
        <v>0</v>
      </c>
      <c r="P38" s="53">
        <f>IF(日別集計!P38="","",日別集計!P38)</f>
        <v>0</v>
      </c>
      <c r="Q38" s="53">
        <f>IF(日別集計!Q38="","",日別集計!Q38)</f>
        <v>0</v>
      </c>
    </row>
    <row r="39" spans="1:17" ht="16.5" x14ac:dyDescent="0.3">
      <c r="A39" s="51">
        <f>IF(日別集計!A39="","",日別集計!A39)</f>
        <v>46166</v>
      </c>
      <c r="B39" s="52" t="str">
        <f>IF(日別集計!B39="","",日別集計!B39)</f>
        <v>日</v>
      </c>
      <c r="C39" s="53">
        <f>IF(日別集計!C39="","",日別集計!C39)</f>
        <v>0</v>
      </c>
      <c r="D39" s="53">
        <f>IF(日別集計!D39="","",日別集計!D39)</f>
        <v>0</v>
      </c>
      <c r="E39" s="53">
        <f>IF(日別集計!E39="","",日別集計!E39)</f>
        <v>0</v>
      </c>
      <c r="F39" s="53">
        <f>IF(日別集計!F39="","",日別集計!F39)</f>
        <v>0</v>
      </c>
      <c r="G39" s="53">
        <f>IF(日別集計!G39="","",日別集計!G39)</f>
        <v>0</v>
      </c>
      <c r="H39" s="53">
        <f>IF(日別集計!H39="","",日別集計!H39)</f>
        <v>0</v>
      </c>
      <c r="I39" s="53">
        <f>IF(日別集計!I39="","",日別集計!I39)</f>
        <v>0</v>
      </c>
      <c r="J39" s="53">
        <f>IF(日別集計!J39="","",日別集計!J39)</f>
        <v>0</v>
      </c>
      <c r="K39" s="53">
        <f>IF(日別集計!K39="","",日別集計!K39)</f>
        <v>0</v>
      </c>
      <c r="L39" s="53">
        <f>IF(日別集計!L39="","",日別集計!L39)</f>
        <v>0</v>
      </c>
      <c r="M39" s="53">
        <f>IF(日別集計!M39="","",日別集計!M39)</f>
        <v>0</v>
      </c>
      <c r="N39" s="53">
        <f>IF(日別集計!N39="","",日別集計!N39)</f>
        <v>0</v>
      </c>
      <c r="O39" s="53">
        <f>IF(日別集計!O39="","",日別集計!O39)</f>
        <v>0</v>
      </c>
      <c r="P39" s="53">
        <f>IF(日別集計!P39="","",日別集計!P39)</f>
        <v>0</v>
      </c>
      <c r="Q39" s="53">
        <f>IF(日別集計!Q39="","",日別集計!Q39)</f>
        <v>0</v>
      </c>
    </row>
    <row r="40" spans="1:17" ht="16.5" x14ac:dyDescent="0.3">
      <c r="A40" s="48">
        <f>IF(日別集計!A40="","",日別集計!A40)</f>
        <v>46167</v>
      </c>
      <c r="B40" s="49" t="str">
        <f>IF(日別集計!B40="","",日別集計!B40)</f>
        <v>月</v>
      </c>
      <c r="C40" s="50">
        <f>IF(日別集計!C40="","",日別集計!C40)</f>
        <v>0</v>
      </c>
      <c r="D40" s="50">
        <f>IF(日別集計!D40="","",日別集計!D40)</f>
        <v>0</v>
      </c>
      <c r="E40" s="50">
        <f>IF(日別集計!E40="","",日別集計!E40)</f>
        <v>0</v>
      </c>
      <c r="F40" s="50">
        <f>IF(日別集計!F40="","",日別集計!F40)</f>
        <v>0</v>
      </c>
      <c r="G40" s="50">
        <f>IF(日別集計!G40="","",日別集計!G40)</f>
        <v>0</v>
      </c>
      <c r="H40" s="50">
        <f>IF(日別集計!H40="","",日別集計!H40)</f>
        <v>0</v>
      </c>
      <c r="I40" s="50">
        <f>IF(日別集計!I40="","",日別集計!I40)</f>
        <v>0</v>
      </c>
      <c r="J40" s="50">
        <f>IF(日別集計!J40="","",日別集計!J40)</f>
        <v>0</v>
      </c>
      <c r="K40" s="50">
        <f>IF(日別集計!K40="","",日別集計!K40)</f>
        <v>0</v>
      </c>
      <c r="L40" s="50">
        <f>IF(日別集計!L40="","",日別集計!L40)</f>
        <v>0</v>
      </c>
      <c r="M40" s="50">
        <f>IF(日別集計!M40="","",日別集計!M40)</f>
        <v>0</v>
      </c>
      <c r="N40" s="50">
        <f>IF(日別集計!N40="","",日別集計!N40)</f>
        <v>0</v>
      </c>
      <c r="O40" s="50">
        <f>IF(日別集計!O40="","",日別集計!O40)</f>
        <v>0</v>
      </c>
      <c r="P40" s="50">
        <f>IF(日別集計!P40="","",日別集計!P40)</f>
        <v>0</v>
      </c>
      <c r="Q40" s="50">
        <f>IF(日別集計!Q40="","",日別集計!Q40)</f>
        <v>0</v>
      </c>
    </row>
    <row r="41" spans="1:17" ht="16.5" x14ac:dyDescent="0.3">
      <c r="A41" s="48">
        <f>IF(日別集計!A41="","",日別集計!A41)</f>
        <v>46168</v>
      </c>
      <c r="B41" s="49" t="str">
        <f>IF(日別集計!B41="","",日別集計!B41)</f>
        <v>火</v>
      </c>
      <c r="C41" s="50">
        <f>IF(日別集計!C41="","",日別集計!C41)</f>
        <v>0</v>
      </c>
      <c r="D41" s="50">
        <f>IF(日別集計!D41="","",日別集計!D41)</f>
        <v>0</v>
      </c>
      <c r="E41" s="50">
        <f>IF(日別集計!E41="","",日別集計!E41)</f>
        <v>0</v>
      </c>
      <c r="F41" s="50">
        <f>IF(日別集計!F41="","",日別集計!F41)</f>
        <v>0</v>
      </c>
      <c r="G41" s="50">
        <f>IF(日別集計!G41="","",日別集計!G41)</f>
        <v>0</v>
      </c>
      <c r="H41" s="50">
        <f>IF(日別集計!H41="","",日別集計!H41)</f>
        <v>0</v>
      </c>
      <c r="I41" s="50">
        <f>IF(日別集計!I41="","",日別集計!I41)</f>
        <v>0</v>
      </c>
      <c r="J41" s="50">
        <f>IF(日別集計!J41="","",日別集計!J41)</f>
        <v>0</v>
      </c>
      <c r="K41" s="50">
        <f>IF(日別集計!K41="","",日別集計!K41)</f>
        <v>0</v>
      </c>
      <c r="L41" s="50">
        <f>IF(日別集計!L41="","",日別集計!L41)</f>
        <v>0</v>
      </c>
      <c r="M41" s="50">
        <f>IF(日別集計!M41="","",日別集計!M41)</f>
        <v>0</v>
      </c>
      <c r="N41" s="50">
        <f>IF(日別集計!N41="","",日別集計!N41)</f>
        <v>0</v>
      </c>
      <c r="O41" s="50">
        <f>IF(日別集計!O41="","",日別集計!O41)</f>
        <v>0</v>
      </c>
      <c r="P41" s="50">
        <f>IF(日別集計!P41="","",日別集計!P41)</f>
        <v>0</v>
      </c>
      <c r="Q41" s="50">
        <f>IF(日別集計!Q41="","",日別集計!Q41)</f>
        <v>0</v>
      </c>
    </row>
    <row r="42" spans="1:17" ht="16.5" x14ac:dyDescent="0.3">
      <c r="A42" s="48">
        <f>IF(日別集計!A42="","",日別集計!A42)</f>
        <v>46169</v>
      </c>
      <c r="B42" s="49" t="str">
        <f>IF(日別集計!B42="","",日別集計!B42)</f>
        <v>水</v>
      </c>
      <c r="C42" s="50">
        <f>IF(日別集計!C42="","",日別集計!C42)</f>
        <v>0</v>
      </c>
      <c r="D42" s="50">
        <f>IF(日別集計!D42="","",日別集計!D42)</f>
        <v>0</v>
      </c>
      <c r="E42" s="50">
        <f>IF(日別集計!E42="","",日別集計!E42)</f>
        <v>0</v>
      </c>
      <c r="F42" s="50">
        <f>IF(日別集計!F42="","",日別集計!F42)</f>
        <v>0</v>
      </c>
      <c r="G42" s="50">
        <f>IF(日別集計!G42="","",日別集計!G42)</f>
        <v>0</v>
      </c>
      <c r="H42" s="50">
        <f>IF(日別集計!H42="","",日別集計!H42)</f>
        <v>0</v>
      </c>
      <c r="I42" s="50">
        <f>IF(日別集計!I42="","",日別集計!I42)</f>
        <v>0</v>
      </c>
      <c r="J42" s="50">
        <f>IF(日別集計!J42="","",日別集計!J42)</f>
        <v>0</v>
      </c>
      <c r="K42" s="50">
        <f>IF(日別集計!K42="","",日別集計!K42)</f>
        <v>0</v>
      </c>
      <c r="L42" s="50">
        <f>IF(日別集計!L42="","",日別集計!L42)</f>
        <v>0</v>
      </c>
      <c r="M42" s="50">
        <f>IF(日別集計!M42="","",日別集計!M42)</f>
        <v>0</v>
      </c>
      <c r="N42" s="50">
        <f>IF(日別集計!N42="","",日別集計!N42)</f>
        <v>0</v>
      </c>
      <c r="O42" s="50">
        <f>IF(日別集計!O42="","",日別集計!O42)</f>
        <v>0</v>
      </c>
      <c r="P42" s="50">
        <f>IF(日別集計!P42="","",日別集計!P42)</f>
        <v>0</v>
      </c>
      <c r="Q42" s="50">
        <f>IF(日別集計!Q42="","",日別集計!Q42)</f>
        <v>0</v>
      </c>
    </row>
    <row r="43" spans="1:17" ht="16.5" x14ac:dyDescent="0.3">
      <c r="A43" s="48">
        <f>IF(日別集計!A43="","",日別集計!A43)</f>
        <v>46170</v>
      </c>
      <c r="B43" s="49" t="str">
        <f>IF(日別集計!B43="","",日別集計!B43)</f>
        <v>木</v>
      </c>
      <c r="C43" s="50">
        <f>IF(日別集計!C43="","",日別集計!C43)</f>
        <v>0</v>
      </c>
      <c r="D43" s="50">
        <f>IF(日別集計!D43="","",日別集計!D43)</f>
        <v>0</v>
      </c>
      <c r="E43" s="50">
        <f>IF(日別集計!E43="","",日別集計!E43)</f>
        <v>0</v>
      </c>
      <c r="F43" s="50">
        <f>IF(日別集計!F43="","",日別集計!F43)</f>
        <v>0</v>
      </c>
      <c r="G43" s="50">
        <f>IF(日別集計!G43="","",日別集計!G43)</f>
        <v>0</v>
      </c>
      <c r="H43" s="50">
        <f>IF(日別集計!H43="","",日別集計!H43)</f>
        <v>0</v>
      </c>
      <c r="I43" s="50">
        <f>IF(日別集計!I43="","",日別集計!I43)</f>
        <v>0</v>
      </c>
      <c r="J43" s="50">
        <f>IF(日別集計!J43="","",日別集計!J43)</f>
        <v>0</v>
      </c>
      <c r="K43" s="50">
        <f>IF(日別集計!K43="","",日別集計!K43)</f>
        <v>0</v>
      </c>
      <c r="L43" s="50">
        <f>IF(日別集計!L43="","",日別集計!L43)</f>
        <v>0</v>
      </c>
      <c r="M43" s="50">
        <f>IF(日別集計!M43="","",日別集計!M43)</f>
        <v>0</v>
      </c>
      <c r="N43" s="50">
        <f>IF(日別集計!N43="","",日別集計!N43)</f>
        <v>0</v>
      </c>
      <c r="O43" s="50">
        <f>IF(日別集計!O43="","",日別集計!O43)</f>
        <v>0</v>
      </c>
      <c r="P43" s="50">
        <f>IF(日別集計!P43="","",日別集計!P43)</f>
        <v>0</v>
      </c>
      <c r="Q43" s="50">
        <f>IF(日別集計!Q43="","",日別集計!Q43)</f>
        <v>0</v>
      </c>
    </row>
    <row r="44" spans="1:17" ht="16.5" x14ac:dyDescent="0.3">
      <c r="A44" s="48">
        <f>IF(日別集計!A44="","",日別集計!A44)</f>
        <v>46171</v>
      </c>
      <c r="B44" s="49" t="str">
        <f>IF(日別集計!B44="","",日別集計!B44)</f>
        <v>金</v>
      </c>
      <c r="C44" s="50">
        <f>IF(日別集計!C44="","",日別集計!C44)</f>
        <v>0</v>
      </c>
      <c r="D44" s="50">
        <f>IF(日別集計!D44="","",日別集計!D44)</f>
        <v>0</v>
      </c>
      <c r="E44" s="50">
        <f>IF(日別集計!E44="","",日別集計!E44)</f>
        <v>0</v>
      </c>
      <c r="F44" s="50">
        <f>IF(日別集計!F44="","",日別集計!F44)</f>
        <v>0</v>
      </c>
      <c r="G44" s="50">
        <f>IF(日別集計!G44="","",日別集計!G44)</f>
        <v>0</v>
      </c>
      <c r="H44" s="50">
        <f>IF(日別集計!H44="","",日別集計!H44)</f>
        <v>0</v>
      </c>
      <c r="I44" s="50">
        <f>IF(日別集計!I44="","",日別集計!I44)</f>
        <v>0</v>
      </c>
      <c r="J44" s="50">
        <f>IF(日別集計!J44="","",日別集計!J44)</f>
        <v>0</v>
      </c>
      <c r="K44" s="50">
        <f>IF(日別集計!K44="","",日別集計!K44)</f>
        <v>0</v>
      </c>
      <c r="L44" s="50">
        <f>IF(日別集計!L44="","",日別集計!L44)</f>
        <v>0</v>
      </c>
      <c r="M44" s="50">
        <f>IF(日別集計!M44="","",日別集計!M44)</f>
        <v>0</v>
      </c>
      <c r="N44" s="50">
        <f>IF(日別集計!N44="","",日別集計!N44)</f>
        <v>0</v>
      </c>
      <c r="O44" s="50">
        <f>IF(日別集計!O44="","",日別集計!O44)</f>
        <v>0</v>
      </c>
      <c r="P44" s="50">
        <f>IF(日別集計!P44="","",日別集計!P44)</f>
        <v>0</v>
      </c>
      <c r="Q44" s="50">
        <f>IF(日別集計!Q44="","",日別集計!Q44)</f>
        <v>0</v>
      </c>
    </row>
    <row r="45" spans="1:17" ht="16.5" x14ac:dyDescent="0.3">
      <c r="A45" s="51">
        <f>IF(日別集計!A45="","",日別集計!A45)</f>
        <v>46172</v>
      </c>
      <c r="B45" s="52" t="str">
        <f>IF(日別集計!B45="","",日別集計!B45)</f>
        <v>土</v>
      </c>
      <c r="C45" s="53">
        <f>IF(日別集計!C45="","",日別集計!C45)</f>
        <v>0</v>
      </c>
      <c r="D45" s="53">
        <f>IF(日別集計!D45="","",日別集計!D45)</f>
        <v>0</v>
      </c>
      <c r="E45" s="53">
        <f>IF(日別集計!E45="","",日別集計!E45)</f>
        <v>0</v>
      </c>
      <c r="F45" s="53">
        <f>IF(日別集計!F45="","",日別集計!F45)</f>
        <v>0</v>
      </c>
      <c r="G45" s="53">
        <f>IF(日別集計!G45="","",日別集計!G45)</f>
        <v>0</v>
      </c>
      <c r="H45" s="53">
        <f>IF(日別集計!H45="","",日別集計!H45)</f>
        <v>0</v>
      </c>
      <c r="I45" s="53">
        <f>IF(日別集計!I45="","",日別集計!I45)</f>
        <v>0</v>
      </c>
      <c r="J45" s="53">
        <f>IF(日別集計!J45="","",日別集計!J45)</f>
        <v>0</v>
      </c>
      <c r="K45" s="53">
        <f>IF(日別集計!K45="","",日別集計!K45)</f>
        <v>0</v>
      </c>
      <c r="L45" s="53">
        <f>IF(日別集計!L45="","",日別集計!L45)</f>
        <v>0</v>
      </c>
      <c r="M45" s="53">
        <f>IF(日別集計!M45="","",日別集計!M45)</f>
        <v>0</v>
      </c>
      <c r="N45" s="53">
        <f>IF(日別集計!N45="","",日別集計!N45)</f>
        <v>0</v>
      </c>
      <c r="O45" s="53">
        <f>IF(日別集計!O45="","",日別集計!O45)</f>
        <v>0</v>
      </c>
      <c r="P45" s="53">
        <f>IF(日別集計!P45="","",日別集計!P45)</f>
        <v>0</v>
      </c>
      <c r="Q45" s="53">
        <f>IF(日別集計!Q45="","",日別集計!Q45)</f>
        <v>0</v>
      </c>
    </row>
    <row r="46" spans="1:17" ht="16.5" x14ac:dyDescent="0.3">
      <c r="A46" s="51">
        <f>IF(日別集計!A46="","",日別集計!A46)</f>
        <v>46173</v>
      </c>
      <c r="B46" s="52" t="str">
        <f>IF(日別集計!B46="","",日別集計!B46)</f>
        <v>日</v>
      </c>
      <c r="C46" s="53">
        <f>IF(日別集計!C46="","",日別集計!C46)</f>
        <v>0</v>
      </c>
      <c r="D46" s="53">
        <f>IF(日別集計!D46="","",日別集計!D46)</f>
        <v>0</v>
      </c>
      <c r="E46" s="53">
        <f>IF(日別集計!E46="","",日別集計!E46)</f>
        <v>0</v>
      </c>
      <c r="F46" s="53">
        <f>IF(日別集計!F46="","",日別集計!F46)</f>
        <v>0</v>
      </c>
      <c r="G46" s="53">
        <f>IF(日別集計!G46="","",日別集計!G46)</f>
        <v>0</v>
      </c>
      <c r="H46" s="53">
        <f>IF(日別集計!H46="","",日別集計!H46)</f>
        <v>0</v>
      </c>
      <c r="I46" s="53">
        <f>IF(日別集計!I46="","",日別集計!I46)</f>
        <v>0</v>
      </c>
      <c r="J46" s="53">
        <f>IF(日別集計!J46="","",日別集計!J46)</f>
        <v>0</v>
      </c>
      <c r="K46" s="53">
        <f>IF(日別集計!K46="","",日別集計!K46)</f>
        <v>0</v>
      </c>
      <c r="L46" s="53">
        <f>IF(日別集計!L46="","",日別集計!L46)</f>
        <v>0</v>
      </c>
      <c r="M46" s="53">
        <f>IF(日別集計!M46="","",日別集計!M46)</f>
        <v>0</v>
      </c>
      <c r="N46" s="53">
        <f>IF(日別集計!N46="","",日別集計!N46)</f>
        <v>0</v>
      </c>
      <c r="O46" s="53">
        <f>IF(日別集計!O46="","",日別集計!O46)</f>
        <v>0</v>
      </c>
      <c r="P46" s="53">
        <f>IF(日別集計!P46="","",日別集計!P46)</f>
        <v>0</v>
      </c>
      <c r="Q46" s="53">
        <f>IF(日別集計!Q46="","",日別集計!Q46)</f>
        <v>0</v>
      </c>
    </row>
    <row r="47" spans="1:17" ht="16.5" x14ac:dyDescent="0.3">
      <c r="A47" s="48">
        <f>IF(日別集計!A47="","",日別集計!A47)</f>
        <v>46174</v>
      </c>
      <c r="B47" s="49" t="str">
        <f>IF(日別集計!B47="","",日別集計!B47)</f>
        <v>月</v>
      </c>
      <c r="C47" s="50">
        <f>IF(日別集計!C47="","",日別集計!C47)</f>
        <v>0</v>
      </c>
      <c r="D47" s="50">
        <f>IF(日別集計!D47="","",日別集計!D47)</f>
        <v>0</v>
      </c>
      <c r="E47" s="50">
        <f>IF(日別集計!E47="","",日別集計!E47)</f>
        <v>0</v>
      </c>
      <c r="F47" s="50">
        <f>IF(日別集計!F47="","",日別集計!F47)</f>
        <v>0</v>
      </c>
      <c r="G47" s="50">
        <f>IF(日別集計!G47="","",日別集計!G47)</f>
        <v>0</v>
      </c>
      <c r="H47" s="50">
        <f>IF(日別集計!H47="","",日別集計!H47)</f>
        <v>0</v>
      </c>
      <c r="I47" s="50">
        <f>IF(日別集計!I47="","",日別集計!I47)</f>
        <v>0</v>
      </c>
      <c r="J47" s="50">
        <f>IF(日別集計!J47="","",日別集計!J47)</f>
        <v>0</v>
      </c>
      <c r="K47" s="50">
        <f>IF(日別集計!K47="","",日別集計!K47)</f>
        <v>0</v>
      </c>
      <c r="L47" s="50">
        <f>IF(日別集計!L47="","",日別集計!L47)</f>
        <v>0</v>
      </c>
      <c r="M47" s="50">
        <f>IF(日別集計!M47="","",日別集計!M47)</f>
        <v>0</v>
      </c>
      <c r="N47" s="50">
        <f>IF(日別集計!N47="","",日別集計!N47)</f>
        <v>0</v>
      </c>
      <c r="O47" s="50">
        <f>IF(日別集計!O47="","",日別集計!O47)</f>
        <v>0</v>
      </c>
      <c r="P47" s="50">
        <f>IF(日別集計!P47="","",日別集計!P47)</f>
        <v>0</v>
      </c>
      <c r="Q47" s="50">
        <f>IF(日別集計!Q47="","",日別集計!Q47)</f>
        <v>0</v>
      </c>
    </row>
    <row r="48" spans="1:17" ht="16.5" x14ac:dyDescent="0.3">
      <c r="A48" s="48">
        <f>IF(日別集計!A48="","",日別集計!A48)</f>
        <v>46175</v>
      </c>
      <c r="B48" s="49" t="str">
        <f>IF(日別集計!B48="","",日別集計!B48)</f>
        <v>火</v>
      </c>
      <c r="C48" s="50">
        <f>IF(日別集計!C48="","",日別集計!C48)</f>
        <v>0</v>
      </c>
      <c r="D48" s="50">
        <f>IF(日別集計!D48="","",日別集計!D48)</f>
        <v>0</v>
      </c>
      <c r="E48" s="50">
        <f>IF(日別集計!E48="","",日別集計!E48)</f>
        <v>0</v>
      </c>
      <c r="F48" s="50">
        <f>IF(日別集計!F48="","",日別集計!F48)</f>
        <v>0</v>
      </c>
      <c r="G48" s="50">
        <f>IF(日別集計!G48="","",日別集計!G48)</f>
        <v>0</v>
      </c>
      <c r="H48" s="50">
        <f>IF(日別集計!H48="","",日別集計!H48)</f>
        <v>0</v>
      </c>
      <c r="I48" s="50">
        <f>IF(日別集計!I48="","",日別集計!I48)</f>
        <v>0</v>
      </c>
      <c r="J48" s="50">
        <f>IF(日別集計!J48="","",日別集計!J48)</f>
        <v>0</v>
      </c>
      <c r="K48" s="50">
        <f>IF(日別集計!K48="","",日別集計!K48)</f>
        <v>0</v>
      </c>
      <c r="L48" s="50">
        <f>IF(日別集計!L48="","",日別集計!L48)</f>
        <v>0</v>
      </c>
      <c r="M48" s="50">
        <f>IF(日別集計!M48="","",日別集計!M48)</f>
        <v>0</v>
      </c>
      <c r="N48" s="50">
        <f>IF(日別集計!N48="","",日別集計!N48)</f>
        <v>0</v>
      </c>
      <c r="O48" s="50">
        <f>IF(日別集計!O48="","",日別集計!O48)</f>
        <v>0</v>
      </c>
      <c r="P48" s="50">
        <f>IF(日別集計!P48="","",日別集計!P48)</f>
        <v>0</v>
      </c>
      <c r="Q48" s="50">
        <f>IF(日別集計!Q48="","",日別集計!Q48)</f>
        <v>0</v>
      </c>
    </row>
    <row r="49" spans="1:17" ht="16.5" x14ac:dyDescent="0.3">
      <c r="A49" s="48">
        <f>IF(日別集計!A49="","",日別集計!A49)</f>
        <v>46176</v>
      </c>
      <c r="B49" s="49" t="str">
        <f>IF(日別集計!B49="","",日別集計!B49)</f>
        <v>水</v>
      </c>
      <c r="C49" s="50">
        <f>IF(日別集計!C49="","",日別集計!C49)</f>
        <v>0</v>
      </c>
      <c r="D49" s="50">
        <f>IF(日別集計!D49="","",日別集計!D49)</f>
        <v>0</v>
      </c>
      <c r="E49" s="50">
        <f>IF(日別集計!E49="","",日別集計!E49)</f>
        <v>0</v>
      </c>
      <c r="F49" s="50">
        <f>IF(日別集計!F49="","",日別集計!F49)</f>
        <v>0</v>
      </c>
      <c r="G49" s="50">
        <f>IF(日別集計!G49="","",日別集計!G49)</f>
        <v>0</v>
      </c>
      <c r="H49" s="50">
        <f>IF(日別集計!H49="","",日別集計!H49)</f>
        <v>0</v>
      </c>
      <c r="I49" s="50">
        <f>IF(日別集計!I49="","",日別集計!I49)</f>
        <v>0</v>
      </c>
      <c r="J49" s="50">
        <f>IF(日別集計!J49="","",日別集計!J49)</f>
        <v>0</v>
      </c>
      <c r="K49" s="50">
        <f>IF(日別集計!K49="","",日別集計!K49)</f>
        <v>0</v>
      </c>
      <c r="L49" s="50">
        <f>IF(日別集計!L49="","",日別集計!L49)</f>
        <v>0</v>
      </c>
      <c r="M49" s="50">
        <f>IF(日別集計!M49="","",日別集計!M49)</f>
        <v>0</v>
      </c>
      <c r="N49" s="50">
        <f>IF(日別集計!N49="","",日別集計!N49)</f>
        <v>0</v>
      </c>
      <c r="O49" s="50">
        <f>IF(日別集計!O49="","",日別集計!O49)</f>
        <v>0</v>
      </c>
      <c r="P49" s="50">
        <f>IF(日別集計!P49="","",日別集計!P49)</f>
        <v>0</v>
      </c>
      <c r="Q49" s="50">
        <f>IF(日別集計!Q49="","",日別集計!Q49)</f>
        <v>0</v>
      </c>
    </row>
    <row r="50" spans="1:17" ht="16.5" x14ac:dyDescent="0.3">
      <c r="A50" s="48">
        <f>IF(日別集計!A50="","",日別集計!A50)</f>
        <v>46177</v>
      </c>
      <c r="B50" s="49" t="str">
        <f>IF(日別集計!B50="","",日別集計!B50)</f>
        <v>木</v>
      </c>
      <c r="C50" s="50">
        <f>IF(日別集計!C50="","",日別集計!C50)</f>
        <v>0</v>
      </c>
      <c r="D50" s="50">
        <f>IF(日別集計!D50="","",日別集計!D50)</f>
        <v>0</v>
      </c>
      <c r="E50" s="50">
        <f>IF(日別集計!E50="","",日別集計!E50)</f>
        <v>0</v>
      </c>
      <c r="F50" s="50">
        <f>IF(日別集計!F50="","",日別集計!F50)</f>
        <v>0</v>
      </c>
      <c r="G50" s="50">
        <f>IF(日別集計!G50="","",日別集計!G50)</f>
        <v>0</v>
      </c>
      <c r="H50" s="50">
        <f>IF(日別集計!H50="","",日別集計!H50)</f>
        <v>0</v>
      </c>
      <c r="I50" s="50">
        <f>IF(日別集計!I50="","",日別集計!I50)</f>
        <v>0</v>
      </c>
      <c r="J50" s="50">
        <f>IF(日別集計!J50="","",日別集計!J50)</f>
        <v>0</v>
      </c>
      <c r="K50" s="50">
        <f>IF(日別集計!K50="","",日別集計!K50)</f>
        <v>0</v>
      </c>
      <c r="L50" s="50">
        <f>IF(日別集計!L50="","",日別集計!L50)</f>
        <v>0</v>
      </c>
      <c r="M50" s="50">
        <f>IF(日別集計!M50="","",日別集計!M50)</f>
        <v>0</v>
      </c>
      <c r="N50" s="50">
        <f>IF(日別集計!N50="","",日別集計!N50)</f>
        <v>0</v>
      </c>
      <c r="O50" s="50">
        <f>IF(日別集計!O50="","",日別集計!O50)</f>
        <v>0</v>
      </c>
      <c r="P50" s="50">
        <f>IF(日別集計!P50="","",日別集計!P50)</f>
        <v>0</v>
      </c>
      <c r="Q50" s="50">
        <f>IF(日別集計!Q50="","",日別集計!Q50)</f>
        <v>0</v>
      </c>
    </row>
    <row r="51" spans="1:17" ht="16.5" x14ac:dyDescent="0.3">
      <c r="A51" s="48">
        <f>IF(日別集計!A51="","",日別集計!A51)</f>
        <v>46178</v>
      </c>
      <c r="B51" s="49" t="str">
        <f>IF(日別集計!B51="","",日別集計!B51)</f>
        <v>金</v>
      </c>
      <c r="C51" s="50">
        <f>IF(日別集計!C51="","",日別集計!C51)</f>
        <v>0</v>
      </c>
      <c r="D51" s="50">
        <f>IF(日別集計!D51="","",日別集計!D51)</f>
        <v>0</v>
      </c>
      <c r="E51" s="50">
        <f>IF(日別集計!E51="","",日別集計!E51)</f>
        <v>0</v>
      </c>
      <c r="F51" s="50">
        <f>IF(日別集計!F51="","",日別集計!F51)</f>
        <v>0</v>
      </c>
      <c r="G51" s="50">
        <f>IF(日別集計!G51="","",日別集計!G51)</f>
        <v>0</v>
      </c>
      <c r="H51" s="50">
        <f>IF(日別集計!H51="","",日別集計!H51)</f>
        <v>0</v>
      </c>
      <c r="I51" s="50">
        <f>IF(日別集計!I51="","",日別集計!I51)</f>
        <v>0</v>
      </c>
      <c r="J51" s="50">
        <f>IF(日別集計!J51="","",日別集計!J51)</f>
        <v>0</v>
      </c>
      <c r="K51" s="50">
        <f>IF(日別集計!K51="","",日別集計!K51)</f>
        <v>0</v>
      </c>
      <c r="L51" s="50">
        <f>IF(日別集計!L51="","",日別集計!L51)</f>
        <v>0</v>
      </c>
      <c r="M51" s="50">
        <f>IF(日別集計!M51="","",日別集計!M51)</f>
        <v>0</v>
      </c>
      <c r="N51" s="50">
        <f>IF(日別集計!N51="","",日別集計!N51)</f>
        <v>0</v>
      </c>
      <c r="O51" s="50">
        <f>IF(日別集計!O51="","",日別集計!O51)</f>
        <v>0</v>
      </c>
      <c r="P51" s="50">
        <f>IF(日別集計!P51="","",日別集計!P51)</f>
        <v>0</v>
      </c>
      <c r="Q51" s="50">
        <f>IF(日別集計!Q51="","",日別集計!Q51)</f>
        <v>0</v>
      </c>
    </row>
    <row r="52" spans="1:17" ht="16.5" x14ac:dyDescent="0.3">
      <c r="A52" s="51">
        <f>IF(日別集計!A52="","",日別集計!A52)</f>
        <v>46179</v>
      </c>
      <c r="B52" s="52" t="str">
        <f>IF(日別集計!B52="","",日別集計!B52)</f>
        <v>土</v>
      </c>
      <c r="C52" s="53">
        <f>IF(日別集計!C52="","",日別集計!C52)</f>
        <v>0</v>
      </c>
      <c r="D52" s="53">
        <f>IF(日別集計!D52="","",日別集計!D52)</f>
        <v>0</v>
      </c>
      <c r="E52" s="53">
        <f>IF(日別集計!E52="","",日別集計!E52)</f>
        <v>0</v>
      </c>
      <c r="F52" s="53">
        <f>IF(日別集計!F52="","",日別集計!F52)</f>
        <v>0</v>
      </c>
      <c r="G52" s="53">
        <f>IF(日別集計!G52="","",日別集計!G52)</f>
        <v>0</v>
      </c>
      <c r="H52" s="53">
        <f>IF(日別集計!H52="","",日別集計!H52)</f>
        <v>0</v>
      </c>
      <c r="I52" s="53">
        <f>IF(日別集計!I52="","",日別集計!I52)</f>
        <v>0</v>
      </c>
      <c r="J52" s="53">
        <f>IF(日別集計!J52="","",日別集計!J52)</f>
        <v>0</v>
      </c>
      <c r="K52" s="53">
        <f>IF(日別集計!K52="","",日別集計!K52)</f>
        <v>0</v>
      </c>
      <c r="L52" s="53">
        <f>IF(日別集計!L52="","",日別集計!L52)</f>
        <v>0</v>
      </c>
      <c r="M52" s="53">
        <f>IF(日別集計!M52="","",日別集計!M52)</f>
        <v>0</v>
      </c>
      <c r="N52" s="53">
        <f>IF(日別集計!N52="","",日別集計!N52)</f>
        <v>0</v>
      </c>
      <c r="O52" s="53">
        <f>IF(日別集計!O52="","",日別集計!O52)</f>
        <v>0</v>
      </c>
      <c r="P52" s="53">
        <f>IF(日別集計!P52="","",日別集計!P52)</f>
        <v>0</v>
      </c>
      <c r="Q52" s="53">
        <f>IF(日別集計!Q52="","",日別集計!Q52)</f>
        <v>0</v>
      </c>
    </row>
    <row r="53" spans="1:17" ht="16.5" x14ac:dyDescent="0.3">
      <c r="A53" s="51">
        <f>IF(日別集計!A53="","",日別集計!A53)</f>
        <v>46180</v>
      </c>
      <c r="B53" s="52" t="str">
        <f>IF(日別集計!B53="","",日別集計!B53)</f>
        <v>日</v>
      </c>
      <c r="C53" s="53">
        <f>IF(日別集計!C53="","",日別集計!C53)</f>
        <v>0</v>
      </c>
      <c r="D53" s="53">
        <f>IF(日別集計!D53="","",日別集計!D53)</f>
        <v>0</v>
      </c>
      <c r="E53" s="53">
        <f>IF(日別集計!E53="","",日別集計!E53)</f>
        <v>0</v>
      </c>
      <c r="F53" s="53">
        <f>IF(日別集計!F53="","",日別集計!F53)</f>
        <v>0</v>
      </c>
      <c r="G53" s="53">
        <f>IF(日別集計!G53="","",日別集計!G53)</f>
        <v>0</v>
      </c>
      <c r="H53" s="53">
        <f>IF(日別集計!H53="","",日別集計!H53)</f>
        <v>0</v>
      </c>
      <c r="I53" s="53">
        <f>IF(日別集計!I53="","",日別集計!I53)</f>
        <v>0</v>
      </c>
      <c r="J53" s="53">
        <f>IF(日別集計!J53="","",日別集計!J53)</f>
        <v>0</v>
      </c>
      <c r="K53" s="53">
        <f>IF(日別集計!K53="","",日別集計!K53)</f>
        <v>0</v>
      </c>
      <c r="L53" s="53">
        <f>IF(日別集計!L53="","",日別集計!L53)</f>
        <v>0</v>
      </c>
      <c r="M53" s="53">
        <f>IF(日別集計!M53="","",日別集計!M53)</f>
        <v>0</v>
      </c>
      <c r="N53" s="53">
        <f>IF(日別集計!N53="","",日別集計!N53)</f>
        <v>0</v>
      </c>
      <c r="O53" s="53">
        <f>IF(日別集計!O53="","",日別集計!O53)</f>
        <v>0</v>
      </c>
      <c r="P53" s="53">
        <f>IF(日別集計!P53="","",日別集計!P53)</f>
        <v>0</v>
      </c>
      <c r="Q53" s="53">
        <f>IF(日別集計!Q53="","",日別集計!Q53)</f>
        <v>0</v>
      </c>
    </row>
    <row r="54" spans="1:17" ht="16.5" x14ac:dyDescent="0.3">
      <c r="A54" s="48">
        <f>IF(日別集計!A54="","",日別集計!A54)</f>
        <v>46181</v>
      </c>
      <c r="B54" s="49" t="str">
        <f>IF(日別集計!B54="","",日別集計!B54)</f>
        <v>月</v>
      </c>
      <c r="C54" s="50">
        <f>IF(日別集計!C54="","",日別集計!C54)</f>
        <v>0</v>
      </c>
      <c r="D54" s="50">
        <f>IF(日別集計!D54="","",日別集計!D54)</f>
        <v>0</v>
      </c>
      <c r="E54" s="50">
        <f>IF(日別集計!E54="","",日別集計!E54)</f>
        <v>0</v>
      </c>
      <c r="F54" s="50">
        <f>IF(日別集計!F54="","",日別集計!F54)</f>
        <v>0</v>
      </c>
      <c r="G54" s="50">
        <f>IF(日別集計!G54="","",日別集計!G54)</f>
        <v>0</v>
      </c>
      <c r="H54" s="50">
        <f>IF(日別集計!H54="","",日別集計!H54)</f>
        <v>0</v>
      </c>
      <c r="I54" s="50">
        <f>IF(日別集計!I54="","",日別集計!I54)</f>
        <v>0</v>
      </c>
      <c r="J54" s="50">
        <f>IF(日別集計!J54="","",日別集計!J54)</f>
        <v>0</v>
      </c>
      <c r="K54" s="50">
        <f>IF(日別集計!K54="","",日別集計!K54)</f>
        <v>0</v>
      </c>
      <c r="L54" s="50">
        <f>IF(日別集計!L54="","",日別集計!L54)</f>
        <v>0</v>
      </c>
      <c r="M54" s="50">
        <f>IF(日別集計!M54="","",日別集計!M54)</f>
        <v>0</v>
      </c>
      <c r="N54" s="50">
        <f>IF(日別集計!N54="","",日別集計!N54)</f>
        <v>0</v>
      </c>
      <c r="O54" s="50">
        <f>IF(日別集計!O54="","",日別集計!O54)</f>
        <v>0</v>
      </c>
      <c r="P54" s="50">
        <f>IF(日別集計!P54="","",日別集計!P54)</f>
        <v>0</v>
      </c>
      <c r="Q54" s="50">
        <f>IF(日別集計!Q54="","",日別集計!Q54)</f>
        <v>0</v>
      </c>
    </row>
    <row r="55" spans="1:17" ht="16.5" x14ac:dyDescent="0.3">
      <c r="A55" s="48">
        <f>IF(日別集計!A55="","",日別集計!A55)</f>
        <v>46182</v>
      </c>
      <c r="B55" s="49" t="str">
        <f>IF(日別集計!B55="","",日別集計!B55)</f>
        <v>火</v>
      </c>
      <c r="C55" s="50">
        <f>IF(日別集計!C55="","",日別集計!C55)</f>
        <v>0</v>
      </c>
      <c r="D55" s="50">
        <f>IF(日別集計!D55="","",日別集計!D55)</f>
        <v>0</v>
      </c>
      <c r="E55" s="50">
        <f>IF(日別集計!E55="","",日別集計!E55)</f>
        <v>0</v>
      </c>
      <c r="F55" s="50">
        <f>IF(日別集計!F55="","",日別集計!F55)</f>
        <v>0</v>
      </c>
      <c r="G55" s="50">
        <f>IF(日別集計!G55="","",日別集計!G55)</f>
        <v>0</v>
      </c>
      <c r="H55" s="50">
        <f>IF(日別集計!H55="","",日別集計!H55)</f>
        <v>0</v>
      </c>
      <c r="I55" s="50">
        <f>IF(日別集計!I55="","",日別集計!I55)</f>
        <v>0</v>
      </c>
      <c r="J55" s="50">
        <f>IF(日別集計!J55="","",日別集計!J55)</f>
        <v>0</v>
      </c>
      <c r="K55" s="50">
        <f>IF(日別集計!K55="","",日別集計!K55)</f>
        <v>0</v>
      </c>
      <c r="L55" s="50">
        <f>IF(日別集計!L55="","",日別集計!L55)</f>
        <v>0</v>
      </c>
      <c r="M55" s="50">
        <f>IF(日別集計!M55="","",日別集計!M55)</f>
        <v>0</v>
      </c>
      <c r="N55" s="50">
        <f>IF(日別集計!N55="","",日別集計!N55)</f>
        <v>0</v>
      </c>
      <c r="O55" s="50">
        <f>IF(日別集計!O55="","",日別集計!O55)</f>
        <v>0</v>
      </c>
      <c r="P55" s="50">
        <f>IF(日別集計!P55="","",日別集計!P55)</f>
        <v>0</v>
      </c>
      <c r="Q55" s="50">
        <f>IF(日別集計!Q55="","",日別集計!Q55)</f>
        <v>0</v>
      </c>
    </row>
    <row r="56" spans="1:17" ht="16.5" x14ac:dyDescent="0.3">
      <c r="A56" s="48">
        <f>IF(日別集計!A56="","",日別集計!A56)</f>
        <v>46183</v>
      </c>
      <c r="B56" s="49" t="str">
        <f>IF(日別集計!B56="","",日別集計!B56)</f>
        <v>水</v>
      </c>
      <c r="C56" s="50">
        <f>IF(日別集計!C56="","",日別集計!C56)</f>
        <v>0</v>
      </c>
      <c r="D56" s="50">
        <f>IF(日別集計!D56="","",日別集計!D56)</f>
        <v>0</v>
      </c>
      <c r="E56" s="50">
        <f>IF(日別集計!E56="","",日別集計!E56)</f>
        <v>0</v>
      </c>
      <c r="F56" s="50">
        <f>IF(日別集計!F56="","",日別集計!F56)</f>
        <v>0</v>
      </c>
      <c r="G56" s="50">
        <f>IF(日別集計!G56="","",日別集計!G56)</f>
        <v>0</v>
      </c>
      <c r="H56" s="50">
        <f>IF(日別集計!H56="","",日別集計!H56)</f>
        <v>0</v>
      </c>
      <c r="I56" s="50">
        <f>IF(日別集計!I56="","",日別集計!I56)</f>
        <v>0</v>
      </c>
      <c r="J56" s="50">
        <f>IF(日別集計!J56="","",日別集計!J56)</f>
        <v>0</v>
      </c>
      <c r="K56" s="50">
        <f>IF(日別集計!K56="","",日別集計!K56)</f>
        <v>0</v>
      </c>
      <c r="L56" s="50">
        <f>IF(日別集計!L56="","",日別集計!L56)</f>
        <v>0</v>
      </c>
      <c r="M56" s="50">
        <f>IF(日別集計!M56="","",日別集計!M56)</f>
        <v>0</v>
      </c>
      <c r="N56" s="50">
        <f>IF(日別集計!N56="","",日別集計!N56)</f>
        <v>0</v>
      </c>
      <c r="O56" s="50">
        <f>IF(日別集計!O56="","",日別集計!O56)</f>
        <v>0</v>
      </c>
      <c r="P56" s="50">
        <f>IF(日別集計!P56="","",日別集計!P56)</f>
        <v>0</v>
      </c>
      <c r="Q56" s="50">
        <f>IF(日別集計!Q56="","",日別集計!Q56)</f>
        <v>0</v>
      </c>
    </row>
    <row r="57" spans="1:17" ht="16.5" x14ac:dyDescent="0.3">
      <c r="A57" s="48">
        <f>IF(日別集計!A57="","",日別集計!A57)</f>
        <v>46184</v>
      </c>
      <c r="B57" s="49" t="str">
        <f>IF(日別集計!B57="","",日別集計!B57)</f>
        <v>木</v>
      </c>
      <c r="C57" s="50">
        <f>IF(日別集計!C57="","",日別集計!C57)</f>
        <v>0</v>
      </c>
      <c r="D57" s="50">
        <f>IF(日別集計!D57="","",日別集計!D57)</f>
        <v>0</v>
      </c>
      <c r="E57" s="50">
        <f>IF(日別集計!E57="","",日別集計!E57)</f>
        <v>0</v>
      </c>
      <c r="F57" s="50">
        <f>IF(日別集計!F57="","",日別集計!F57)</f>
        <v>0</v>
      </c>
      <c r="G57" s="50">
        <f>IF(日別集計!G57="","",日別集計!G57)</f>
        <v>0</v>
      </c>
      <c r="H57" s="50">
        <f>IF(日別集計!H57="","",日別集計!H57)</f>
        <v>0</v>
      </c>
      <c r="I57" s="50">
        <f>IF(日別集計!I57="","",日別集計!I57)</f>
        <v>0</v>
      </c>
      <c r="J57" s="50">
        <f>IF(日別集計!J57="","",日別集計!J57)</f>
        <v>0</v>
      </c>
      <c r="K57" s="50">
        <f>IF(日別集計!K57="","",日別集計!K57)</f>
        <v>0</v>
      </c>
      <c r="L57" s="50">
        <f>IF(日別集計!L57="","",日別集計!L57)</f>
        <v>0</v>
      </c>
      <c r="M57" s="50">
        <f>IF(日別集計!M57="","",日別集計!M57)</f>
        <v>0</v>
      </c>
      <c r="N57" s="50">
        <f>IF(日別集計!N57="","",日別集計!N57)</f>
        <v>0</v>
      </c>
      <c r="O57" s="50">
        <f>IF(日別集計!O57="","",日別集計!O57)</f>
        <v>0</v>
      </c>
      <c r="P57" s="50">
        <f>IF(日別集計!P57="","",日別集計!P57)</f>
        <v>0</v>
      </c>
      <c r="Q57" s="50">
        <f>IF(日別集計!Q57="","",日別集計!Q57)</f>
        <v>0</v>
      </c>
    </row>
    <row r="58" spans="1:17" ht="16.5" x14ac:dyDescent="0.3">
      <c r="A58" s="48">
        <f>IF(日別集計!A58="","",日別集計!A58)</f>
        <v>46185</v>
      </c>
      <c r="B58" s="49" t="str">
        <f>IF(日別集計!B58="","",日別集計!B58)</f>
        <v>金</v>
      </c>
      <c r="C58" s="50">
        <f>IF(日別集計!C58="","",日別集計!C58)</f>
        <v>0</v>
      </c>
      <c r="D58" s="50">
        <f>IF(日別集計!D58="","",日別集計!D58)</f>
        <v>0</v>
      </c>
      <c r="E58" s="50">
        <f>IF(日別集計!E58="","",日別集計!E58)</f>
        <v>0</v>
      </c>
      <c r="F58" s="50">
        <f>IF(日別集計!F58="","",日別集計!F58)</f>
        <v>4</v>
      </c>
      <c r="G58" s="50">
        <f>IF(日別集計!G58="","",日別集計!G58)</f>
        <v>0</v>
      </c>
      <c r="H58" s="50">
        <f>IF(日別集計!H58="","",日別集計!H58)</f>
        <v>0</v>
      </c>
      <c r="I58" s="50">
        <f>IF(日別集計!I58="","",日別集計!I58)</f>
        <v>0</v>
      </c>
      <c r="J58" s="50">
        <f>IF(日別集計!J58="","",日別集計!J58)</f>
        <v>0</v>
      </c>
      <c r="K58" s="50">
        <f>IF(日別集計!K58="","",日別集計!K58)</f>
        <v>0</v>
      </c>
      <c r="L58" s="50">
        <f>IF(日別集計!L58="","",日別集計!L58)</f>
        <v>0</v>
      </c>
      <c r="M58" s="50">
        <f>IF(日別集計!M58="","",日別集計!M58)</f>
        <v>0</v>
      </c>
      <c r="N58" s="50">
        <f>IF(日別集計!N58="","",日別集計!N58)</f>
        <v>0</v>
      </c>
      <c r="O58" s="50">
        <f>IF(日別集計!O58="","",日別集計!O58)</f>
        <v>0</v>
      </c>
      <c r="P58" s="50">
        <f>IF(日別集計!P58="","",日別集計!P58)</f>
        <v>4</v>
      </c>
      <c r="Q58" s="50">
        <f>IF(日別集計!Q58="","",日別集計!Q58)</f>
        <v>4</v>
      </c>
    </row>
    <row r="59" spans="1:17" ht="16.5" x14ac:dyDescent="0.3">
      <c r="A59" s="51">
        <f>IF(日別集計!A59="","",日別集計!A59)</f>
        <v>46186</v>
      </c>
      <c r="B59" s="52" t="str">
        <f>IF(日別集計!B59="","",日別集計!B59)</f>
        <v>土</v>
      </c>
      <c r="C59" s="53">
        <f>IF(日別集計!C59="","",日別集計!C59)</f>
        <v>0</v>
      </c>
      <c r="D59" s="53">
        <f>IF(日別集計!D59="","",日別集計!D59)</f>
        <v>0</v>
      </c>
      <c r="E59" s="53">
        <f>IF(日別集計!E59="","",日別集計!E59)</f>
        <v>0</v>
      </c>
      <c r="F59" s="53">
        <f>IF(日別集計!F59="","",日別集計!F59)</f>
        <v>4</v>
      </c>
      <c r="G59" s="53">
        <f>IF(日別集計!G59="","",日別集計!G59)</f>
        <v>0</v>
      </c>
      <c r="H59" s="53">
        <f>IF(日別集計!H59="","",日別集計!H59)</f>
        <v>0</v>
      </c>
      <c r="I59" s="53">
        <f>IF(日別集計!I59="","",日別集計!I59)</f>
        <v>0</v>
      </c>
      <c r="J59" s="53">
        <f>IF(日別集計!J59="","",日別集計!J59)</f>
        <v>0</v>
      </c>
      <c r="K59" s="53">
        <f>IF(日別集計!K59="","",日別集計!K59)</f>
        <v>0</v>
      </c>
      <c r="L59" s="53">
        <f>IF(日別集計!L59="","",日別集計!L59)</f>
        <v>0</v>
      </c>
      <c r="M59" s="53">
        <f>IF(日別集計!M59="","",日別集計!M59)</f>
        <v>0</v>
      </c>
      <c r="N59" s="53">
        <f>IF(日別集計!N59="","",日別集計!N59)</f>
        <v>0</v>
      </c>
      <c r="O59" s="53">
        <f>IF(日別集計!O59="","",日別集計!O59)</f>
        <v>0</v>
      </c>
      <c r="P59" s="53">
        <f>IF(日別集計!P59="","",日別集計!P59)</f>
        <v>4</v>
      </c>
      <c r="Q59" s="53">
        <f>IF(日別集計!Q59="","",日別集計!Q59)</f>
        <v>4</v>
      </c>
    </row>
    <row r="60" spans="1:17" ht="16.5" x14ac:dyDescent="0.3">
      <c r="A60" s="51">
        <f>IF(日別集計!A60="","",日別集計!A60)</f>
        <v>46187</v>
      </c>
      <c r="B60" s="52" t="str">
        <f>IF(日別集計!B60="","",日別集計!B60)</f>
        <v>日</v>
      </c>
      <c r="C60" s="53">
        <f>IF(日別集計!C60="","",日別集計!C60)</f>
        <v>0</v>
      </c>
      <c r="D60" s="53">
        <f>IF(日別集計!D60="","",日別集計!D60)</f>
        <v>0</v>
      </c>
      <c r="E60" s="53">
        <f>IF(日別集計!E60="","",日別集計!E60)</f>
        <v>0</v>
      </c>
      <c r="F60" s="53">
        <f>IF(日別集計!F60="","",日別集計!F60)</f>
        <v>0</v>
      </c>
      <c r="G60" s="53">
        <f>IF(日別集計!G60="","",日別集計!G60)</f>
        <v>0</v>
      </c>
      <c r="H60" s="53">
        <f>IF(日別集計!H60="","",日別集計!H60)</f>
        <v>0</v>
      </c>
      <c r="I60" s="53">
        <f>IF(日別集計!I60="","",日別集計!I60)</f>
        <v>0</v>
      </c>
      <c r="J60" s="53">
        <f>IF(日別集計!J60="","",日別集計!J60)</f>
        <v>0</v>
      </c>
      <c r="K60" s="53">
        <f>IF(日別集計!K60="","",日別集計!K60)</f>
        <v>0</v>
      </c>
      <c r="L60" s="53">
        <f>IF(日別集計!L60="","",日別集計!L60)</f>
        <v>0</v>
      </c>
      <c r="M60" s="53">
        <f>IF(日別集計!M60="","",日別集計!M60)</f>
        <v>0</v>
      </c>
      <c r="N60" s="53">
        <f>IF(日別集計!N60="","",日別集計!N60)</f>
        <v>0</v>
      </c>
      <c r="O60" s="53">
        <f>IF(日別集計!O60="","",日別集計!O60)</f>
        <v>0</v>
      </c>
      <c r="P60" s="53">
        <f>IF(日別集計!P60="","",日別集計!P60)</f>
        <v>0</v>
      </c>
      <c r="Q60" s="53">
        <f>IF(日別集計!Q60="","",日別集計!Q60)</f>
        <v>0</v>
      </c>
    </row>
    <row r="61" spans="1:17" ht="16.5" x14ac:dyDescent="0.3">
      <c r="A61" s="48">
        <f>IF(日別集計!A61="","",日別集計!A61)</f>
        <v>46188</v>
      </c>
      <c r="B61" s="49" t="str">
        <f>IF(日別集計!B61="","",日別集計!B61)</f>
        <v>月</v>
      </c>
      <c r="C61" s="50">
        <f>IF(日別集計!C61="","",日別集計!C61)</f>
        <v>0</v>
      </c>
      <c r="D61" s="50">
        <f>IF(日別集計!D61="","",日別集計!D61)</f>
        <v>0</v>
      </c>
      <c r="E61" s="50">
        <f>IF(日別集計!E61="","",日別集計!E61)</f>
        <v>0</v>
      </c>
      <c r="F61" s="50">
        <f>IF(日別集計!F61="","",日別集計!F61)</f>
        <v>4</v>
      </c>
      <c r="G61" s="50">
        <f>IF(日別集計!G61="","",日別集計!G61)</f>
        <v>0</v>
      </c>
      <c r="H61" s="50">
        <f>IF(日別集計!H61="","",日別集計!H61)</f>
        <v>0</v>
      </c>
      <c r="I61" s="50">
        <f>IF(日別集計!I61="","",日別集計!I61)</f>
        <v>0</v>
      </c>
      <c r="J61" s="50">
        <f>IF(日別集計!J61="","",日別集計!J61)</f>
        <v>0</v>
      </c>
      <c r="K61" s="50">
        <f>IF(日別集計!K61="","",日別集計!K61)</f>
        <v>0</v>
      </c>
      <c r="L61" s="50">
        <f>IF(日別集計!L61="","",日別集計!L61)</f>
        <v>0</v>
      </c>
      <c r="M61" s="50">
        <f>IF(日別集計!M61="","",日別集計!M61)</f>
        <v>0</v>
      </c>
      <c r="N61" s="50">
        <f>IF(日別集計!N61="","",日別集計!N61)</f>
        <v>0</v>
      </c>
      <c r="O61" s="50">
        <f>IF(日別集計!O61="","",日別集計!O61)</f>
        <v>0</v>
      </c>
      <c r="P61" s="50">
        <f>IF(日別集計!P61="","",日別集計!P61)</f>
        <v>4</v>
      </c>
      <c r="Q61" s="50">
        <f>IF(日別集計!Q61="","",日別集計!Q61)</f>
        <v>4</v>
      </c>
    </row>
    <row r="62" spans="1:17" ht="16.5" x14ac:dyDescent="0.3">
      <c r="A62" s="48">
        <f>IF(日別集計!A62="","",日別集計!A62)</f>
        <v>46189</v>
      </c>
      <c r="B62" s="49" t="str">
        <f>IF(日別集計!B62="","",日別集計!B62)</f>
        <v>火</v>
      </c>
      <c r="C62" s="50">
        <f>IF(日別集計!C62="","",日別集計!C62)</f>
        <v>0</v>
      </c>
      <c r="D62" s="50">
        <f>IF(日別集計!D62="","",日別集計!D62)</f>
        <v>0</v>
      </c>
      <c r="E62" s="50">
        <f>IF(日別集計!E62="","",日別集計!E62)</f>
        <v>0</v>
      </c>
      <c r="F62" s="50">
        <f>IF(日別集計!F62="","",日別集計!F62)</f>
        <v>3</v>
      </c>
      <c r="G62" s="50">
        <f>IF(日別集計!G62="","",日別集計!G62)</f>
        <v>0</v>
      </c>
      <c r="H62" s="50">
        <f>IF(日別集計!H62="","",日別集計!H62)</f>
        <v>0</v>
      </c>
      <c r="I62" s="50">
        <f>IF(日別集計!I62="","",日別集計!I62)</f>
        <v>0</v>
      </c>
      <c r="J62" s="50">
        <f>IF(日別集計!J62="","",日別集計!J62)</f>
        <v>0</v>
      </c>
      <c r="K62" s="50">
        <f>IF(日別集計!K62="","",日別集計!K62)</f>
        <v>0</v>
      </c>
      <c r="L62" s="50">
        <f>IF(日別集計!L62="","",日別集計!L62)</f>
        <v>0</v>
      </c>
      <c r="M62" s="50">
        <f>IF(日別集計!M62="","",日別集計!M62)</f>
        <v>0</v>
      </c>
      <c r="N62" s="50">
        <f>IF(日別集計!N62="","",日別集計!N62)</f>
        <v>0</v>
      </c>
      <c r="O62" s="50">
        <f>IF(日別集計!O62="","",日別集計!O62)</f>
        <v>0</v>
      </c>
      <c r="P62" s="50">
        <f>IF(日別集計!P62="","",日別集計!P62)</f>
        <v>3</v>
      </c>
      <c r="Q62" s="50">
        <f>IF(日別集計!Q62="","",日別集計!Q62)</f>
        <v>3</v>
      </c>
    </row>
    <row r="63" spans="1:17" ht="16.5" x14ac:dyDescent="0.3">
      <c r="A63" s="48">
        <f>IF(日別集計!A63="","",日別集計!A63)</f>
        <v>46190</v>
      </c>
      <c r="B63" s="49" t="str">
        <f>IF(日別集計!B63="","",日別集計!B63)</f>
        <v>水</v>
      </c>
      <c r="C63" s="50">
        <f>IF(日別集計!C63="","",日別集計!C63)</f>
        <v>0</v>
      </c>
      <c r="D63" s="50">
        <f>IF(日別集計!D63="","",日別集計!D63)</f>
        <v>0</v>
      </c>
      <c r="E63" s="50">
        <f>IF(日別集計!E63="","",日別集計!E63)</f>
        <v>0</v>
      </c>
      <c r="F63" s="50">
        <f>IF(日別集計!F63="","",日別集計!F63)</f>
        <v>3</v>
      </c>
      <c r="G63" s="50">
        <f>IF(日別集計!G63="","",日別集計!G63)</f>
        <v>0</v>
      </c>
      <c r="H63" s="50">
        <f>IF(日別集計!H63="","",日別集計!H63)</f>
        <v>0</v>
      </c>
      <c r="I63" s="50">
        <f>IF(日別集計!I63="","",日別集計!I63)</f>
        <v>0</v>
      </c>
      <c r="J63" s="50">
        <f>IF(日別集計!J63="","",日別集計!J63)</f>
        <v>0</v>
      </c>
      <c r="K63" s="50">
        <f>IF(日別集計!K63="","",日別集計!K63)</f>
        <v>0</v>
      </c>
      <c r="L63" s="50">
        <f>IF(日別集計!L63="","",日別集計!L63)</f>
        <v>0</v>
      </c>
      <c r="M63" s="50">
        <f>IF(日別集計!M63="","",日別集計!M63)</f>
        <v>0</v>
      </c>
      <c r="N63" s="50">
        <f>IF(日別集計!N63="","",日別集計!N63)</f>
        <v>0</v>
      </c>
      <c r="O63" s="50">
        <f>IF(日別集計!O63="","",日別集計!O63)</f>
        <v>0</v>
      </c>
      <c r="P63" s="50">
        <f>IF(日別集計!P63="","",日別集計!P63)</f>
        <v>3</v>
      </c>
      <c r="Q63" s="50">
        <f>IF(日別集計!Q63="","",日別集計!Q63)</f>
        <v>3</v>
      </c>
    </row>
    <row r="64" spans="1:17" ht="16.5" x14ac:dyDescent="0.3">
      <c r="A64" s="48">
        <f>IF(日別集計!A64="","",日別集計!A64)</f>
        <v>46191</v>
      </c>
      <c r="B64" s="49" t="str">
        <f>IF(日別集計!B64="","",日別集計!B64)</f>
        <v>木</v>
      </c>
      <c r="C64" s="50">
        <f>IF(日別集計!C64="","",日別集計!C64)</f>
        <v>0</v>
      </c>
      <c r="D64" s="50">
        <f>IF(日別集計!D64="","",日別集計!D64)</f>
        <v>0</v>
      </c>
      <c r="E64" s="50">
        <f>IF(日別集計!E64="","",日別集計!E64)</f>
        <v>0</v>
      </c>
      <c r="F64" s="50">
        <f>IF(日別集計!F64="","",日別集計!F64)</f>
        <v>3</v>
      </c>
      <c r="G64" s="50">
        <f>IF(日別集計!G64="","",日別集計!G64)</f>
        <v>0</v>
      </c>
      <c r="H64" s="50">
        <f>IF(日別集計!H64="","",日別集計!H64)</f>
        <v>0</v>
      </c>
      <c r="I64" s="50">
        <f>IF(日別集計!I64="","",日別集計!I64)</f>
        <v>0</v>
      </c>
      <c r="J64" s="50">
        <f>IF(日別集計!J64="","",日別集計!J64)</f>
        <v>0</v>
      </c>
      <c r="K64" s="50">
        <f>IF(日別集計!K64="","",日別集計!K64)</f>
        <v>0</v>
      </c>
      <c r="L64" s="50">
        <f>IF(日別集計!L64="","",日別集計!L64)</f>
        <v>0</v>
      </c>
      <c r="M64" s="50">
        <f>IF(日別集計!M64="","",日別集計!M64)</f>
        <v>0</v>
      </c>
      <c r="N64" s="50">
        <f>IF(日別集計!N64="","",日別集計!N64)</f>
        <v>0</v>
      </c>
      <c r="O64" s="50">
        <f>IF(日別集計!O64="","",日別集計!O64)</f>
        <v>0</v>
      </c>
      <c r="P64" s="50">
        <f>IF(日別集計!P64="","",日別集計!P64)</f>
        <v>3</v>
      </c>
      <c r="Q64" s="50">
        <f>IF(日別集計!Q64="","",日別集計!Q64)</f>
        <v>3</v>
      </c>
    </row>
    <row r="65" spans="1:17" ht="16.5" x14ac:dyDescent="0.3">
      <c r="A65" s="48">
        <f>IF(日別集計!A65="","",日別集計!A65)</f>
        <v>46192</v>
      </c>
      <c r="B65" s="49" t="str">
        <f>IF(日別集計!B65="","",日別集計!B65)</f>
        <v>金</v>
      </c>
      <c r="C65" s="50">
        <f>IF(日別集計!C65="","",日別集計!C65)</f>
        <v>0</v>
      </c>
      <c r="D65" s="50">
        <f>IF(日別集計!D65="","",日別集計!D65)</f>
        <v>0</v>
      </c>
      <c r="E65" s="50">
        <f>IF(日別集計!E65="","",日別集計!E65)</f>
        <v>0</v>
      </c>
      <c r="F65" s="50">
        <f>IF(日別集計!F65="","",日別集計!F65)</f>
        <v>3</v>
      </c>
      <c r="G65" s="50">
        <f>IF(日別集計!G65="","",日別集計!G65)</f>
        <v>0</v>
      </c>
      <c r="H65" s="50">
        <f>IF(日別集計!H65="","",日別集計!H65)</f>
        <v>0</v>
      </c>
      <c r="I65" s="50">
        <f>IF(日別集計!I65="","",日別集計!I65)</f>
        <v>0</v>
      </c>
      <c r="J65" s="50">
        <f>IF(日別集計!J65="","",日別集計!J65)</f>
        <v>0</v>
      </c>
      <c r="K65" s="50">
        <f>IF(日別集計!K65="","",日別集計!K65)</f>
        <v>0</v>
      </c>
      <c r="L65" s="50">
        <f>IF(日別集計!L65="","",日別集計!L65)</f>
        <v>0</v>
      </c>
      <c r="M65" s="50">
        <f>IF(日別集計!M65="","",日別集計!M65)</f>
        <v>0</v>
      </c>
      <c r="N65" s="50">
        <f>IF(日別集計!N65="","",日別集計!N65)</f>
        <v>0</v>
      </c>
      <c r="O65" s="50">
        <f>IF(日別集計!O65="","",日別集計!O65)</f>
        <v>0</v>
      </c>
      <c r="P65" s="50">
        <f>IF(日別集計!P65="","",日別集計!P65)</f>
        <v>3</v>
      </c>
      <c r="Q65" s="50">
        <f>IF(日別集計!Q65="","",日別集計!Q65)</f>
        <v>3</v>
      </c>
    </row>
    <row r="66" spans="1:17" ht="16.5" x14ac:dyDescent="0.3">
      <c r="A66" s="51">
        <f>IF(日別集計!A66="","",日別集計!A66)</f>
        <v>46193</v>
      </c>
      <c r="B66" s="52" t="str">
        <f>IF(日別集計!B66="","",日別集計!B66)</f>
        <v>土</v>
      </c>
      <c r="C66" s="53">
        <f>IF(日別集計!C66="","",日別集計!C66)</f>
        <v>0</v>
      </c>
      <c r="D66" s="53">
        <f>IF(日別集計!D66="","",日別集計!D66)</f>
        <v>0</v>
      </c>
      <c r="E66" s="53">
        <f>IF(日別集計!E66="","",日別集計!E66)</f>
        <v>0</v>
      </c>
      <c r="F66" s="53">
        <f>IF(日別集計!F66="","",日別集計!F66)</f>
        <v>0</v>
      </c>
      <c r="G66" s="53">
        <f>IF(日別集計!G66="","",日別集計!G66)</f>
        <v>0</v>
      </c>
      <c r="H66" s="53">
        <f>IF(日別集計!H66="","",日別集計!H66)</f>
        <v>0</v>
      </c>
      <c r="I66" s="53">
        <f>IF(日別集計!I66="","",日別集計!I66)</f>
        <v>0</v>
      </c>
      <c r="J66" s="53">
        <f>IF(日別集計!J66="","",日別集計!J66)</f>
        <v>0</v>
      </c>
      <c r="K66" s="53">
        <f>IF(日別集計!K66="","",日別集計!K66)</f>
        <v>0</v>
      </c>
      <c r="L66" s="53">
        <f>IF(日別集計!L66="","",日別集計!L66)</f>
        <v>0</v>
      </c>
      <c r="M66" s="53">
        <f>IF(日別集計!M66="","",日別集計!M66)</f>
        <v>0</v>
      </c>
      <c r="N66" s="53">
        <f>IF(日別集計!N66="","",日別集計!N66)</f>
        <v>0</v>
      </c>
      <c r="O66" s="53">
        <f>IF(日別集計!O66="","",日別集計!O66)</f>
        <v>0</v>
      </c>
      <c r="P66" s="53">
        <f>IF(日別集計!P66="","",日別集計!P66)</f>
        <v>0</v>
      </c>
      <c r="Q66" s="53">
        <f>IF(日別集計!Q66="","",日別集計!Q66)</f>
        <v>0</v>
      </c>
    </row>
    <row r="67" spans="1:17" ht="16.5" x14ac:dyDescent="0.3">
      <c r="A67" s="51">
        <f>IF(日別集計!A67="","",日別集計!A67)</f>
        <v>46194</v>
      </c>
      <c r="B67" s="52" t="str">
        <f>IF(日別集計!B67="","",日別集計!B67)</f>
        <v>日</v>
      </c>
      <c r="C67" s="53">
        <f>IF(日別集計!C67="","",日別集計!C67)</f>
        <v>0</v>
      </c>
      <c r="D67" s="53">
        <f>IF(日別集計!D67="","",日別集計!D67)</f>
        <v>0</v>
      </c>
      <c r="E67" s="53">
        <f>IF(日別集計!E67="","",日別集計!E67)</f>
        <v>0</v>
      </c>
      <c r="F67" s="53">
        <f>IF(日別集計!F67="","",日別集計!F67)</f>
        <v>0</v>
      </c>
      <c r="G67" s="53">
        <f>IF(日別集計!G67="","",日別集計!G67)</f>
        <v>0</v>
      </c>
      <c r="H67" s="53">
        <f>IF(日別集計!H67="","",日別集計!H67)</f>
        <v>0</v>
      </c>
      <c r="I67" s="53">
        <f>IF(日別集計!I67="","",日別集計!I67)</f>
        <v>0</v>
      </c>
      <c r="J67" s="53">
        <f>IF(日別集計!J67="","",日別集計!J67)</f>
        <v>0</v>
      </c>
      <c r="K67" s="53">
        <f>IF(日別集計!K67="","",日別集計!K67)</f>
        <v>0</v>
      </c>
      <c r="L67" s="53">
        <f>IF(日別集計!L67="","",日別集計!L67)</f>
        <v>0</v>
      </c>
      <c r="M67" s="53">
        <f>IF(日別集計!M67="","",日別集計!M67)</f>
        <v>0</v>
      </c>
      <c r="N67" s="53">
        <f>IF(日別集計!N67="","",日別集計!N67)</f>
        <v>0</v>
      </c>
      <c r="O67" s="53">
        <f>IF(日別集計!O67="","",日別集計!O67)</f>
        <v>0</v>
      </c>
      <c r="P67" s="53">
        <f>IF(日別集計!P67="","",日別集計!P67)</f>
        <v>0</v>
      </c>
      <c r="Q67" s="53">
        <f>IF(日別集計!Q67="","",日別集計!Q67)</f>
        <v>0</v>
      </c>
    </row>
    <row r="68" spans="1:17" ht="16.5" x14ac:dyDescent="0.3">
      <c r="A68" s="48">
        <f>IF(日別集計!A68="","",日別集計!A68)</f>
        <v>46195</v>
      </c>
      <c r="B68" s="49" t="str">
        <f>IF(日別集計!B68="","",日別集計!B68)</f>
        <v>月</v>
      </c>
      <c r="C68" s="50">
        <f>IF(日別集計!C68="","",日別集計!C68)</f>
        <v>0</v>
      </c>
      <c r="D68" s="50">
        <f>IF(日別集計!D68="","",日別集計!D68)</f>
        <v>0</v>
      </c>
      <c r="E68" s="50">
        <f>IF(日別集計!E68="","",日別集計!E68)</f>
        <v>0</v>
      </c>
      <c r="F68" s="50">
        <f>IF(日別集計!F68="","",日別集計!F68)</f>
        <v>3</v>
      </c>
      <c r="G68" s="50">
        <f>IF(日別集計!G68="","",日別集計!G68)</f>
        <v>0</v>
      </c>
      <c r="H68" s="50">
        <f>IF(日別集計!H68="","",日別集計!H68)</f>
        <v>0</v>
      </c>
      <c r="I68" s="50">
        <f>IF(日別集計!I68="","",日別集計!I68)</f>
        <v>0</v>
      </c>
      <c r="J68" s="50">
        <f>IF(日別集計!J68="","",日別集計!J68)</f>
        <v>0</v>
      </c>
      <c r="K68" s="50">
        <f>IF(日別集計!K68="","",日別集計!K68)</f>
        <v>0</v>
      </c>
      <c r="L68" s="50">
        <f>IF(日別集計!L68="","",日別集計!L68)</f>
        <v>0</v>
      </c>
      <c r="M68" s="50">
        <f>IF(日別集計!M68="","",日別集計!M68)</f>
        <v>0</v>
      </c>
      <c r="N68" s="50">
        <f>IF(日別集計!N68="","",日別集計!N68)</f>
        <v>0</v>
      </c>
      <c r="O68" s="50">
        <f>IF(日別集計!O68="","",日別集計!O68)</f>
        <v>0</v>
      </c>
      <c r="P68" s="50">
        <f>IF(日別集計!P68="","",日別集計!P68)</f>
        <v>3</v>
      </c>
      <c r="Q68" s="50">
        <f>IF(日別集計!Q68="","",日別集計!Q68)</f>
        <v>3</v>
      </c>
    </row>
    <row r="69" spans="1:17" ht="16.5" x14ac:dyDescent="0.3">
      <c r="A69" s="48">
        <f>IF(日別集計!A69="","",日別集計!A69)</f>
        <v>46196</v>
      </c>
      <c r="B69" s="49" t="str">
        <f>IF(日別集計!B69="","",日別集計!B69)</f>
        <v>火</v>
      </c>
      <c r="C69" s="50">
        <f>IF(日別集計!C69="","",日別集計!C69)</f>
        <v>0</v>
      </c>
      <c r="D69" s="50">
        <f>IF(日別集計!D69="","",日別集計!D69)</f>
        <v>0</v>
      </c>
      <c r="E69" s="50">
        <f>IF(日別集計!E69="","",日別集計!E69)</f>
        <v>0</v>
      </c>
      <c r="F69" s="50">
        <f>IF(日別集計!F69="","",日別集計!F69)</f>
        <v>3</v>
      </c>
      <c r="G69" s="50">
        <f>IF(日別集計!G69="","",日別集計!G69)</f>
        <v>0</v>
      </c>
      <c r="H69" s="50">
        <f>IF(日別集計!H69="","",日別集計!H69)</f>
        <v>0</v>
      </c>
      <c r="I69" s="50">
        <f>IF(日別集計!I69="","",日別集計!I69)</f>
        <v>0</v>
      </c>
      <c r="J69" s="50">
        <f>IF(日別集計!J69="","",日別集計!J69)</f>
        <v>0</v>
      </c>
      <c r="K69" s="50">
        <f>IF(日別集計!K69="","",日別集計!K69)</f>
        <v>0</v>
      </c>
      <c r="L69" s="50">
        <f>IF(日別集計!L69="","",日別集計!L69)</f>
        <v>0</v>
      </c>
      <c r="M69" s="50">
        <f>IF(日別集計!M69="","",日別集計!M69)</f>
        <v>0</v>
      </c>
      <c r="N69" s="50">
        <f>IF(日別集計!N69="","",日別集計!N69)</f>
        <v>0</v>
      </c>
      <c r="O69" s="50">
        <f>IF(日別集計!O69="","",日別集計!O69)</f>
        <v>0</v>
      </c>
      <c r="P69" s="50">
        <f>IF(日別集計!P69="","",日別集計!P69)</f>
        <v>3</v>
      </c>
      <c r="Q69" s="50">
        <f>IF(日別集計!Q69="","",日別集計!Q69)</f>
        <v>3</v>
      </c>
    </row>
    <row r="70" spans="1:17" ht="16.5" x14ac:dyDescent="0.3">
      <c r="A70" s="48">
        <f>IF(日別集計!A70="","",日別集計!A70)</f>
        <v>46197</v>
      </c>
      <c r="B70" s="49" t="str">
        <f>IF(日別集計!B70="","",日別集計!B70)</f>
        <v>水</v>
      </c>
      <c r="C70" s="50">
        <f>IF(日別集計!C70="","",日別集計!C70)</f>
        <v>0</v>
      </c>
      <c r="D70" s="50">
        <f>IF(日別集計!D70="","",日別集計!D70)</f>
        <v>0</v>
      </c>
      <c r="E70" s="50">
        <f>IF(日別集計!E70="","",日別集計!E70)</f>
        <v>0</v>
      </c>
      <c r="F70" s="50">
        <f>IF(日別集計!F70="","",日別集計!F70)</f>
        <v>0</v>
      </c>
      <c r="G70" s="50">
        <f>IF(日別集計!G70="","",日別集計!G70)</f>
        <v>3</v>
      </c>
      <c r="H70" s="50">
        <f>IF(日別集計!H70="","",日別集計!H70)</f>
        <v>0</v>
      </c>
      <c r="I70" s="50">
        <f>IF(日別集計!I70="","",日別集計!I70)</f>
        <v>0</v>
      </c>
      <c r="J70" s="50">
        <f>IF(日別集計!J70="","",日別集計!J70)</f>
        <v>0</v>
      </c>
      <c r="K70" s="50">
        <f>IF(日別集計!K70="","",日別集計!K70)</f>
        <v>0</v>
      </c>
      <c r="L70" s="50">
        <f>IF(日別集計!L70="","",日別集計!L70)</f>
        <v>0</v>
      </c>
      <c r="M70" s="50">
        <f>IF(日別集計!M70="","",日別集計!M70)</f>
        <v>0</v>
      </c>
      <c r="N70" s="50">
        <f>IF(日別集計!N70="","",日別集計!N70)</f>
        <v>0</v>
      </c>
      <c r="O70" s="50">
        <f>IF(日別集計!O70="","",日別集計!O70)</f>
        <v>3</v>
      </c>
      <c r="P70" s="50">
        <f>IF(日別集計!P70="","",日別集計!P70)</f>
        <v>0</v>
      </c>
      <c r="Q70" s="50">
        <f>IF(日別集計!Q70="","",日別集計!Q70)</f>
        <v>3</v>
      </c>
    </row>
    <row r="71" spans="1:17" ht="16.5" x14ac:dyDescent="0.3">
      <c r="A71" s="48">
        <f>IF(日別集計!A71="","",日別集計!A71)</f>
        <v>46198</v>
      </c>
      <c r="B71" s="49" t="str">
        <f>IF(日別集計!B71="","",日別集計!B71)</f>
        <v>木</v>
      </c>
      <c r="C71" s="50">
        <f>IF(日別集計!C71="","",日別集計!C71)</f>
        <v>0</v>
      </c>
      <c r="D71" s="50">
        <f>IF(日別集計!D71="","",日別集計!D71)</f>
        <v>0</v>
      </c>
      <c r="E71" s="50">
        <f>IF(日別集計!E71="","",日別集計!E71)</f>
        <v>0</v>
      </c>
      <c r="F71" s="50">
        <f>IF(日別集計!F71="","",日別集計!F71)</f>
        <v>0</v>
      </c>
      <c r="G71" s="50">
        <f>IF(日別集計!G71="","",日別集計!G71)</f>
        <v>3</v>
      </c>
      <c r="H71" s="50">
        <f>IF(日別集計!H71="","",日別集計!H71)</f>
        <v>0</v>
      </c>
      <c r="I71" s="50">
        <f>IF(日別集計!I71="","",日別集計!I71)</f>
        <v>0</v>
      </c>
      <c r="J71" s="50">
        <f>IF(日別集計!J71="","",日別集計!J71)</f>
        <v>0</v>
      </c>
      <c r="K71" s="50">
        <f>IF(日別集計!K71="","",日別集計!K71)</f>
        <v>0</v>
      </c>
      <c r="L71" s="50">
        <f>IF(日別集計!L71="","",日別集計!L71)</f>
        <v>0</v>
      </c>
      <c r="M71" s="50">
        <f>IF(日別集計!M71="","",日別集計!M71)</f>
        <v>0</v>
      </c>
      <c r="N71" s="50">
        <f>IF(日別集計!N71="","",日別集計!N71)</f>
        <v>0</v>
      </c>
      <c r="O71" s="50">
        <f>IF(日別集計!O71="","",日別集計!O71)</f>
        <v>3</v>
      </c>
      <c r="P71" s="50">
        <f>IF(日別集計!P71="","",日別集計!P71)</f>
        <v>0</v>
      </c>
      <c r="Q71" s="50">
        <f>IF(日別集計!Q71="","",日別集計!Q71)</f>
        <v>3</v>
      </c>
    </row>
    <row r="72" spans="1:17" ht="16.5" x14ac:dyDescent="0.3">
      <c r="A72" s="48">
        <f>IF(日別集計!A72="","",日別集計!A72)</f>
        <v>46199</v>
      </c>
      <c r="B72" s="49" t="str">
        <f>IF(日別集計!B72="","",日別集計!B72)</f>
        <v>金</v>
      </c>
      <c r="C72" s="50">
        <f>IF(日別集計!C72="","",日別集計!C72)</f>
        <v>0</v>
      </c>
      <c r="D72" s="50">
        <f>IF(日別集計!D72="","",日別集計!D72)</f>
        <v>0</v>
      </c>
      <c r="E72" s="50">
        <f>IF(日別集計!E72="","",日別集計!E72)</f>
        <v>0</v>
      </c>
      <c r="F72" s="50">
        <f>IF(日別集計!F72="","",日別集計!F72)</f>
        <v>0</v>
      </c>
      <c r="G72" s="50">
        <f>IF(日別集計!G72="","",日別集計!G72)</f>
        <v>2</v>
      </c>
      <c r="H72" s="50">
        <f>IF(日別集計!H72="","",日別集計!H72)</f>
        <v>0</v>
      </c>
      <c r="I72" s="50">
        <f>IF(日別集計!I72="","",日別集計!I72)</f>
        <v>0</v>
      </c>
      <c r="J72" s="50">
        <f>IF(日別集計!J72="","",日別集計!J72)</f>
        <v>0</v>
      </c>
      <c r="K72" s="50">
        <f>IF(日別集計!K72="","",日別集計!K72)</f>
        <v>0</v>
      </c>
      <c r="L72" s="50">
        <f>IF(日別集計!L72="","",日別集計!L72)</f>
        <v>0</v>
      </c>
      <c r="M72" s="50">
        <f>IF(日別集計!M72="","",日別集計!M72)</f>
        <v>0</v>
      </c>
      <c r="N72" s="50">
        <f>IF(日別集計!N72="","",日別集計!N72)</f>
        <v>0</v>
      </c>
      <c r="O72" s="50">
        <f>IF(日別集計!O72="","",日別集計!O72)</f>
        <v>2</v>
      </c>
      <c r="P72" s="50">
        <f>IF(日別集計!P72="","",日別集計!P72)</f>
        <v>0</v>
      </c>
      <c r="Q72" s="50">
        <f>IF(日別集計!Q72="","",日別集計!Q72)</f>
        <v>2</v>
      </c>
    </row>
    <row r="73" spans="1:17" ht="16.5" x14ac:dyDescent="0.3">
      <c r="A73" s="51">
        <f>IF(日別集計!A73="","",日別集計!A73)</f>
        <v>46200</v>
      </c>
      <c r="B73" s="52" t="str">
        <f>IF(日別集計!B73="","",日別集計!B73)</f>
        <v>土</v>
      </c>
      <c r="C73" s="53">
        <f>IF(日別集計!C73="","",日別集計!C73)</f>
        <v>0</v>
      </c>
      <c r="D73" s="53">
        <f>IF(日別集計!D73="","",日別集計!D73)</f>
        <v>0</v>
      </c>
      <c r="E73" s="53">
        <f>IF(日別集計!E73="","",日別集計!E73)</f>
        <v>0</v>
      </c>
      <c r="F73" s="53">
        <f>IF(日別集計!F73="","",日別集計!F73)</f>
        <v>0</v>
      </c>
      <c r="G73" s="53">
        <f>IF(日別集計!G73="","",日別集計!G73)</f>
        <v>0</v>
      </c>
      <c r="H73" s="53">
        <f>IF(日別集計!H73="","",日別集計!H73)</f>
        <v>0</v>
      </c>
      <c r="I73" s="53">
        <f>IF(日別集計!I73="","",日別集計!I73)</f>
        <v>0</v>
      </c>
      <c r="J73" s="53">
        <f>IF(日別集計!J73="","",日別集計!J73)</f>
        <v>0</v>
      </c>
      <c r="K73" s="53">
        <f>IF(日別集計!K73="","",日別集計!K73)</f>
        <v>0</v>
      </c>
      <c r="L73" s="53">
        <f>IF(日別集計!L73="","",日別集計!L73)</f>
        <v>0</v>
      </c>
      <c r="M73" s="53">
        <f>IF(日別集計!M73="","",日別集計!M73)</f>
        <v>0</v>
      </c>
      <c r="N73" s="53">
        <f>IF(日別集計!N73="","",日別集計!N73)</f>
        <v>0</v>
      </c>
      <c r="O73" s="53">
        <f>IF(日別集計!O73="","",日別集計!O73)</f>
        <v>0</v>
      </c>
      <c r="P73" s="53">
        <f>IF(日別集計!P73="","",日別集計!P73)</f>
        <v>0</v>
      </c>
      <c r="Q73" s="53">
        <f>IF(日別集計!Q73="","",日別集計!Q73)</f>
        <v>0</v>
      </c>
    </row>
    <row r="74" spans="1:17" ht="16.5" x14ac:dyDescent="0.3">
      <c r="A74" s="51">
        <f>IF(日別集計!A74="","",日別集計!A74)</f>
        <v>46201</v>
      </c>
      <c r="B74" s="52" t="str">
        <f>IF(日別集計!B74="","",日別集計!B74)</f>
        <v>日</v>
      </c>
      <c r="C74" s="53">
        <f>IF(日別集計!C74="","",日別集計!C74)</f>
        <v>0</v>
      </c>
      <c r="D74" s="53">
        <f>IF(日別集計!D74="","",日別集計!D74)</f>
        <v>0</v>
      </c>
      <c r="E74" s="53">
        <f>IF(日別集計!E74="","",日別集計!E74)</f>
        <v>0</v>
      </c>
      <c r="F74" s="53">
        <f>IF(日別集計!F74="","",日別集計!F74)</f>
        <v>0</v>
      </c>
      <c r="G74" s="53">
        <f>IF(日別集計!G74="","",日別集計!G74)</f>
        <v>0</v>
      </c>
      <c r="H74" s="53">
        <f>IF(日別集計!H74="","",日別集計!H74)</f>
        <v>0</v>
      </c>
      <c r="I74" s="53">
        <f>IF(日別集計!I74="","",日別集計!I74)</f>
        <v>0</v>
      </c>
      <c r="J74" s="53">
        <f>IF(日別集計!J74="","",日別集計!J74)</f>
        <v>0</v>
      </c>
      <c r="K74" s="53">
        <f>IF(日別集計!K74="","",日別集計!K74)</f>
        <v>0</v>
      </c>
      <c r="L74" s="53">
        <f>IF(日別集計!L74="","",日別集計!L74)</f>
        <v>0</v>
      </c>
      <c r="M74" s="53">
        <f>IF(日別集計!M74="","",日別集計!M74)</f>
        <v>0</v>
      </c>
      <c r="N74" s="53">
        <f>IF(日別集計!N74="","",日別集計!N74)</f>
        <v>0</v>
      </c>
      <c r="O74" s="53">
        <f>IF(日別集計!O74="","",日別集計!O74)</f>
        <v>0</v>
      </c>
      <c r="P74" s="53">
        <f>IF(日別集計!P74="","",日別集計!P74)</f>
        <v>0</v>
      </c>
      <c r="Q74" s="53">
        <f>IF(日別集計!Q74="","",日別集計!Q74)</f>
        <v>0</v>
      </c>
    </row>
    <row r="75" spans="1:17" ht="16.5" x14ac:dyDescent="0.3">
      <c r="A75" s="48">
        <f>IF(日別集計!A75="","",日別集計!A75)</f>
        <v>46202</v>
      </c>
      <c r="B75" s="49" t="str">
        <f>IF(日別集計!B75="","",日別集計!B75)</f>
        <v>月</v>
      </c>
      <c r="C75" s="50">
        <f>IF(日別集計!C75="","",日別集計!C75)</f>
        <v>0</v>
      </c>
      <c r="D75" s="50">
        <f>IF(日別集計!D75="","",日別集計!D75)</f>
        <v>0</v>
      </c>
      <c r="E75" s="50">
        <f>IF(日別集計!E75="","",日別集計!E75)</f>
        <v>0</v>
      </c>
      <c r="F75" s="50">
        <f>IF(日別集計!F75="","",日別集計!F75)</f>
        <v>0</v>
      </c>
      <c r="G75" s="50">
        <f>IF(日別集計!G75="","",日別集計!G75)</f>
        <v>4</v>
      </c>
      <c r="H75" s="50">
        <f>IF(日別集計!H75="","",日別集計!H75)</f>
        <v>0</v>
      </c>
      <c r="I75" s="50">
        <f>IF(日別集計!I75="","",日別集計!I75)</f>
        <v>0</v>
      </c>
      <c r="J75" s="50">
        <f>IF(日別集計!J75="","",日別集計!J75)</f>
        <v>0</v>
      </c>
      <c r="K75" s="50">
        <f>IF(日別集計!K75="","",日別集計!K75)</f>
        <v>0</v>
      </c>
      <c r="L75" s="50">
        <f>IF(日別集計!L75="","",日別集計!L75)</f>
        <v>0</v>
      </c>
      <c r="M75" s="50">
        <f>IF(日別集計!M75="","",日別集計!M75)</f>
        <v>0</v>
      </c>
      <c r="N75" s="50">
        <f>IF(日別集計!N75="","",日別集計!N75)</f>
        <v>0</v>
      </c>
      <c r="O75" s="50">
        <f>IF(日別集計!O75="","",日別集計!O75)</f>
        <v>4</v>
      </c>
      <c r="P75" s="50">
        <f>IF(日別集計!P75="","",日別集計!P75)</f>
        <v>0</v>
      </c>
      <c r="Q75" s="50">
        <f>IF(日別集計!Q75="","",日別集計!Q75)</f>
        <v>4</v>
      </c>
    </row>
    <row r="76" spans="1:17" ht="16.5" x14ac:dyDescent="0.3">
      <c r="A76" s="48">
        <f>IF(日別集計!A76="","",日別集計!A76)</f>
        <v>46203</v>
      </c>
      <c r="B76" s="49" t="str">
        <f>IF(日別集計!B76="","",日別集計!B76)</f>
        <v>火</v>
      </c>
      <c r="C76" s="50">
        <f>IF(日別集計!C76="","",日別集計!C76)</f>
        <v>0</v>
      </c>
      <c r="D76" s="50">
        <f>IF(日別集計!D76="","",日別集計!D76)</f>
        <v>0</v>
      </c>
      <c r="E76" s="50">
        <f>IF(日別集計!E76="","",日別集計!E76)</f>
        <v>0</v>
      </c>
      <c r="F76" s="50">
        <f>IF(日別集計!F76="","",日別集計!F76)</f>
        <v>0</v>
      </c>
      <c r="G76" s="50">
        <f>IF(日別集計!G76="","",日別集計!G76)</f>
        <v>3</v>
      </c>
      <c r="H76" s="50">
        <f>IF(日別集計!H76="","",日別集計!H76)</f>
        <v>0</v>
      </c>
      <c r="I76" s="50">
        <f>IF(日別集計!I76="","",日別集計!I76)</f>
        <v>0</v>
      </c>
      <c r="J76" s="50">
        <f>IF(日別集計!J76="","",日別集計!J76)</f>
        <v>0</v>
      </c>
      <c r="K76" s="50">
        <f>IF(日別集計!K76="","",日別集計!K76)</f>
        <v>0</v>
      </c>
      <c r="L76" s="50">
        <f>IF(日別集計!L76="","",日別集計!L76)</f>
        <v>0</v>
      </c>
      <c r="M76" s="50">
        <f>IF(日別集計!M76="","",日別集計!M76)</f>
        <v>0</v>
      </c>
      <c r="N76" s="50">
        <f>IF(日別集計!N76="","",日別集計!N76)</f>
        <v>0</v>
      </c>
      <c r="O76" s="50">
        <f>IF(日別集計!O76="","",日別集計!O76)</f>
        <v>3</v>
      </c>
      <c r="P76" s="50">
        <f>IF(日別集計!P76="","",日別集計!P76)</f>
        <v>0</v>
      </c>
      <c r="Q76" s="50">
        <f>IF(日別集計!Q76="","",日別集計!Q76)</f>
        <v>3</v>
      </c>
    </row>
    <row r="77" spans="1:17" ht="16.5" x14ac:dyDescent="0.3">
      <c r="A77" s="48">
        <f>IF(日別集計!A77="","",日別集計!A77)</f>
        <v>46204</v>
      </c>
      <c r="B77" s="49" t="str">
        <f>IF(日別集計!B77="","",日別集計!B77)</f>
        <v>水</v>
      </c>
      <c r="C77" s="50">
        <f>IF(日別集計!C77="","",日別集計!C77)</f>
        <v>0</v>
      </c>
      <c r="D77" s="50">
        <f>IF(日別集計!D77="","",日別集計!D77)</f>
        <v>0</v>
      </c>
      <c r="E77" s="50">
        <f>IF(日別集計!E77="","",日別集計!E77)</f>
        <v>0</v>
      </c>
      <c r="F77" s="50">
        <f>IF(日別集計!F77="","",日別集計!F77)</f>
        <v>0</v>
      </c>
      <c r="G77" s="50">
        <f>IF(日別集計!G77="","",日別集計!G77)</f>
        <v>4</v>
      </c>
      <c r="H77" s="50">
        <f>IF(日別集計!H77="","",日別集計!H77)</f>
        <v>0</v>
      </c>
      <c r="I77" s="50">
        <f>IF(日別集計!I77="","",日別集計!I77)</f>
        <v>0</v>
      </c>
      <c r="J77" s="50">
        <f>IF(日別集計!J77="","",日別集計!J77)</f>
        <v>0</v>
      </c>
      <c r="K77" s="50">
        <f>IF(日別集計!K77="","",日別集計!K77)</f>
        <v>0</v>
      </c>
      <c r="L77" s="50">
        <f>IF(日別集計!L77="","",日別集計!L77)</f>
        <v>0</v>
      </c>
      <c r="M77" s="50">
        <f>IF(日別集計!M77="","",日別集計!M77)</f>
        <v>0</v>
      </c>
      <c r="N77" s="50">
        <f>IF(日別集計!N77="","",日別集計!N77)</f>
        <v>0</v>
      </c>
      <c r="O77" s="50">
        <f>IF(日別集計!O77="","",日別集計!O77)</f>
        <v>2</v>
      </c>
      <c r="P77" s="50">
        <f>IF(日別集計!P77="","",日別集計!P77)</f>
        <v>2</v>
      </c>
      <c r="Q77" s="50">
        <f>IF(日別集計!Q77="","",日別集計!Q77)</f>
        <v>4</v>
      </c>
    </row>
    <row r="78" spans="1:17" ht="16.5" x14ac:dyDescent="0.3">
      <c r="A78" s="48">
        <f>IF(日別集計!A78="","",日別集計!A78)</f>
        <v>46205</v>
      </c>
      <c r="B78" s="49" t="str">
        <f>IF(日別集計!B78="","",日別集計!B78)</f>
        <v>木</v>
      </c>
      <c r="C78" s="50">
        <f>IF(日別集計!C78="","",日別集計!C78)</f>
        <v>0</v>
      </c>
      <c r="D78" s="50">
        <f>IF(日別集計!D78="","",日別集計!D78)</f>
        <v>0</v>
      </c>
      <c r="E78" s="50">
        <f>IF(日別集計!E78="","",日別集計!E78)</f>
        <v>0</v>
      </c>
      <c r="F78" s="50">
        <f>IF(日別集計!F78="","",日別集計!F78)</f>
        <v>0</v>
      </c>
      <c r="G78" s="50">
        <f>IF(日別集計!G78="","",日別集計!G78)</f>
        <v>2</v>
      </c>
      <c r="H78" s="50">
        <f>IF(日別集計!H78="","",日別集計!H78)</f>
        <v>0</v>
      </c>
      <c r="I78" s="50">
        <f>IF(日別集計!I78="","",日別集計!I78)</f>
        <v>0</v>
      </c>
      <c r="J78" s="50">
        <f>IF(日別集計!J78="","",日別集計!J78)</f>
        <v>0</v>
      </c>
      <c r="K78" s="50">
        <f>IF(日別集計!K78="","",日別集計!K78)</f>
        <v>0</v>
      </c>
      <c r="L78" s="50">
        <f>IF(日別集計!L78="","",日別集計!L78)</f>
        <v>0</v>
      </c>
      <c r="M78" s="50">
        <f>IF(日別集計!M78="","",日別集計!M78)</f>
        <v>0</v>
      </c>
      <c r="N78" s="50">
        <f>IF(日別集計!N78="","",日別集計!N78)</f>
        <v>0</v>
      </c>
      <c r="O78" s="50">
        <f>IF(日別集計!O78="","",日別集計!O78)</f>
        <v>2</v>
      </c>
      <c r="P78" s="50">
        <f>IF(日別集計!P78="","",日別集計!P78)</f>
        <v>0</v>
      </c>
      <c r="Q78" s="50">
        <f>IF(日別集計!Q78="","",日別集計!Q78)</f>
        <v>2</v>
      </c>
    </row>
    <row r="79" spans="1:17" ht="16.5" x14ac:dyDescent="0.3">
      <c r="A79" s="48">
        <f>IF(日別集計!A79="","",日別集計!A79)</f>
        <v>46206</v>
      </c>
      <c r="B79" s="49" t="str">
        <f>IF(日別集計!B79="","",日別集計!B79)</f>
        <v>金</v>
      </c>
      <c r="C79" s="50">
        <f>IF(日別集計!C79="","",日別集計!C79)</f>
        <v>0</v>
      </c>
      <c r="D79" s="50">
        <f>IF(日別集計!D79="","",日別集計!D79)</f>
        <v>0</v>
      </c>
      <c r="E79" s="50">
        <f>IF(日別集計!E79="","",日別集計!E79)</f>
        <v>0</v>
      </c>
      <c r="F79" s="50">
        <f>IF(日別集計!F79="","",日別集計!F79)</f>
        <v>0</v>
      </c>
      <c r="G79" s="50">
        <f>IF(日別集計!G79="","",日別集計!G79)</f>
        <v>6</v>
      </c>
      <c r="H79" s="50">
        <f>IF(日別集計!H79="","",日別集計!H79)</f>
        <v>0</v>
      </c>
      <c r="I79" s="50">
        <f>IF(日別集計!I79="","",日別集計!I79)</f>
        <v>0</v>
      </c>
      <c r="J79" s="50">
        <f>IF(日別集計!J79="","",日別集計!J79)</f>
        <v>0</v>
      </c>
      <c r="K79" s="50">
        <f>IF(日別集計!K79="","",日別集計!K79)</f>
        <v>0</v>
      </c>
      <c r="L79" s="50">
        <f>IF(日別集計!L79="","",日別集計!L79)</f>
        <v>0</v>
      </c>
      <c r="M79" s="50">
        <f>IF(日別集計!M79="","",日別集計!M79)</f>
        <v>0</v>
      </c>
      <c r="N79" s="50">
        <f>IF(日別集計!N79="","",日別集計!N79)</f>
        <v>0</v>
      </c>
      <c r="O79" s="50">
        <f>IF(日別集計!O79="","",日別集計!O79)</f>
        <v>3</v>
      </c>
      <c r="P79" s="50">
        <f>IF(日別集計!P79="","",日別集計!P79)</f>
        <v>3</v>
      </c>
      <c r="Q79" s="50">
        <f>IF(日別集計!Q79="","",日別集計!Q79)</f>
        <v>6</v>
      </c>
    </row>
    <row r="80" spans="1:17" ht="16.5" x14ac:dyDescent="0.3">
      <c r="A80" s="51">
        <f>IF(日別集計!A80="","",日別集計!A80)</f>
        <v>46207</v>
      </c>
      <c r="B80" s="52" t="str">
        <f>IF(日別集計!B80="","",日別集計!B80)</f>
        <v>土</v>
      </c>
      <c r="C80" s="53">
        <f>IF(日別集計!C80="","",日別集計!C80)</f>
        <v>0</v>
      </c>
      <c r="D80" s="53">
        <f>IF(日別集計!D80="","",日別集計!D80)</f>
        <v>0</v>
      </c>
      <c r="E80" s="53">
        <f>IF(日別集計!E80="","",日別集計!E80)</f>
        <v>0</v>
      </c>
      <c r="F80" s="53">
        <f>IF(日別集計!F80="","",日別集計!F80)</f>
        <v>0</v>
      </c>
      <c r="G80" s="53">
        <f>IF(日別集計!G80="","",日別集計!G80)</f>
        <v>5</v>
      </c>
      <c r="H80" s="53">
        <f>IF(日別集計!H80="","",日別集計!H80)</f>
        <v>0</v>
      </c>
      <c r="I80" s="53">
        <f>IF(日別集計!I80="","",日別集計!I80)</f>
        <v>0</v>
      </c>
      <c r="J80" s="53">
        <f>IF(日別集計!J80="","",日別集計!J80)</f>
        <v>0</v>
      </c>
      <c r="K80" s="53">
        <f>IF(日別集計!K80="","",日別集計!K80)</f>
        <v>0</v>
      </c>
      <c r="L80" s="53">
        <f>IF(日別集計!L80="","",日別集計!L80)</f>
        <v>0</v>
      </c>
      <c r="M80" s="53">
        <f>IF(日別集計!M80="","",日別集計!M80)</f>
        <v>0</v>
      </c>
      <c r="N80" s="53">
        <f>IF(日別集計!N80="","",日別集計!N80)</f>
        <v>0</v>
      </c>
      <c r="O80" s="53">
        <f>IF(日別集計!O80="","",日別集計!O80)</f>
        <v>5</v>
      </c>
      <c r="P80" s="53">
        <f>IF(日別集計!P80="","",日別集計!P80)</f>
        <v>0</v>
      </c>
      <c r="Q80" s="53">
        <f>IF(日別集計!Q80="","",日別集計!Q80)</f>
        <v>5</v>
      </c>
    </row>
    <row r="81" spans="1:17" ht="16.5" x14ac:dyDescent="0.3">
      <c r="A81" s="51">
        <f>IF(日別集計!A81="","",日別集計!A81)</f>
        <v>46208</v>
      </c>
      <c r="B81" s="52" t="str">
        <f>IF(日別集計!B81="","",日別集計!B81)</f>
        <v>日</v>
      </c>
      <c r="C81" s="53">
        <f>IF(日別集計!C81="","",日別集計!C81)</f>
        <v>0</v>
      </c>
      <c r="D81" s="53">
        <f>IF(日別集計!D81="","",日別集計!D81)</f>
        <v>0</v>
      </c>
      <c r="E81" s="53">
        <f>IF(日別集計!E81="","",日別集計!E81)</f>
        <v>0</v>
      </c>
      <c r="F81" s="53">
        <f>IF(日別集計!F81="","",日別集計!F81)</f>
        <v>0</v>
      </c>
      <c r="G81" s="53">
        <f>IF(日別集計!G81="","",日別集計!G81)</f>
        <v>0</v>
      </c>
      <c r="H81" s="53">
        <f>IF(日別集計!H81="","",日別集計!H81)</f>
        <v>0</v>
      </c>
      <c r="I81" s="53">
        <f>IF(日別集計!I81="","",日別集計!I81)</f>
        <v>0</v>
      </c>
      <c r="J81" s="53">
        <f>IF(日別集計!J81="","",日別集計!J81)</f>
        <v>0</v>
      </c>
      <c r="K81" s="53">
        <f>IF(日別集計!K81="","",日別集計!K81)</f>
        <v>0</v>
      </c>
      <c r="L81" s="53">
        <f>IF(日別集計!L81="","",日別集計!L81)</f>
        <v>0</v>
      </c>
      <c r="M81" s="53">
        <f>IF(日別集計!M81="","",日別集計!M81)</f>
        <v>0</v>
      </c>
      <c r="N81" s="53">
        <f>IF(日別集計!N81="","",日別集計!N81)</f>
        <v>0</v>
      </c>
      <c r="O81" s="53">
        <f>IF(日別集計!O81="","",日別集計!O81)</f>
        <v>0</v>
      </c>
      <c r="P81" s="53">
        <f>IF(日別集計!P81="","",日別集計!P81)</f>
        <v>0</v>
      </c>
      <c r="Q81" s="53">
        <f>IF(日別集計!Q81="","",日別集計!Q81)</f>
        <v>0</v>
      </c>
    </row>
    <row r="82" spans="1:17" ht="16.5" x14ac:dyDescent="0.3">
      <c r="A82" s="48">
        <f>IF(日別集計!A82="","",日別集計!A82)</f>
        <v>46209</v>
      </c>
      <c r="B82" s="49" t="str">
        <f>IF(日別集計!B82="","",日別集計!B82)</f>
        <v>月</v>
      </c>
      <c r="C82" s="50">
        <f>IF(日別集計!C82="","",日別集計!C82)</f>
        <v>0</v>
      </c>
      <c r="D82" s="50">
        <f>IF(日別集計!D82="","",日別集計!D82)</f>
        <v>0</v>
      </c>
      <c r="E82" s="50">
        <f>IF(日別集計!E82="","",日別集計!E82)</f>
        <v>0</v>
      </c>
      <c r="F82" s="50">
        <f>IF(日別集計!F82="","",日別集計!F82)</f>
        <v>0</v>
      </c>
      <c r="G82" s="50">
        <f>IF(日別集計!G82="","",日別集計!G82)</f>
        <v>4</v>
      </c>
      <c r="H82" s="50">
        <f>IF(日別集計!H82="","",日別集計!H82)</f>
        <v>0</v>
      </c>
      <c r="I82" s="50">
        <f>IF(日別集計!I82="","",日別集計!I82)</f>
        <v>0</v>
      </c>
      <c r="J82" s="50">
        <f>IF(日別集計!J82="","",日別集計!J82)</f>
        <v>0</v>
      </c>
      <c r="K82" s="50">
        <f>IF(日別集計!K82="","",日別集計!K82)</f>
        <v>0</v>
      </c>
      <c r="L82" s="50">
        <f>IF(日別集計!L82="","",日別集計!L82)</f>
        <v>0</v>
      </c>
      <c r="M82" s="50">
        <f>IF(日別集計!M82="","",日別集計!M82)</f>
        <v>0</v>
      </c>
      <c r="N82" s="50">
        <f>IF(日別集計!N82="","",日別集計!N82)</f>
        <v>0</v>
      </c>
      <c r="O82" s="50">
        <f>IF(日別集計!O82="","",日別集計!O82)</f>
        <v>4</v>
      </c>
      <c r="P82" s="50">
        <f>IF(日別集計!P82="","",日別集計!P82)</f>
        <v>0</v>
      </c>
      <c r="Q82" s="50">
        <f>IF(日別集計!Q82="","",日別集計!Q82)</f>
        <v>4</v>
      </c>
    </row>
    <row r="83" spans="1:17" ht="16.5" x14ac:dyDescent="0.3">
      <c r="A83" s="48">
        <f>IF(日別集計!A83="","",日別集計!A83)</f>
        <v>46210</v>
      </c>
      <c r="B83" s="49" t="str">
        <f>IF(日別集計!B83="","",日別集計!B83)</f>
        <v>火</v>
      </c>
      <c r="C83" s="50">
        <f>IF(日別集計!C83="","",日別集計!C83)</f>
        <v>0</v>
      </c>
      <c r="D83" s="50">
        <f>IF(日別集計!D83="","",日別集計!D83)</f>
        <v>0</v>
      </c>
      <c r="E83" s="50">
        <f>IF(日別集計!E83="","",日別集計!E83)</f>
        <v>0</v>
      </c>
      <c r="F83" s="50">
        <f>IF(日別集計!F83="","",日別集計!F83)</f>
        <v>0</v>
      </c>
      <c r="G83" s="50">
        <f>IF(日別集計!G83="","",日別集計!G83)</f>
        <v>5</v>
      </c>
      <c r="H83" s="50">
        <f>IF(日別集計!H83="","",日別集計!H83)</f>
        <v>0</v>
      </c>
      <c r="I83" s="50">
        <f>IF(日別集計!I83="","",日別集計!I83)</f>
        <v>0</v>
      </c>
      <c r="J83" s="50">
        <f>IF(日別集計!J83="","",日別集計!J83)</f>
        <v>0</v>
      </c>
      <c r="K83" s="50">
        <f>IF(日別集計!K83="","",日別集計!K83)</f>
        <v>0</v>
      </c>
      <c r="L83" s="50">
        <f>IF(日別集計!L83="","",日別集計!L83)</f>
        <v>0</v>
      </c>
      <c r="M83" s="50">
        <f>IF(日別集計!M83="","",日別集計!M83)</f>
        <v>0</v>
      </c>
      <c r="N83" s="50">
        <f>IF(日別集計!N83="","",日別集計!N83)</f>
        <v>0</v>
      </c>
      <c r="O83" s="50">
        <f>IF(日別集計!O83="","",日別集計!O83)</f>
        <v>5</v>
      </c>
      <c r="P83" s="50">
        <f>IF(日別集計!P83="","",日別集計!P83)</f>
        <v>0</v>
      </c>
      <c r="Q83" s="50">
        <f>IF(日別集計!Q83="","",日別集計!Q83)</f>
        <v>5</v>
      </c>
    </row>
    <row r="84" spans="1:17" ht="16.5" x14ac:dyDescent="0.3">
      <c r="A84" s="48">
        <f>IF(日別集計!A84="","",日別集計!A84)</f>
        <v>46211</v>
      </c>
      <c r="B84" s="49" t="str">
        <f>IF(日別集計!B84="","",日別集計!B84)</f>
        <v>水</v>
      </c>
      <c r="C84" s="50">
        <f>IF(日別集計!C84="","",日別集計!C84)</f>
        <v>0</v>
      </c>
      <c r="D84" s="50">
        <f>IF(日別集計!D84="","",日別集計!D84)</f>
        <v>0</v>
      </c>
      <c r="E84" s="50">
        <f>IF(日別集計!E84="","",日別集計!E84)</f>
        <v>0</v>
      </c>
      <c r="F84" s="50">
        <f>IF(日別集計!F84="","",日別集計!F84)</f>
        <v>0</v>
      </c>
      <c r="G84" s="50">
        <f>IF(日別集計!G84="","",日別集計!G84)</f>
        <v>5</v>
      </c>
      <c r="H84" s="50">
        <f>IF(日別集計!H84="","",日別集計!H84)</f>
        <v>0</v>
      </c>
      <c r="I84" s="50">
        <f>IF(日別集計!I84="","",日別集計!I84)</f>
        <v>0</v>
      </c>
      <c r="J84" s="50">
        <f>IF(日別集計!J84="","",日別集計!J84)</f>
        <v>0</v>
      </c>
      <c r="K84" s="50">
        <f>IF(日別集計!K84="","",日別集計!K84)</f>
        <v>0</v>
      </c>
      <c r="L84" s="50">
        <f>IF(日別集計!L84="","",日別集計!L84)</f>
        <v>0</v>
      </c>
      <c r="M84" s="50">
        <f>IF(日別集計!M84="","",日別集計!M84)</f>
        <v>0</v>
      </c>
      <c r="N84" s="50">
        <f>IF(日別集計!N84="","",日別集計!N84)</f>
        <v>0</v>
      </c>
      <c r="O84" s="50">
        <f>IF(日別集計!O84="","",日別集計!O84)</f>
        <v>4</v>
      </c>
      <c r="P84" s="50">
        <f>IF(日別集計!P84="","",日別集計!P84)</f>
        <v>1</v>
      </c>
      <c r="Q84" s="50">
        <f>IF(日別集計!Q84="","",日別集計!Q84)</f>
        <v>5</v>
      </c>
    </row>
    <row r="85" spans="1:17" ht="16.5" x14ac:dyDescent="0.3">
      <c r="A85" s="48">
        <f>IF(日別集計!A85="","",日別集計!A85)</f>
        <v>46212</v>
      </c>
      <c r="B85" s="49" t="str">
        <f>IF(日別集計!B85="","",日別集計!B85)</f>
        <v>木</v>
      </c>
      <c r="C85" s="50">
        <f>IF(日別集計!C85="","",日別集計!C85)</f>
        <v>0</v>
      </c>
      <c r="D85" s="50">
        <f>IF(日別集計!D85="","",日別集計!D85)</f>
        <v>0</v>
      </c>
      <c r="E85" s="50">
        <f>IF(日別集計!E85="","",日別集計!E85)</f>
        <v>0</v>
      </c>
      <c r="F85" s="50">
        <f>IF(日別集計!F85="","",日別集計!F85)</f>
        <v>0</v>
      </c>
      <c r="G85" s="50">
        <f>IF(日別集計!G85="","",日別集計!G85)</f>
        <v>0</v>
      </c>
      <c r="H85" s="50">
        <f>IF(日別集計!H85="","",日別集計!H85)</f>
        <v>0</v>
      </c>
      <c r="I85" s="50">
        <f>IF(日別集計!I85="","",日別集計!I85)</f>
        <v>0</v>
      </c>
      <c r="J85" s="50">
        <f>IF(日別集計!J85="","",日別集計!J85)</f>
        <v>0</v>
      </c>
      <c r="K85" s="50">
        <f>IF(日別集計!K85="","",日別集計!K85)</f>
        <v>0</v>
      </c>
      <c r="L85" s="50">
        <f>IF(日別集計!L85="","",日別集計!L85)</f>
        <v>0</v>
      </c>
      <c r="M85" s="50">
        <f>IF(日別集計!M85="","",日別集計!M85)</f>
        <v>0</v>
      </c>
      <c r="N85" s="50">
        <f>IF(日別集計!N85="","",日別集計!N85)</f>
        <v>0</v>
      </c>
      <c r="O85" s="50">
        <f>IF(日別集計!O85="","",日別集計!O85)</f>
        <v>0</v>
      </c>
      <c r="P85" s="50">
        <f>IF(日別集計!P85="","",日別集計!P85)</f>
        <v>0</v>
      </c>
      <c r="Q85" s="50">
        <f>IF(日別集計!Q85="","",日別集計!Q85)</f>
        <v>0</v>
      </c>
    </row>
    <row r="86" spans="1:17" ht="16.5" x14ac:dyDescent="0.3">
      <c r="A86" s="48">
        <f>IF(日別集計!A86="","",日別集計!A86)</f>
        <v>46213</v>
      </c>
      <c r="B86" s="49" t="str">
        <f>IF(日別集計!B86="","",日別集計!B86)</f>
        <v>金</v>
      </c>
      <c r="C86" s="50">
        <f>IF(日別集計!C86="","",日別集計!C86)</f>
        <v>0</v>
      </c>
      <c r="D86" s="50">
        <f>IF(日別集計!D86="","",日別集計!D86)</f>
        <v>0</v>
      </c>
      <c r="E86" s="50">
        <f>IF(日別集計!E86="","",日別集計!E86)</f>
        <v>0</v>
      </c>
      <c r="F86" s="50">
        <f>IF(日別集計!F86="","",日別集計!F86)</f>
        <v>0</v>
      </c>
      <c r="G86" s="50">
        <f>IF(日別集計!G86="","",日別集計!G86)</f>
        <v>0</v>
      </c>
      <c r="H86" s="50">
        <f>IF(日別集計!H86="","",日別集計!H86)</f>
        <v>0</v>
      </c>
      <c r="I86" s="50">
        <f>IF(日別集計!I86="","",日別集計!I86)</f>
        <v>0</v>
      </c>
      <c r="J86" s="50">
        <f>IF(日別集計!J86="","",日別集計!J86)</f>
        <v>0</v>
      </c>
      <c r="K86" s="50">
        <f>IF(日別集計!K86="","",日別集計!K86)</f>
        <v>0</v>
      </c>
      <c r="L86" s="50">
        <f>IF(日別集計!L86="","",日別集計!L86)</f>
        <v>0</v>
      </c>
      <c r="M86" s="50">
        <f>IF(日別集計!M86="","",日別集計!M86)</f>
        <v>0</v>
      </c>
      <c r="N86" s="50">
        <f>IF(日別集計!N86="","",日別集計!N86)</f>
        <v>0</v>
      </c>
      <c r="O86" s="50">
        <f>IF(日別集計!O86="","",日別集計!O86)</f>
        <v>0</v>
      </c>
      <c r="P86" s="50">
        <f>IF(日別集計!P86="","",日別集計!P86)</f>
        <v>0</v>
      </c>
      <c r="Q86" s="50">
        <f>IF(日別集計!Q86="","",日別集計!Q86)</f>
        <v>0</v>
      </c>
    </row>
    <row r="87" spans="1:17" ht="16.5" x14ac:dyDescent="0.3">
      <c r="A87" s="51">
        <f>IF(日別集計!A87="","",日別集計!A87)</f>
        <v>46214</v>
      </c>
      <c r="B87" s="52" t="str">
        <f>IF(日別集計!B87="","",日別集計!B87)</f>
        <v>土</v>
      </c>
      <c r="C87" s="53">
        <f>IF(日別集計!C87="","",日別集計!C87)</f>
        <v>0</v>
      </c>
      <c r="D87" s="53">
        <f>IF(日別集計!D87="","",日別集計!D87)</f>
        <v>0</v>
      </c>
      <c r="E87" s="53">
        <f>IF(日別集計!E87="","",日別集計!E87)</f>
        <v>0</v>
      </c>
      <c r="F87" s="53">
        <f>IF(日別集計!F87="","",日別集計!F87)</f>
        <v>0</v>
      </c>
      <c r="G87" s="53">
        <f>IF(日別集計!G87="","",日別集計!G87)</f>
        <v>0</v>
      </c>
      <c r="H87" s="53">
        <f>IF(日別集計!H87="","",日別集計!H87)</f>
        <v>0</v>
      </c>
      <c r="I87" s="53">
        <f>IF(日別集計!I87="","",日別集計!I87)</f>
        <v>0</v>
      </c>
      <c r="J87" s="53">
        <f>IF(日別集計!J87="","",日別集計!J87)</f>
        <v>0</v>
      </c>
      <c r="K87" s="53">
        <f>IF(日別集計!K87="","",日別集計!K87)</f>
        <v>0</v>
      </c>
      <c r="L87" s="53">
        <f>IF(日別集計!L87="","",日別集計!L87)</f>
        <v>0</v>
      </c>
      <c r="M87" s="53">
        <f>IF(日別集計!M87="","",日別集計!M87)</f>
        <v>0</v>
      </c>
      <c r="N87" s="53">
        <f>IF(日別集計!N87="","",日別集計!N87)</f>
        <v>0</v>
      </c>
      <c r="O87" s="53">
        <f>IF(日別集計!O87="","",日別集計!O87)</f>
        <v>0</v>
      </c>
      <c r="P87" s="53">
        <f>IF(日別集計!P87="","",日別集計!P87)</f>
        <v>0</v>
      </c>
      <c r="Q87" s="53">
        <f>IF(日別集計!Q87="","",日別集計!Q87)</f>
        <v>0</v>
      </c>
    </row>
    <row r="88" spans="1:17" ht="16.5" x14ac:dyDescent="0.3">
      <c r="A88" s="51">
        <f>IF(日別集計!A88="","",日別集計!A88)</f>
        <v>46215</v>
      </c>
      <c r="B88" s="52" t="str">
        <f>IF(日別集計!B88="","",日別集計!B88)</f>
        <v>日</v>
      </c>
      <c r="C88" s="53">
        <f>IF(日別集計!C88="","",日別集計!C88)</f>
        <v>0</v>
      </c>
      <c r="D88" s="53">
        <f>IF(日別集計!D88="","",日別集計!D88)</f>
        <v>0</v>
      </c>
      <c r="E88" s="53">
        <f>IF(日別集計!E88="","",日別集計!E88)</f>
        <v>0</v>
      </c>
      <c r="F88" s="53">
        <f>IF(日別集計!F88="","",日別集計!F88)</f>
        <v>0</v>
      </c>
      <c r="G88" s="53">
        <f>IF(日別集計!G88="","",日別集計!G88)</f>
        <v>1</v>
      </c>
      <c r="H88" s="53">
        <f>IF(日別集計!H88="","",日別集計!H88)</f>
        <v>0</v>
      </c>
      <c r="I88" s="53">
        <f>IF(日別集計!I88="","",日別集計!I88)</f>
        <v>0</v>
      </c>
      <c r="J88" s="53">
        <f>IF(日別集計!J88="","",日別集計!J88)</f>
        <v>0</v>
      </c>
      <c r="K88" s="53">
        <f>IF(日別集計!K88="","",日別集計!K88)</f>
        <v>0</v>
      </c>
      <c r="L88" s="53">
        <f>IF(日別集計!L88="","",日別集計!L88)</f>
        <v>0</v>
      </c>
      <c r="M88" s="53">
        <f>IF(日別集計!M88="","",日別集計!M88)</f>
        <v>0</v>
      </c>
      <c r="N88" s="53">
        <f>IF(日別集計!N88="","",日別集計!N88)</f>
        <v>0</v>
      </c>
      <c r="O88" s="53">
        <f>IF(日別集計!O88="","",日別集計!O88)</f>
        <v>1</v>
      </c>
      <c r="P88" s="53">
        <f>IF(日別集計!P88="","",日別集計!P88)</f>
        <v>0</v>
      </c>
      <c r="Q88" s="53">
        <f>IF(日別集計!Q88="","",日別集計!Q88)</f>
        <v>1</v>
      </c>
    </row>
    <row r="89" spans="1:17" ht="16.5" x14ac:dyDescent="0.3">
      <c r="A89" s="48">
        <f>IF(日別集計!A89="","",日別集計!A89)</f>
        <v>46216</v>
      </c>
      <c r="B89" s="49" t="str">
        <f>IF(日別集計!B89="","",日別集計!B89)</f>
        <v>月</v>
      </c>
      <c r="C89" s="50">
        <f>IF(日別集計!C89="","",日別集計!C89)</f>
        <v>0</v>
      </c>
      <c r="D89" s="50">
        <f>IF(日別集計!D89="","",日別集計!D89)</f>
        <v>0</v>
      </c>
      <c r="E89" s="50">
        <f>IF(日別集計!E89="","",日別集計!E89)</f>
        <v>0</v>
      </c>
      <c r="F89" s="50">
        <f>IF(日別集計!F89="","",日別集計!F89)</f>
        <v>0</v>
      </c>
      <c r="G89" s="50">
        <f>IF(日別集計!G89="","",日別集計!G89)</f>
        <v>4</v>
      </c>
      <c r="H89" s="50">
        <f>IF(日別集計!H89="","",日別集計!H89)</f>
        <v>0</v>
      </c>
      <c r="I89" s="50">
        <f>IF(日別集計!I89="","",日別集計!I89)</f>
        <v>0</v>
      </c>
      <c r="J89" s="50">
        <f>IF(日別集計!J89="","",日別集計!J89)</f>
        <v>0</v>
      </c>
      <c r="K89" s="50">
        <f>IF(日別集計!K89="","",日別集計!K89)</f>
        <v>0</v>
      </c>
      <c r="L89" s="50">
        <f>IF(日別集計!L89="","",日別集計!L89)</f>
        <v>0</v>
      </c>
      <c r="M89" s="50">
        <f>IF(日別集計!M89="","",日別集計!M89)</f>
        <v>0</v>
      </c>
      <c r="N89" s="50">
        <f>IF(日別集計!N89="","",日別集計!N89)</f>
        <v>0</v>
      </c>
      <c r="O89" s="50">
        <f>IF(日別集計!O89="","",日別集計!O89)</f>
        <v>4</v>
      </c>
      <c r="P89" s="50">
        <f>IF(日別集計!P89="","",日別集計!P89)</f>
        <v>0</v>
      </c>
      <c r="Q89" s="50">
        <f>IF(日別集計!Q89="","",日別集計!Q89)</f>
        <v>4</v>
      </c>
    </row>
    <row r="90" spans="1:17" ht="16.5" x14ac:dyDescent="0.3">
      <c r="A90" s="48">
        <f>IF(日別集計!A90="","",日別集計!A90)</f>
        <v>46217</v>
      </c>
      <c r="B90" s="49" t="str">
        <f>IF(日別集計!B90="","",日別集計!B90)</f>
        <v>火</v>
      </c>
      <c r="C90" s="50">
        <f>IF(日別集計!C90="","",日別集計!C90)</f>
        <v>0</v>
      </c>
      <c r="D90" s="50">
        <f>IF(日別集計!D90="","",日別集計!D90)</f>
        <v>0</v>
      </c>
      <c r="E90" s="50">
        <f>IF(日別集計!E90="","",日別集計!E90)</f>
        <v>0</v>
      </c>
      <c r="F90" s="50">
        <f>IF(日別集計!F90="","",日別集計!F90)</f>
        <v>0</v>
      </c>
      <c r="G90" s="50">
        <f>IF(日別集計!G90="","",日別集計!G90)</f>
        <v>0</v>
      </c>
      <c r="H90" s="50">
        <f>IF(日別集計!H90="","",日別集計!H90)</f>
        <v>2</v>
      </c>
      <c r="I90" s="50">
        <f>IF(日別集計!I90="","",日別集計!I90)</f>
        <v>0</v>
      </c>
      <c r="J90" s="50">
        <f>IF(日別集計!J90="","",日別集計!J90)</f>
        <v>0</v>
      </c>
      <c r="K90" s="50">
        <f>IF(日別集計!K90="","",日別集計!K90)</f>
        <v>0</v>
      </c>
      <c r="L90" s="50">
        <f>IF(日別集計!L90="","",日別集計!L90)</f>
        <v>0</v>
      </c>
      <c r="M90" s="50">
        <f>IF(日別集計!M90="","",日別集計!M90)</f>
        <v>0</v>
      </c>
      <c r="N90" s="50">
        <f>IF(日別集計!N90="","",日別集計!N90)</f>
        <v>0</v>
      </c>
      <c r="O90" s="50">
        <f>IF(日別集計!O90="","",日別集計!O90)</f>
        <v>2</v>
      </c>
      <c r="P90" s="50">
        <f>IF(日別集計!P90="","",日別集計!P90)</f>
        <v>0</v>
      </c>
      <c r="Q90" s="50">
        <f>IF(日別集計!Q90="","",日別集計!Q90)</f>
        <v>2</v>
      </c>
    </row>
    <row r="91" spans="1:17" ht="16.5" x14ac:dyDescent="0.3">
      <c r="A91" s="48">
        <f>IF(日別集計!A91="","",日別集計!A91)</f>
        <v>46218</v>
      </c>
      <c r="B91" s="49" t="str">
        <f>IF(日別集計!B91="","",日別集計!B91)</f>
        <v>水</v>
      </c>
      <c r="C91" s="50">
        <f>IF(日別集計!C91="","",日別集計!C91)</f>
        <v>0</v>
      </c>
      <c r="D91" s="50">
        <f>IF(日別集計!D91="","",日別集計!D91)</f>
        <v>0</v>
      </c>
      <c r="E91" s="50">
        <f>IF(日別集計!E91="","",日別集計!E91)</f>
        <v>0</v>
      </c>
      <c r="F91" s="50">
        <f>IF(日別集計!F91="","",日別集計!F91)</f>
        <v>0</v>
      </c>
      <c r="G91" s="50">
        <f>IF(日別集計!G91="","",日別集計!G91)</f>
        <v>0</v>
      </c>
      <c r="H91" s="50">
        <f>IF(日別集計!H91="","",日別集計!H91)</f>
        <v>4</v>
      </c>
      <c r="I91" s="50">
        <f>IF(日別集計!I91="","",日別集計!I91)</f>
        <v>0</v>
      </c>
      <c r="J91" s="50">
        <f>IF(日別集計!J91="","",日別集計!J91)</f>
        <v>0</v>
      </c>
      <c r="K91" s="50">
        <f>IF(日別集計!K91="","",日別集計!K91)</f>
        <v>0</v>
      </c>
      <c r="L91" s="50">
        <f>IF(日別集計!L91="","",日別集計!L91)</f>
        <v>0</v>
      </c>
      <c r="M91" s="50">
        <f>IF(日別集計!M91="","",日別集計!M91)</f>
        <v>0</v>
      </c>
      <c r="N91" s="50">
        <f>IF(日別集計!N91="","",日別集計!N91)</f>
        <v>0</v>
      </c>
      <c r="O91" s="50">
        <f>IF(日別集計!O91="","",日別集計!O91)</f>
        <v>4</v>
      </c>
      <c r="P91" s="50">
        <f>IF(日別集計!P91="","",日別集計!P91)</f>
        <v>0</v>
      </c>
      <c r="Q91" s="50">
        <f>IF(日別集計!Q91="","",日別集計!Q91)</f>
        <v>4</v>
      </c>
    </row>
    <row r="92" spans="1:17" ht="16.5" x14ac:dyDescent="0.3">
      <c r="A92" s="48">
        <f>IF(日別集計!A92="","",日別集計!A92)</f>
        <v>46219</v>
      </c>
      <c r="B92" s="49" t="str">
        <f>IF(日別集計!B92="","",日別集計!B92)</f>
        <v>木</v>
      </c>
      <c r="C92" s="50">
        <f>IF(日別集計!C92="","",日別集計!C92)</f>
        <v>0</v>
      </c>
      <c r="D92" s="50">
        <f>IF(日別集計!D92="","",日別集計!D92)</f>
        <v>0</v>
      </c>
      <c r="E92" s="50">
        <f>IF(日別集計!E92="","",日別集計!E92)</f>
        <v>0</v>
      </c>
      <c r="F92" s="50">
        <f>IF(日別集計!F92="","",日別集計!F92)</f>
        <v>0</v>
      </c>
      <c r="G92" s="50">
        <f>IF(日別集計!G92="","",日別集計!G92)</f>
        <v>0</v>
      </c>
      <c r="H92" s="50">
        <f>IF(日別集計!H92="","",日別集計!H92)</f>
        <v>4</v>
      </c>
      <c r="I92" s="50">
        <f>IF(日別集計!I92="","",日別集計!I92)</f>
        <v>0</v>
      </c>
      <c r="J92" s="50">
        <f>IF(日別集計!J92="","",日別集計!J92)</f>
        <v>0</v>
      </c>
      <c r="K92" s="50">
        <f>IF(日別集計!K92="","",日別集計!K92)</f>
        <v>0</v>
      </c>
      <c r="L92" s="50">
        <f>IF(日別集計!L92="","",日別集計!L92)</f>
        <v>0</v>
      </c>
      <c r="M92" s="50">
        <f>IF(日別集計!M92="","",日別集計!M92)</f>
        <v>0</v>
      </c>
      <c r="N92" s="50">
        <f>IF(日別集計!N92="","",日別集計!N92)</f>
        <v>0</v>
      </c>
      <c r="O92" s="50">
        <f>IF(日別集計!O92="","",日別集計!O92)</f>
        <v>4</v>
      </c>
      <c r="P92" s="50">
        <f>IF(日別集計!P92="","",日別集計!P92)</f>
        <v>0</v>
      </c>
      <c r="Q92" s="50">
        <f>IF(日別集計!Q92="","",日別集計!Q92)</f>
        <v>4</v>
      </c>
    </row>
    <row r="93" spans="1:17" ht="16.5" x14ac:dyDescent="0.3">
      <c r="A93" s="48">
        <f>IF(日別集計!A93="","",日別集計!A93)</f>
        <v>46220</v>
      </c>
      <c r="B93" s="49" t="str">
        <f>IF(日別集計!B93="","",日別集計!B93)</f>
        <v>金</v>
      </c>
      <c r="C93" s="50">
        <f>IF(日別集計!C93="","",日別集計!C93)</f>
        <v>0</v>
      </c>
      <c r="D93" s="50">
        <f>IF(日別集計!D93="","",日別集計!D93)</f>
        <v>0</v>
      </c>
      <c r="E93" s="50">
        <f>IF(日別集計!E93="","",日別集計!E93)</f>
        <v>0</v>
      </c>
      <c r="F93" s="50">
        <f>IF(日別集計!F93="","",日別集計!F93)</f>
        <v>0</v>
      </c>
      <c r="G93" s="50">
        <f>IF(日別集計!G93="","",日別集計!G93)</f>
        <v>0</v>
      </c>
      <c r="H93" s="50">
        <f>IF(日別集計!H93="","",日別集計!H93)</f>
        <v>4</v>
      </c>
      <c r="I93" s="50">
        <f>IF(日別集計!I93="","",日別集計!I93)</f>
        <v>0</v>
      </c>
      <c r="J93" s="50">
        <f>IF(日別集計!J93="","",日別集計!J93)</f>
        <v>0</v>
      </c>
      <c r="K93" s="50">
        <f>IF(日別集計!K93="","",日別集計!K93)</f>
        <v>0</v>
      </c>
      <c r="L93" s="50">
        <f>IF(日別集計!L93="","",日別集計!L93)</f>
        <v>0</v>
      </c>
      <c r="M93" s="50">
        <f>IF(日別集計!M93="","",日別集計!M93)</f>
        <v>0</v>
      </c>
      <c r="N93" s="50">
        <f>IF(日別集計!N93="","",日別集計!N93)</f>
        <v>0</v>
      </c>
      <c r="O93" s="50">
        <f>IF(日別集計!O93="","",日別集計!O93)</f>
        <v>4</v>
      </c>
      <c r="P93" s="50">
        <f>IF(日別集計!P93="","",日別集計!P93)</f>
        <v>0</v>
      </c>
      <c r="Q93" s="50">
        <f>IF(日別集計!Q93="","",日別集計!Q93)</f>
        <v>4</v>
      </c>
    </row>
    <row r="94" spans="1:17" ht="16.5" x14ac:dyDescent="0.3">
      <c r="A94" s="51">
        <f>IF(日別集計!A94="","",日別集計!A94)</f>
        <v>46221</v>
      </c>
      <c r="B94" s="52" t="str">
        <f>IF(日別集計!B94="","",日別集計!B94)</f>
        <v>土</v>
      </c>
      <c r="C94" s="53">
        <f>IF(日別集計!C94="","",日別集計!C94)</f>
        <v>0</v>
      </c>
      <c r="D94" s="53">
        <f>IF(日別集計!D94="","",日別集計!D94)</f>
        <v>0</v>
      </c>
      <c r="E94" s="53">
        <f>IF(日別集計!E94="","",日別集計!E94)</f>
        <v>0</v>
      </c>
      <c r="F94" s="53">
        <f>IF(日別集計!F94="","",日別集計!F94)</f>
        <v>0</v>
      </c>
      <c r="G94" s="53">
        <f>IF(日別集計!G94="","",日別集計!G94)</f>
        <v>0</v>
      </c>
      <c r="H94" s="53">
        <f>IF(日別集計!H94="","",日別集計!H94)</f>
        <v>4</v>
      </c>
      <c r="I94" s="53">
        <f>IF(日別集計!I94="","",日別集計!I94)</f>
        <v>0</v>
      </c>
      <c r="J94" s="53">
        <f>IF(日別集計!J94="","",日別集計!J94)</f>
        <v>0</v>
      </c>
      <c r="K94" s="53">
        <f>IF(日別集計!K94="","",日別集計!K94)</f>
        <v>0</v>
      </c>
      <c r="L94" s="53">
        <f>IF(日別集計!L94="","",日別集計!L94)</f>
        <v>0</v>
      </c>
      <c r="M94" s="53">
        <f>IF(日別集計!M94="","",日別集計!M94)</f>
        <v>0</v>
      </c>
      <c r="N94" s="53">
        <f>IF(日別集計!N94="","",日別集計!N94)</f>
        <v>0</v>
      </c>
      <c r="O94" s="53">
        <f>IF(日別集計!O94="","",日別集計!O94)</f>
        <v>4</v>
      </c>
      <c r="P94" s="53">
        <f>IF(日別集計!P94="","",日別集計!P94)</f>
        <v>0</v>
      </c>
      <c r="Q94" s="53">
        <f>IF(日別集計!Q94="","",日別集計!Q94)</f>
        <v>4</v>
      </c>
    </row>
    <row r="95" spans="1:17" ht="16.5" x14ac:dyDescent="0.3">
      <c r="A95" s="51">
        <f>IF(日別集計!A95="","",日別集計!A95)</f>
        <v>46222</v>
      </c>
      <c r="B95" s="52" t="str">
        <f>IF(日別集計!B95="","",日別集計!B95)</f>
        <v>日</v>
      </c>
      <c r="C95" s="53">
        <f>IF(日別集計!C95="","",日別集計!C95)</f>
        <v>0</v>
      </c>
      <c r="D95" s="53">
        <f>IF(日別集計!D95="","",日別集計!D95)</f>
        <v>0</v>
      </c>
      <c r="E95" s="53">
        <f>IF(日別集計!E95="","",日別集計!E95)</f>
        <v>0</v>
      </c>
      <c r="F95" s="53">
        <f>IF(日別集計!F95="","",日別集計!F95)</f>
        <v>0</v>
      </c>
      <c r="G95" s="53">
        <f>IF(日別集計!G95="","",日別集計!G95)</f>
        <v>0</v>
      </c>
      <c r="H95" s="53">
        <f>IF(日別集計!H95="","",日別集計!H95)</f>
        <v>1</v>
      </c>
      <c r="I95" s="53">
        <f>IF(日別集計!I95="","",日別集計!I95)</f>
        <v>0</v>
      </c>
      <c r="J95" s="53">
        <f>IF(日別集計!J95="","",日別集計!J95)</f>
        <v>0</v>
      </c>
      <c r="K95" s="53">
        <f>IF(日別集計!K95="","",日別集計!K95)</f>
        <v>0</v>
      </c>
      <c r="L95" s="53">
        <f>IF(日別集計!L95="","",日別集計!L95)</f>
        <v>0</v>
      </c>
      <c r="M95" s="53">
        <f>IF(日別集計!M95="","",日別集計!M95)</f>
        <v>0</v>
      </c>
      <c r="N95" s="53">
        <f>IF(日別集計!N95="","",日別集計!N95)</f>
        <v>0</v>
      </c>
      <c r="O95" s="53">
        <f>IF(日別集計!O95="","",日別集計!O95)</f>
        <v>1</v>
      </c>
      <c r="P95" s="53">
        <f>IF(日別集計!P95="","",日別集計!P95)</f>
        <v>0</v>
      </c>
      <c r="Q95" s="53">
        <f>IF(日別集計!Q95="","",日別集計!Q95)</f>
        <v>1</v>
      </c>
    </row>
    <row r="96" spans="1:17" ht="16.5" x14ac:dyDescent="0.3">
      <c r="A96" s="48">
        <f>IF(日別集計!A96="","",日別集計!A96)</f>
        <v>46223</v>
      </c>
      <c r="B96" s="49" t="str">
        <f>IF(日別集計!B96="","",日別集計!B96)</f>
        <v>月</v>
      </c>
      <c r="C96" s="50">
        <f>IF(日別集計!C96="","",日別集計!C96)</f>
        <v>0</v>
      </c>
      <c r="D96" s="50">
        <f>IF(日別集計!D96="","",日別集計!D96)</f>
        <v>0</v>
      </c>
      <c r="E96" s="50">
        <f>IF(日別集計!E96="","",日別集計!E96)</f>
        <v>0</v>
      </c>
      <c r="F96" s="50">
        <f>IF(日別集計!F96="","",日別集計!F96)</f>
        <v>0</v>
      </c>
      <c r="G96" s="50">
        <f>IF(日別集計!G96="","",日別集計!G96)</f>
        <v>0</v>
      </c>
      <c r="H96" s="50">
        <f>IF(日別集計!H96="","",日別集計!H96)</f>
        <v>3</v>
      </c>
      <c r="I96" s="50">
        <f>IF(日別集計!I96="","",日別集計!I96)</f>
        <v>0</v>
      </c>
      <c r="J96" s="50">
        <f>IF(日別集計!J96="","",日別集計!J96)</f>
        <v>0</v>
      </c>
      <c r="K96" s="50">
        <f>IF(日別集計!K96="","",日別集計!K96)</f>
        <v>0</v>
      </c>
      <c r="L96" s="50">
        <f>IF(日別集計!L96="","",日別集計!L96)</f>
        <v>0</v>
      </c>
      <c r="M96" s="50">
        <f>IF(日別集計!M96="","",日別集計!M96)</f>
        <v>0</v>
      </c>
      <c r="N96" s="50">
        <f>IF(日別集計!N96="","",日別集計!N96)</f>
        <v>0</v>
      </c>
      <c r="O96" s="50">
        <f>IF(日別集計!O96="","",日別集計!O96)</f>
        <v>3</v>
      </c>
      <c r="P96" s="50">
        <f>IF(日別集計!P96="","",日別集計!P96)</f>
        <v>0</v>
      </c>
      <c r="Q96" s="50">
        <f>IF(日別集計!Q96="","",日別集計!Q96)</f>
        <v>3</v>
      </c>
    </row>
    <row r="97" spans="1:17" ht="16.5" x14ac:dyDescent="0.3">
      <c r="A97" s="48">
        <f>IF(日別集計!A97="","",日別集計!A97)</f>
        <v>46224</v>
      </c>
      <c r="B97" s="49" t="str">
        <f>IF(日別集計!B97="","",日別集計!B97)</f>
        <v>火</v>
      </c>
      <c r="C97" s="50">
        <f>IF(日別集計!C97="","",日別集計!C97)</f>
        <v>0</v>
      </c>
      <c r="D97" s="50">
        <f>IF(日別集計!D97="","",日別集計!D97)</f>
        <v>0</v>
      </c>
      <c r="E97" s="50">
        <f>IF(日別集計!E97="","",日別集計!E97)</f>
        <v>0</v>
      </c>
      <c r="F97" s="50">
        <f>IF(日別集計!F97="","",日別集計!F97)</f>
        <v>0</v>
      </c>
      <c r="G97" s="50">
        <f>IF(日別集計!G97="","",日別集計!G97)</f>
        <v>0</v>
      </c>
      <c r="H97" s="50">
        <f>IF(日別集計!H97="","",日別集計!H97)</f>
        <v>3</v>
      </c>
      <c r="I97" s="50">
        <f>IF(日別集計!I97="","",日別集計!I97)</f>
        <v>0</v>
      </c>
      <c r="J97" s="50">
        <f>IF(日別集計!J97="","",日別集計!J97)</f>
        <v>0</v>
      </c>
      <c r="K97" s="50">
        <f>IF(日別集計!K97="","",日別集計!K97)</f>
        <v>0</v>
      </c>
      <c r="L97" s="50">
        <f>IF(日別集計!L97="","",日別集計!L97)</f>
        <v>0</v>
      </c>
      <c r="M97" s="50">
        <f>IF(日別集計!M97="","",日別集計!M97)</f>
        <v>0</v>
      </c>
      <c r="N97" s="50">
        <f>IF(日別集計!N97="","",日別集計!N97)</f>
        <v>0</v>
      </c>
      <c r="O97" s="50">
        <f>IF(日別集計!O97="","",日別集計!O97)</f>
        <v>3</v>
      </c>
      <c r="P97" s="50">
        <f>IF(日別集計!P97="","",日別集計!P97)</f>
        <v>0</v>
      </c>
      <c r="Q97" s="50">
        <f>IF(日別集計!Q97="","",日別集計!Q97)</f>
        <v>3</v>
      </c>
    </row>
    <row r="98" spans="1:17" ht="16.5" x14ac:dyDescent="0.3">
      <c r="A98" s="48">
        <f>IF(日別集計!A98="","",日別集計!A98)</f>
        <v>46225</v>
      </c>
      <c r="B98" s="49" t="str">
        <f>IF(日別集計!B98="","",日別集計!B98)</f>
        <v>水</v>
      </c>
      <c r="C98" s="50">
        <f>IF(日別集計!C98="","",日別集計!C98)</f>
        <v>0</v>
      </c>
      <c r="D98" s="50">
        <f>IF(日別集計!D98="","",日別集計!D98)</f>
        <v>0</v>
      </c>
      <c r="E98" s="50">
        <f>IF(日別集計!E98="","",日別集計!E98)</f>
        <v>0</v>
      </c>
      <c r="F98" s="50">
        <f>IF(日別集計!F98="","",日別集計!F98)</f>
        <v>0</v>
      </c>
      <c r="G98" s="50">
        <f>IF(日別集計!G98="","",日別集計!G98)</f>
        <v>0</v>
      </c>
      <c r="H98" s="50">
        <f>IF(日別集計!H98="","",日別集計!H98)</f>
        <v>3</v>
      </c>
      <c r="I98" s="50">
        <f>IF(日別集計!I98="","",日別集計!I98)</f>
        <v>0</v>
      </c>
      <c r="J98" s="50">
        <f>IF(日別集計!J98="","",日別集計!J98)</f>
        <v>0</v>
      </c>
      <c r="K98" s="50">
        <f>IF(日別集計!K98="","",日別集計!K98)</f>
        <v>0</v>
      </c>
      <c r="L98" s="50">
        <f>IF(日別集計!L98="","",日別集計!L98)</f>
        <v>0</v>
      </c>
      <c r="M98" s="50">
        <f>IF(日別集計!M98="","",日別集計!M98)</f>
        <v>0</v>
      </c>
      <c r="N98" s="50">
        <f>IF(日別集計!N98="","",日別集計!N98)</f>
        <v>0</v>
      </c>
      <c r="O98" s="50">
        <f>IF(日別集計!O98="","",日別集計!O98)</f>
        <v>3</v>
      </c>
      <c r="P98" s="50">
        <f>IF(日別集計!P98="","",日別集計!P98)</f>
        <v>0</v>
      </c>
      <c r="Q98" s="50">
        <f>IF(日別集計!Q98="","",日別集計!Q98)</f>
        <v>3</v>
      </c>
    </row>
    <row r="99" spans="1:17" ht="16.5" x14ac:dyDescent="0.3">
      <c r="A99" s="48">
        <f>IF(日別集計!A99="","",日別集計!A99)</f>
        <v>46226</v>
      </c>
      <c r="B99" s="49" t="str">
        <f>IF(日別集計!B99="","",日別集計!B99)</f>
        <v>木</v>
      </c>
      <c r="C99" s="50">
        <f>IF(日別集計!C99="","",日別集計!C99)</f>
        <v>0</v>
      </c>
      <c r="D99" s="50">
        <f>IF(日別集計!D99="","",日別集計!D99)</f>
        <v>0</v>
      </c>
      <c r="E99" s="50">
        <f>IF(日別集計!E99="","",日別集計!E99)</f>
        <v>0</v>
      </c>
      <c r="F99" s="50">
        <f>IF(日別集計!F99="","",日別集計!F99)</f>
        <v>0</v>
      </c>
      <c r="G99" s="50">
        <f>IF(日別集計!G99="","",日別集計!G99)</f>
        <v>0</v>
      </c>
      <c r="H99" s="50">
        <f>IF(日別集計!H99="","",日別集計!H99)</f>
        <v>2</v>
      </c>
      <c r="I99" s="50">
        <f>IF(日別集計!I99="","",日別集計!I99)</f>
        <v>0</v>
      </c>
      <c r="J99" s="50">
        <f>IF(日別集計!J99="","",日別集計!J99)</f>
        <v>0</v>
      </c>
      <c r="K99" s="50">
        <f>IF(日別集計!K99="","",日別集計!K99)</f>
        <v>0</v>
      </c>
      <c r="L99" s="50">
        <f>IF(日別集計!L99="","",日別集計!L99)</f>
        <v>0</v>
      </c>
      <c r="M99" s="50">
        <f>IF(日別集計!M99="","",日別集計!M99)</f>
        <v>0</v>
      </c>
      <c r="N99" s="50">
        <f>IF(日別集計!N99="","",日別集計!N99)</f>
        <v>0</v>
      </c>
      <c r="O99" s="50">
        <f>IF(日別集計!O99="","",日別集計!O99)</f>
        <v>2</v>
      </c>
      <c r="P99" s="50">
        <f>IF(日別集計!P99="","",日別集計!P99)</f>
        <v>0</v>
      </c>
      <c r="Q99" s="50">
        <f>IF(日別集計!Q99="","",日別集計!Q99)</f>
        <v>2</v>
      </c>
    </row>
    <row r="100" spans="1:17" ht="16.5" x14ac:dyDescent="0.3">
      <c r="A100" s="48">
        <f>IF(日別集計!A100="","",日別集計!A100)</f>
        <v>46227</v>
      </c>
      <c r="B100" s="49" t="str">
        <f>IF(日別集計!B100="","",日別集計!B100)</f>
        <v>金</v>
      </c>
      <c r="C100" s="50">
        <f>IF(日別集計!C100="","",日別集計!C100)</f>
        <v>0</v>
      </c>
      <c r="D100" s="50">
        <f>IF(日別集計!D100="","",日別集計!D100)</f>
        <v>0</v>
      </c>
      <c r="E100" s="50">
        <f>IF(日別集計!E100="","",日別集計!E100)</f>
        <v>0</v>
      </c>
      <c r="F100" s="50">
        <f>IF(日別集計!F100="","",日別集計!F100)</f>
        <v>0</v>
      </c>
      <c r="G100" s="50">
        <f>IF(日別集計!G100="","",日別集計!G100)</f>
        <v>0</v>
      </c>
      <c r="H100" s="50">
        <f>IF(日別集計!H100="","",日別集計!H100)</f>
        <v>2</v>
      </c>
      <c r="I100" s="50">
        <f>IF(日別集計!I100="","",日別集計!I100)</f>
        <v>0</v>
      </c>
      <c r="J100" s="50">
        <f>IF(日別集計!J100="","",日別集計!J100)</f>
        <v>0</v>
      </c>
      <c r="K100" s="50">
        <f>IF(日別集計!K100="","",日別集計!K100)</f>
        <v>0</v>
      </c>
      <c r="L100" s="50">
        <f>IF(日別集計!L100="","",日別集計!L100)</f>
        <v>0</v>
      </c>
      <c r="M100" s="50">
        <f>IF(日別集計!M100="","",日別集計!M100)</f>
        <v>0</v>
      </c>
      <c r="N100" s="50">
        <f>IF(日別集計!N100="","",日別集計!N100)</f>
        <v>0</v>
      </c>
      <c r="O100" s="50">
        <f>IF(日別集計!O100="","",日別集計!O100)</f>
        <v>2</v>
      </c>
      <c r="P100" s="50">
        <f>IF(日別集計!P100="","",日別集計!P100)</f>
        <v>0</v>
      </c>
      <c r="Q100" s="50">
        <f>IF(日別集計!Q100="","",日別集計!Q100)</f>
        <v>2</v>
      </c>
    </row>
    <row r="101" spans="1:17" ht="16.5" x14ac:dyDescent="0.3">
      <c r="A101" s="51">
        <f>IF(日別集計!A101="","",日別集計!A101)</f>
        <v>46228</v>
      </c>
      <c r="B101" s="52" t="str">
        <f>IF(日別集計!B101="","",日別集計!B101)</f>
        <v>土</v>
      </c>
      <c r="C101" s="53">
        <f>IF(日別集計!C101="","",日別集計!C101)</f>
        <v>0</v>
      </c>
      <c r="D101" s="53">
        <f>IF(日別集計!D101="","",日別集計!D101)</f>
        <v>0</v>
      </c>
      <c r="E101" s="53">
        <f>IF(日別集計!E101="","",日別集計!E101)</f>
        <v>0</v>
      </c>
      <c r="F101" s="53">
        <f>IF(日別集計!F101="","",日別集計!F101)</f>
        <v>0</v>
      </c>
      <c r="G101" s="53">
        <f>IF(日別集計!G101="","",日別集計!G101)</f>
        <v>0</v>
      </c>
      <c r="H101" s="53">
        <f>IF(日別集計!H101="","",日別集計!H101)</f>
        <v>2</v>
      </c>
      <c r="I101" s="53">
        <f>IF(日別集計!I101="","",日別集計!I101)</f>
        <v>0</v>
      </c>
      <c r="J101" s="53">
        <f>IF(日別集計!J101="","",日別集計!J101)</f>
        <v>0</v>
      </c>
      <c r="K101" s="53">
        <f>IF(日別集計!K101="","",日別集計!K101)</f>
        <v>0</v>
      </c>
      <c r="L101" s="53">
        <f>IF(日別集計!L101="","",日別集計!L101)</f>
        <v>0</v>
      </c>
      <c r="M101" s="53">
        <f>IF(日別集計!M101="","",日別集計!M101)</f>
        <v>0</v>
      </c>
      <c r="N101" s="53">
        <f>IF(日別集計!N101="","",日別集計!N101)</f>
        <v>0</v>
      </c>
      <c r="O101" s="53">
        <f>IF(日別集計!O101="","",日別集計!O101)</f>
        <v>2</v>
      </c>
      <c r="P101" s="53">
        <f>IF(日別集計!P101="","",日別集計!P101)</f>
        <v>0</v>
      </c>
      <c r="Q101" s="53">
        <f>IF(日別集計!Q101="","",日別集計!Q101)</f>
        <v>2</v>
      </c>
    </row>
    <row r="102" spans="1:17" ht="16.5" x14ac:dyDescent="0.3">
      <c r="A102" s="51">
        <f>IF(日別集計!A102="","",日別集計!A102)</f>
        <v>46229</v>
      </c>
      <c r="B102" s="52" t="str">
        <f>IF(日別集計!B102="","",日別集計!B102)</f>
        <v>日</v>
      </c>
      <c r="C102" s="53">
        <f>IF(日別集計!C102="","",日別集計!C102)</f>
        <v>0</v>
      </c>
      <c r="D102" s="53">
        <f>IF(日別集計!D102="","",日別集計!D102)</f>
        <v>0</v>
      </c>
      <c r="E102" s="53">
        <f>IF(日別集計!E102="","",日別集計!E102)</f>
        <v>0</v>
      </c>
      <c r="F102" s="53">
        <f>IF(日別集計!F102="","",日別集計!F102)</f>
        <v>0</v>
      </c>
      <c r="G102" s="53">
        <f>IF(日別集計!G102="","",日別集計!G102)</f>
        <v>0</v>
      </c>
      <c r="H102" s="53">
        <f>IF(日別集計!H102="","",日別集計!H102)</f>
        <v>0</v>
      </c>
      <c r="I102" s="53">
        <f>IF(日別集計!I102="","",日別集計!I102)</f>
        <v>0</v>
      </c>
      <c r="J102" s="53">
        <f>IF(日別集計!J102="","",日別集計!J102)</f>
        <v>0</v>
      </c>
      <c r="K102" s="53">
        <f>IF(日別集計!K102="","",日別集計!K102)</f>
        <v>0</v>
      </c>
      <c r="L102" s="53">
        <f>IF(日別集計!L102="","",日別集計!L102)</f>
        <v>0</v>
      </c>
      <c r="M102" s="53">
        <f>IF(日別集計!M102="","",日別集計!M102)</f>
        <v>0</v>
      </c>
      <c r="N102" s="53">
        <f>IF(日別集計!N102="","",日別集計!N102)</f>
        <v>0</v>
      </c>
      <c r="O102" s="53">
        <f>IF(日別集計!O102="","",日別集計!O102)</f>
        <v>0</v>
      </c>
      <c r="P102" s="53">
        <f>IF(日別集計!P102="","",日別集計!P102)</f>
        <v>0</v>
      </c>
      <c r="Q102" s="53">
        <f>IF(日別集計!Q102="","",日別集計!Q102)</f>
        <v>0</v>
      </c>
    </row>
    <row r="103" spans="1:17" ht="16.5" x14ac:dyDescent="0.3">
      <c r="A103" s="48">
        <f>IF(日別集計!A103="","",日別集計!A103)</f>
        <v>46230</v>
      </c>
      <c r="B103" s="49" t="str">
        <f>IF(日別集計!B103="","",日別集計!B103)</f>
        <v>月</v>
      </c>
      <c r="C103" s="50">
        <f>IF(日別集計!C103="","",日別集計!C103)</f>
        <v>0</v>
      </c>
      <c r="D103" s="50">
        <f>IF(日別集計!D103="","",日別集計!D103)</f>
        <v>0</v>
      </c>
      <c r="E103" s="50">
        <f>IF(日別集計!E103="","",日別集計!E103)</f>
        <v>0</v>
      </c>
      <c r="F103" s="50">
        <f>IF(日別集計!F103="","",日別集計!F103)</f>
        <v>0</v>
      </c>
      <c r="G103" s="50">
        <f>IF(日別集計!G103="","",日別集計!G103)</f>
        <v>0</v>
      </c>
      <c r="H103" s="50">
        <f>IF(日別集計!H103="","",日別集計!H103)</f>
        <v>0</v>
      </c>
      <c r="I103" s="50">
        <f>IF(日別集計!I103="","",日別集計!I103)</f>
        <v>2</v>
      </c>
      <c r="J103" s="50">
        <f>IF(日別集計!J103="","",日別集計!J103)</f>
        <v>0</v>
      </c>
      <c r="K103" s="50">
        <f>IF(日別集計!K103="","",日別集計!K103)</f>
        <v>0</v>
      </c>
      <c r="L103" s="50">
        <f>IF(日別集計!L103="","",日別集計!L103)</f>
        <v>0</v>
      </c>
      <c r="M103" s="50">
        <f>IF(日別集計!M103="","",日別集計!M103)</f>
        <v>0</v>
      </c>
      <c r="N103" s="50">
        <f>IF(日別集計!N103="","",日別集計!N103)</f>
        <v>2</v>
      </c>
      <c r="O103" s="50">
        <f>IF(日別集計!O103="","",日別集計!O103)</f>
        <v>2</v>
      </c>
      <c r="P103" s="50">
        <f>IF(日別集計!P103="","",日別集計!P103)</f>
        <v>2</v>
      </c>
      <c r="Q103" s="50">
        <f>IF(日別集計!Q103="","",日別集計!Q103)</f>
        <v>4</v>
      </c>
    </row>
    <row r="104" spans="1:17" ht="16.5" x14ac:dyDescent="0.3">
      <c r="A104" s="48">
        <f>IF(日別集計!A104="","",日別集計!A104)</f>
        <v>46231</v>
      </c>
      <c r="B104" s="49" t="str">
        <f>IF(日別集計!B104="","",日別集計!B104)</f>
        <v>火</v>
      </c>
      <c r="C104" s="50">
        <f>IF(日別集計!C104="","",日別集計!C104)</f>
        <v>0</v>
      </c>
      <c r="D104" s="50">
        <f>IF(日別集計!D104="","",日別集計!D104)</f>
        <v>0</v>
      </c>
      <c r="E104" s="50">
        <f>IF(日別集計!E104="","",日別集計!E104)</f>
        <v>0</v>
      </c>
      <c r="F104" s="50">
        <f>IF(日別集計!F104="","",日別集計!F104)</f>
        <v>0</v>
      </c>
      <c r="G104" s="50">
        <f>IF(日別集計!G104="","",日別集計!G104)</f>
        <v>0</v>
      </c>
      <c r="H104" s="50">
        <f>IF(日別集計!H104="","",日別集計!H104)</f>
        <v>0</v>
      </c>
      <c r="I104" s="50">
        <f>IF(日別集計!I104="","",日別集計!I104)</f>
        <v>0</v>
      </c>
      <c r="J104" s="50">
        <f>IF(日別集計!J104="","",日別集計!J104)</f>
        <v>0</v>
      </c>
      <c r="K104" s="50">
        <f>IF(日別集計!K104="","",日別集計!K104)</f>
        <v>0</v>
      </c>
      <c r="L104" s="50">
        <f>IF(日別集計!L104="","",日別集計!L104)</f>
        <v>0</v>
      </c>
      <c r="M104" s="50">
        <f>IF(日別集計!M104="","",日別集計!M104)</f>
        <v>0</v>
      </c>
      <c r="N104" s="50">
        <f>IF(日別集計!N104="","",日別集計!N104)</f>
        <v>0</v>
      </c>
      <c r="O104" s="50">
        <f>IF(日別集計!O104="","",日別集計!O104)</f>
        <v>0</v>
      </c>
      <c r="P104" s="50">
        <f>IF(日別集計!P104="","",日別集計!P104)</f>
        <v>0</v>
      </c>
      <c r="Q104" s="50">
        <f>IF(日別集計!Q104="","",日別集計!Q104)</f>
        <v>0</v>
      </c>
    </row>
    <row r="105" spans="1:17" ht="16.5" x14ac:dyDescent="0.3">
      <c r="A105" s="48">
        <f>IF(日別集計!A105="","",日別集計!A105)</f>
        <v>46232</v>
      </c>
      <c r="B105" s="49" t="str">
        <f>IF(日別集計!B105="","",日別集計!B105)</f>
        <v>水</v>
      </c>
      <c r="C105" s="50">
        <f>IF(日別集計!C105="","",日別集計!C105)</f>
        <v>0</v>
      </c>
      <c r="D105" s="50">
        <f>IF(日別集計!D105="","",日別集計!D105)</f>
        <v>0</v>
      </c>
      <c r="E105" s="50">
        <f>IF(日別集計!E105="","",日別集計!E105)</f>
        <v>0</v>
      </c>
      <c r="F105" s="50">
        <f>IF(日別集計!F105="","",日別集計!F105)</f>
        <v>0</v>
      </c>
      <c r="G105" s="50">
        <f>IF(日別集計!G105="","",日別集計!G105)</f>
        <v>0</v>
      </c>
      <c r="H105" s="50">
        <f>IF(日別集計!H105="","",日別集計!H105)</f>
        <v>2</v>
      </c>
      <c r="I105" s="50">
        <f>IF(日別集計!I105="","",日別集計!I105)</f>
        <v>3</v>
      </c>
      <c r="J105" s="50">
        <f>IF(日別集計!J105="","",日別集計!J105)</f>
        <v>0</v>
      </c>
      <c r="K105" s="50">
        <f>IF(日別集計!K105="","",日別集計!K105)</f>
        <v>3</v>
      </c>
      <c r="L105" s="50">
        <f>IF(日別集計!L105="","",日別集計!L105)</f>
        <v>0</v>
      </c>
      <c r="M105" s="50">
        <f>IF(日別集計!M105="","",日別集計!M105)</f>
        <v>0</v>
      </c>
      <c r="N105" s="50">
        <f>IF(日別集計!N105="","",日別集計!N105)</f>
        <v>0</v>
      </c>
      <c r="O105" s="50">
        <f>IF(日別集計!O105="","",日別集計!O105)</f>
        <v>2</v>
      </c>
      <c r="P105" s="50">
        <f>IF(日別集計!P105="","",日別集計!P105)</f>
        <v>6</v>
      </c>
      <c r="Q105" s="50">
        <f>IF(日別集計!Q105="","",日別集計!Q105)</f>
        <v>8</v>
      </c>
    </row>
    <row r="106" spans="1:17" ht="16.5" x14ac:dyDescent="0.3">
      <c r="A106" s="48">
        <f>IF(日別集計!A106="","",日別集計!A106)</f>
        <v>46233</v>
      </c>
      <c r="B106" s="49" t="str">
        <f>IF(日別集計!B106="","",日別集計!B106)</f>
        <v>木</v>
      </c>
      <c r="C106" s="50">
        <f>IF(日別集計!C106="","",日別集計!C106)</f>
        <v>0</v>
      </c>
      <c r="D106" s="50">
        <f>IF(日別集計!D106="","",日別集計!D106)</f>
        <v>0</v>
      </c>
      <c r="E106" s="50">
        <f>IF(日別集計!E106="","",日別集計!E106)</f>
        <v>0</v>
      </c>
      <c r="F106" s="50">
        <f>IF(日別集計!F106="","",日別集計!F106)</f>
        <v>0</v>
      </c>
      <c r="G106" s="50">
        <f>IF(日別集計!G106="","",日別集計!G106)</f>
        <v>0</v>
      </c>
      <c r="H106" s="50">
        <f>IF(日別集計!H106="","",日別集計!H106)</f>
        <v>2</v>
      </c>
      <c r="I106" s="50">
        <f>IF(日別集計!I106="","",日別集計!I106)</f>
        <v>3</v>
      </c>
      <c r="J106" s="50">
        <f>IF(日別集計!J106="","",日別集計!J106)</f>
        <v>0</v>
      </c>
      <c r="K106" s="50">
        <f>IF(日別集計!K106="","",日別集計!K106)</f>
        <v>3</v>
      </c>
      <c r="L106" s="50">
        <f>IF(日別集計!L106="","",日別集計!L106)</f>
        <v>0</v>
      </c>
      <c r="M106" s="50">
        <f>IF(日別集計!M106="","",日別集計!M106)</f>
        <v>0</v>
      </c>
      <c r="N106" s="50">
        <f>IF(日別集計!N106="","",日別集計!N106)</f>
        <v>0</v>
      </c>
      <c r="O106" s="50">
        <f>IF(日別集計!O106="","",日別集計!O106)</f>
        <v>2</v>
      </c>
      <c r="P106" s="50">
        <f>IF(日別集計!P106="","",日別集計!P106)</f>
        <v>6</v>
      </c>
      <c r="Q106" s="50">
        <f>IF(日別集計!Q106="","",日別集計!Q106)</f>
        <v>8</v>
      </c>
    </row>
    <row r="107" spans="1:17" ht="16.5" x14ac:dyDescent="0.3">
      <c r="A107" s="48">
        <f>IF(日別集計!A107="","",日別集計!A107)</f>
        <v>46234</v>
      </c>
      <c r="B107" s="49" t="str">
        <f>IF(日別集計!B107="","",日別集計!B107)</f>
        <v>金</v>
      </c>
      <c r="C107" s="50">
        <f>IF(日別集計!C107="","",日別集計!C107)</f>
        <v>0</v>
      </c>
      <c r="D107" s="50">
        <f>IF(日別集計!D107="","",日別集計!D107)</f>
        <v>0</v>
      </c>
      <c r="E107" s="50">
        <f>IF(日別集計!E107="","",日別集計!E107)</f>
        <v>0</v>
      </c>
      <c r="F107" s="50">
        <f>IF(日別集計!F107="","",日別集計!F107)</f>
        <v>0</v>
      </c>
      <c r="G107" s="50">
        <f>IF(日別集計!G107="","",日別集計!G107)</f>
        <v>0</v>
      </c>
      <c r="H107" s="50">
        <f>IF(日別集計!H107="","",日別集計!H107)</f>
        <v>4</v>
      </c>
      <c r="I107" s="50">
        <f>IF(日別集計!I107="","",日別集計!I107)</f>
        <v>3</v>
      </c>
      <c r="J107" s="50">
        <f>IF(日別集計!J107="","",日別集計!J107)</f>
        <v>0</v>
      </c>
      <c r="K107" s="50">
        <f>IF(日別集計!K107="","",日別集計!K107)</f>
        <v>2</v>
      </c>
      <c r="L107" s="50">
        <f>IF(日別集計!L107="","",日別集計!L107)</f>
        <v>0</v>
      </c>
      <c r="M107" s="50">
        <f>IF(日別集計!M107="","",日別集計!M107)</f>
        <v>0</v>
      </c>
      <c r="N107" s="50">
        <f>IF(日別集計!N107="","",日別集計!N107)</f>
        <v>0</v>
      </c>
      <c r="O107" s="50">
        <f>IF(日別集計!O107="","",日別集計!O107)</f>
        <v>4</v>
      </c>
      <c r="P107" s="50">
        <f>IF(日別集計!P107="","",日別集計!P107)</f>
        <v>5</v>
      </c>
      <c r="Q107" s="50">
        <f>IF(日別集計!Q107="","",日別集計!Q107)</f>
        <v>9</v>
      </c>
    </row>
    <row r="108" spans="1:17" ht="16.5" x14ac:dyDescent="0.3">
      <c r="A108" s="51">
        <f>IF(日別集計!A108="","",日別集計!A108)</f>
        <v>46235</v>
      </c>
      <c r="B108" s="52" t="str">
        <f>IF(日別集計!B108="","",日別集計!B108)</f>
        <v>土</v>
      </c>
      <c r="C108" s="53">
        <f>IF(日別集計!C108="","",日別集計!C108)</f>
        <v>0</v>
      </c>
      <c r="D108" s="53">
        <f>IF(日別集計!D108="","",日別集計!D108)</f>
        <v>0</v>
      </c>
      <c r="E108" s="53">
        <f>IF(日別集計!E108="","",日別集計!E108)</f>
        <v>0</v>
      </c>
      <c r="F108" s="53">
        <f>IF(日別集計!F108="","",日別集計!F108)</f>
        <v>0</v>
      </c>
      <c r="G108" s="53">
        <f>IF(日別集計!G108="","",日別集計!G108)</f>
        <v>0</v>
      </c>
      <c r="H108" s="53">
        <f>IF(日別集計!H108="","",日別集計!H108)</f>
        <v>4</v>
      </c>
      <c r="I108" s="53">
        <f>IF(日別集計!I108="","",日別集計!I108)</f>
        <v>0</v>
      </c>
      <c r="J108" s="53">
        <f>IF(日別集計!J108="","",日別集計!J108)</f>
        <v>0</v>
      </c>
      <c r="K108" s="53">
        <f>IF(日別集計!K108="","",日別集計!K108)</f>
        <v>3</v>
      </c>
      <c r="L108" s="53">
        <f>IF(日別集計!L108="","",日別集計!L108)</f>
        <v>0</v>
      </c>
      <c r="M108" s="53">
        <f>IF(日別集計!M108="","",日別集計!M108)</f>
        <v>0</v>
      </c>
      <c r="N108" s="53">
        <f>IF(日別集計!N108="","",日別集計!N108)</f>
        <v>0</v>
      </c>
      <c r="O108" s="53">
        <f>IF(日別集計!O108="","",日別集計!O108)</f>
        <v>4</v>
      </c>
      <c r="P108" s="53">
        <f>IF(日別集計!P108="","",日別集計!P108)</f>
        <v>3</v>
      </c>
      <c r="Q108" s="53">
        <f>IF(日別集計!Q108="","",日別集計!Q108)</f>
        <v>7</v>
      </c>
    </row>
    <row r="109" spans="1:17" ht="16.5" x14ac:dyDescent="0.3">
      <c r="A109" s="51">
        <f>IF(日別集計!A109="","",日別集計!A109)</f>
        <v>46236</v>
      </c>
      <c r="B109" s="52" t="str">
        <f>IF(日別集計!B109="","",日別集計!B109)</f>
        <v>日</v>
      </c>
      <c r="C109" s="53">
        <f>IF(日別集計!C109="","",日別集計!C109)</f>
        <v>0</v>
      </c>
      <c r="D109" s="53">
        <f>IF(日別集計!D109="","",日別集計!D109)</f>
        <v>0</v>
      </c>
      <c r="E109" s="53">
        <f>IF(日別集計!E109="","",日別集計!E109)</f>
        <v>0</v>
      </c>
      <c r="F109" s="53">
        <f>IF(日別集計!F109="","",日別集計!F109)</f>
        <v>0</v>
      </c>
      <c r="G109" s="53">
        <f>IF(日別集計!G109="","",日別集計!G109)</f>
        <v>0</v>
      </c>
      <c r="H109" s="53">
        <f>IF(日別集計!H109="","",日別集計!H109)</f>
        <v>1</v>
      </c>
      <c r="I109" s="53">
        <f>IF(日別集計!I109="","",日別集計!I109)</f>
        <v>0</v>
      </c>
      <c r="J109" s="53">
        <f>IF(日別集計!J109="","",日別集計!J109)</f>
        <v>0</v>
      </c>
      <c r="K109" s="53">
        <f>IF(日別集計!K109="","",日別集計!K109)</f>
        <v>0</v>
      </c>
      <c r="L109" s="53">
        <f>IF(日別集計!L109="","",日別集計!L109)</f>
        <v>0</v>
      </c>
      <c r="M109" s="53">
        <f>IF(日別集計!M109="","",日別集計!M109)</f>
        <v>0</v>
      </c>
      <c r="N109" s="53">
        <f>IF(日別集計!N109="","",日別集計!N109)</f>
        <v>0</v>
      </c>
      <c r="O109" s="53">
        <f>IF(日別集計!O109="","",日別集計!O109)</f>
        <v>1</v>
      </c>
      <c r="P109" s="53">
        <f>IF(日別集計!P109="","",日別集計!P109)</f>
        <v>0</v>
      </c>
      <c r="Q109" s="53">
        <f>IF(日別集計!Q109="","",日別集計!Q109)</f>
        <v>1</v>
      </c>
    </row>
    <row r="110" spans="1:17" ht="16.5" x14ac:dyDescent="0.3">
      <c r="A110" s="48">
        <f>IF(日別集計!A110="","",日別集計!A110)</f>
        <v>46237</v>
      </c>
      <c r="B110" s="49" t="str">
        <f>IF(日別集計!B110="","",日別集計!B110)</f>
        <v>月</v>
      </c>
      <c r="C110" s="50">
        <f>IF(日別集計!C110="","",日別集計!C110)</f>
        <v>0</v>
      </c>
      <c r="D110" s="50">
        <f>IF(日別集計!D110="","",日別集計!D110)</f>
        <v>0</v>
      </c>
      <c r="E110" s="50">
        <f>IF(日別集計!E110="","",日別集計!E110)</f>
        <v>0</v>
      </c>
      <c r="F110" s="50">
        <f>IF(日別集計!F110="","",日別集計!F110)</f>
        <v>0</v>
      </c>
      <c r="G110" s="50">
        <f>IF(日別集計!G110="","",日別集計!G110)</f>
        <v>0</v>
      </c>
      <c r="H110" s="50">
        <f>IF(日別集計!H110="","",日別集計!H110)</f>
        <v>4</v>
      </c>
      <c r="I110" s="50">
        <f>IF(日別集計!I110="","",日別集計!I110)</f>
        <v>2</v>
      </c>
      <c r="J110" s="50">
        <f>IF(日別集計!J110="","",日別集計!J110)</f>
        <v>0</v>
      </c>
      <c r="K110" s="50">
        <f>IF(日別集計!K110="","",日別集計!K110)</f>
        <v>2</v>
      </c>
      <c r="L110" s="50">
        <f>IF(日別集計!L110="","",日別集計!L110)</f>
        <v>0</v>
      </c>
      <c r="M110" s="50">
        <f>IF(日別集計!M110="","",日別集計!M110)</f>
        <v>0</v>
      </c>
      <c r="N110" s="50">
        <f>IF(日別集計!N110="","",日別集計!N110)</f>
        <v>0</v>
      </c>
      <c r="O110" s="50">
        <f>IF(日別集計!O110="","",日別集計!O110)</f>
        <v>4</v>
      </c>
      <c r="P110" s="50">
        <f>IF(日別集計!P110="","",日別集計!P110)</f>
        <v>4</v>
      </c>
      <c r="Q110" s="50">
        <f>IF(日別集計!Q110="","",日別集計!Q110)</f>
        <v>8</v>
      </c>
    </row>
    <row r="111" spans="1:17" ht="16.5" x14ac:dyDescent="0.3">
      <c r="A111" s="48">
        <f>IF(日別集計!A111="","",日別集計!A111)</f>
        <v>46238</v>
      </c>
      <c r="B111" s="49" t="str">
        <f>IF(日別集計!B111="","",日別集計!B111)</f>
        <v>火</v>
      </c>
      <c r="C111" s="50">
        <f>IF(日別集計!C111="","",日別集計!C111)</f>
        <v>0</v>
      </c>
      <c r="D111" s="50">
        <f>IF(日別集計!D111="","",日別集計!D111)</f>
        <v>0</v>
      </c>
      <c r="E111" s="50">
        <f>IF(日別集計!E111="","",日別集計!E111)</f>
        <v>0</v>
      </c>
      <c r="F111" s="50">
        <f>IF(日別集計!F111="","",日別集計!F111)</f>
        <v>0</v>
      </c>
      <c r="G111" s="50">
        <f>IF(日別集計!G111="","",日別集計!G111)</f>
        <v>0</v>
      </c>
      <c r="H111" s="50">
        <f>IF(日別集計!H111="","",日別集計!H111)</f>
        <v>4</v>
      </c>
      <c r="I111" s="50">
        <f>IF(日別集計!I111="","",日別集計!I111)</f>
        <v>1</v>
      </c>
      <c r="J111" s="50">
        <f>IF(日別集計!J111="","",日別集計!J111)</f>
        <v>0</v>
      </c>
      <c r="K111" s="50">
        <f>IF(日別集計!K111="","",日別集計!K111)</f>
        <v>0</v>
      </c>
      <c r="L111" s="50">
        <f>IF(日別集計!L111="","",日別集計!L111)</f>
        <v>2</v>
      </c>
      <c r="M111" s="50">
        <f>IF(日別集計!M111="","",日別集計!M111)</f>
        <v>0</v>
      </c>
      <c r="N111" s="50">
        <f>IF(日別集計!N111="","",日別集計!N111)</f>
        <v>0</v>
      </c>
      <c r="O111" s="50">
        <f>IF(日別集計!O111="","",日別集計!O111)</f>
        <v>4</v>
      </c>
      <c r="P111" s="50">
        <f>IF(日別集計!P111="","",日別集計!P111)</f>
        <v>3</v>
      </c>
      <c r="Q111" s="50">
        <f>IF(日別集計!Q111="","",日別集計!Q111)</f>
        <v>7</v>
      </c>
    </row>
    <row r="112" spans="1:17" ht="16.5" x14ac:dyDescent="0.3">
      <c r="A112" s="48">
        <f>IF(日別集計!A112="","",日別集計!A112)</f>
        <v>46239</v>
      </c>
      <c r="B112" s="49" t="str">
        <f>IF(日別集計!B112="","",日別集計!B112)</f>
        <v>水</v>
      </c>
      <c r="C112" s="50">
        <f>IF(日別集計!C112="","",日別集計!C112)</f>
        <v>0</v>
      </c>
      <c r="D112" s="50">
        <f>IF(日別集計!D112="","",日別集計!D112)</f>
        <v>0</v>
      </c>
      <c r="E112" s="50">
        <f>IF(日別集計!E112="","",日別集計!E112)</f>
        <v>0</v>
      </c>
      <c r="F112" s="50">
        <f>IF(日別集計!F112="","",日別集計!F112)</f>
        <v>0</v>
      </c>
      <c r="G112" s="50">
        <f>IF(日別集計!G112="","",日別集計!G112)</f>
        <v>0</v>
      </c>
      <c r="H112" s="50">
        <f>IF(日別集計!H112="","",日別集計!H112)</f>
        <v>4</v>
      </c>
      <c r="I112" s="50">
        <f>IF(日別集計!I112="","",日別集計!I112)</f>
        <v>1</v>
      </c>
      <c r="J112" s="50">
        <f>IF(日別集計!J112="","",日別集計!J112)</f>
        <v>0</v>
      </c>
      <c r="K112" s="50">
        <f>IF(日別集計!K112="","",日別集計!K112)</f>
        <v>0</v>
      </c>
      <c r="L112" s="50">
        <f>IF(日別集計!L112="","",日別集計!L112)</f>
        <v>0</v>
      </c>
      <c r="M112" s="50">
        <f>IF(日別集計!M112="","",日別集計!M112)</f>
        <v>0</v>
      </c>
      <c r="N112" s="50">
        <f>IF(日別集計!N112="","",日別集計!N112)</f>
        <v>0</v>
      </c>
      <c r="O112" s="50">
        <f>IF(日別集計!O112="","",日別集計!O112)</f>
        <v>4</v>
      </c>
      <c r="P112" s="50">
        <f>IF(日別集計!P112="","",日別集計!P112)</f>
        <v>1</v>
      </c>
      <c r="Q112" s="50">
        <f>IF(日別集計!Q112="","",日別集計!Q112)</f>
        <v>5</v>
      </c>
    </row>
    <row r="113" spans="1:17" ht="16.5" x14ac:dyDescent="0.3">
      <c r="A113" s="48">
        <f>IF(日別集計!A113="","",日別集計!A113)</f>
        <v>46240</v>
      </c>
      <c r="B113" s="49" t="str">
        <f>IF(日別集計!B113="","",日別集計!B113)</f>
        <v>木</v>
      </c>
      <c r="C113" s="50">
        <f>IF(日別集計!C113="","",日別集計!C113)</f>
        <v>0</v>
      </c>
      <c r="D113" s="50">
        <f>IF(日別集計!D113="","",日別集計!D113)</f>
        <v>0</v>
      </c>
      <c r="E113" s="50">
        <f>IF(日別集計!E113="","",日別集計!E113)</f>
        <v>0</v>
      </c>
      <c r="F113" s="50">
        <f>IF(日別集計!F113="","",日別集計!F113)</f>
        <v>0</v>
      </c>
      <c r="G113" s="50">
        <f>IF(日別集計!G113="","",日別集計!G113)</f>
        <v>0</v>
      </c>
      <c r="H113" s="50">
        <f>IF(日別集計!H113="","",日別集計!H113)</f>
        <v>3</v>
      </c>
      <c r="I113" s="50">
        <f>IF(日別集計!I113="","",日別集計!I113)</f>
        <v>0</v>
      </c>
      <c r="J113" s="50">
        <f>IF(日別集計!J113="","",日別集計!J113)</f>
        <v>0</v>
      </c>
      <c r="K113" s="50">
        <f>IF(日別集計!K113="","",日別集計!K113)</f>
        <v>0</v>
      </c>
      <c r="L113" s="50">
        <f>IF(日別集計!L113="","",日別集計!L113)</f>
        <v>0</v>
      </c>
      <c r="M113" s="50">
        <f>IF(日別集計!M113="","",日別集計!M113)</f>
        <v>0</v>
      </c>
      <c r="N113" s="50">
        <f>IF(日別集計!N113="","",日別集計!N113)</f>
        <v>0</v>
      </c>
      <c r="O113" s="50">
        <f>IF(日別集計!O113="","",日別集計!O113)</f>
        <v>3</v>
      </c>
      <c r="P113" s="50">
        <f>IF(日別集計!P113="","",日別集計!P113)</f>
        <v>0</v>
      </c>
      <c r="Q113" s="50">
        <f>IF(日別集計!Q113="","",日別集計!Q113)</f>
        <v>3</v>
      </c>
    </row>
    <row r="114" spans="1:17" ht="16.5" x14ac:dyDescent="0.3">
      <c r="A114" s="48">
        <f>IF(日別集計!A114="","",日別集計!A114)</f>
        <v>46241</v>
      </c>
      <c r="B114" s="49" t="str">
        <f>IF(日別集計!B114="","",日別集計!B114)</f>
        <v>金</v>
      </c>
      <c r="C114" s="50">
        <f>IF(日別集計!C114="","",日別集計!C114)</f>
        <v>0</v>
      </c>
      <c r="D114" s="50">
        <f>IF(日別集計!D114="","",日別集計!D114)</f>
        <v>0</v>
      </c>
      <c r="E114" s="50">
        <f>IF(日別集計!E114="","",日別集計!E114)</f>
        <v>0</v>
      </c>
      <c r="F114" s="50">
        <f>IF(日別集計!F114="","",日別集計!F114)</f>
        <v>0</v>
      </c>
      <c r="G114" s="50">
        <f>IF(日別集計!G114="","",日別集計!G114)</f>
        <v>0</v>
      </c>
      <c r="H114" s="50">
        <f>IF(日別集計!H114="","",日別集計!H114)</f>
        <v>0</v>
      </c>
      <c r="I114" s="50">
        <f>IF(日別集計!I114="","",日別集計!I114)</f>
        <v>0</v>
      </c>
      <c r="J114" s="50">
        <f>IF(日別集計!J114="","",日別集計!J114)</f>
        <v>0</v>
      </c>
      <c r="K114" s="50">
        <f>IF(日別集計!K114="","",日別集計!K114)</f>
        <v>0</v>
      </c>
      <c r="L114" s="50">
        <f>IF(日別集計!L114="","",日別集計!L114)</f>
        <v>0</v>
      </c>
      <c r="M114" s="50">
        <f>IF(日別集計!M114="","",日別集計!M114)</f>
        <v>0</v>
      </c>
      <c r="N114" s="50">
        <f>IF(日別集計!N114="","",日別集計!N114)</f>
        <v>0</v>
      </c>
      <c r="O114" s="50">
        <f>IF(日別集計!O114="","",日別集計!O114)</f>
        <v>0</v>
      </c>
      <c r="P114" s="50">
        <f>IF(日別集計!P114="","",日別集計!P114)</f>
        <v>0</v>
      </c>
      <c r="Q114" s="50">
        <f>IF(日別集計!Q114="","",日別集計!Q114)</f>
        <v>0</v>
      </c>
    </row>
    <row r="115" spans="1:17" ht="16.5" x14ac:dyDescent="0.3">
      <c r="A115" s="51">
        <f>IF(日別集計!A115="","",日別集計!A115)</f>
        <v>46242</v>
      </c>
      <c r="B115" s="52" t="str">
        <f>IF(日別集計!B115="","",日別集計!B115)</f>
        <v>土</v>
      </c>
      <c r="C115" s="53">
        <f>IF(日別集計!C115="","",日別集計!C115)</f>
        <v>0</v>
      </c>
      <c r="D115" s="53">
        <f>IF(日別集計!D115="","",日別集計!D115)</f>
        <v>0</v>
      </c>
      <c r="E115" s="53">
        <f>IF(日別集計!E115="","",日別集計!E115)</f>
        <v>0</v>
      </c>
      <c r="F115" s="53">
        <f>IF(日別集計!F115="","",日別集計!F115)</f>
        <v>0</v>
      </c>
      <c r="G115" s="53">
        <f>IF(日別集計!G115="","",日別集計!G115)</f>
        <v>0</v>
      </c>
      <c r="H115" s="53">
        <f>IF(日別集計!H115="","",日別集計!H115)</f>
        <v>1</v>
      </c>
      <c r="I115" s="53">
        <f>IF(日別集計!I115="","",日別集計!I115)</f>
        <v>0</v>
      </c>
      <c r="J115" s="53">
        <f>IF(日別集計!J115="","",日別集計!J115)</f>
        <v>0</v>
      </c>
      <c r="K115" s="53">
        <f>IF(日別集計!K115="","",日別集計!K115)</f>
        <v>0</v>
      </c>
      <c r="L115" s="53">
        <f>IF(日別集計!L115="","",日別集計!L115)</f>
        <v>0</v>
      </c>
      <c r="M115" s="53">
        <f>IF(日別集計!M115="","",日別集計!M115)</f>
        <v>0</v>
      </c>
      <c r="N115" s="53">
        <f>IF(日別集計!N115="","",日別集計!N115)</f>
        <v>0</v>
      </c>
      <c r="O115" s="53">
        <f>IF(日別集計!O115="","",日別集計!O115)</f>
        <v>1</v>
      </c>
      <c r="P115" s="53">
        <f>IF(日別集計!P115="","",日別集計!P115)</f>
        <v>0</v>
      </c>
      <c r="Q115" s="53">
        <f>IF(日別集計!Q115="","",日別集計!Q115)</f>
        <v>1</v>
      </c>
    </row>
    <row r="116" spans="1:17" ht="16.5" x14ac:dyDescent="0.3">
      <c r="A116" s="51">
        <f>IF(日別集計!A116="","",日別集計!A116)</f>
        <v>46243</v>
      </c>
      <c r="B116" s="52" t="str">
        <f>IF(日別集計!B116="","",日別集計!B116)</f>
        <v>日</v>
      </c>
      <c r="C116" s="53">
        <f>IF(日別集計!C116="","",日別集計!C116)</f>
        <v>0</v>
      </c>
      <c r="D116" s="53">
        <f>IF(日別集計!D116="","",日別集計!D116)</f>
        <v>0</v>
      </c>
      <c r="E116" s="53">
        <f>IF(日別集計!E116="","",日別集計!E116)</f>
        <v>0</v>
      </c>
      <c r="F116" s="53">
        <f>IF(日別集計!F116="","",日別集計!F116)</f>
        <v>0</v>
      </c>
      <c r="G116" s="53">
        <f>IF(日別集計!G116="","",日別集計!G116)</f>
        <v>0</v>
      </c>
      <c r="H116" s="53">
        <f>IF(日別集計!H116="","",日別集計!H116)</f>
        <v>4</v>
      </c>
      <c r="I116" s="53">
        <f>IF(日別集計!I116="","",日別集計!I116)</f>
        <v>0</v>
      </c>
      <c r="J116" s="53">
        <f>IF(日別集計!J116="","",日別集計!J116)</f>
        <v>0</v>
      </c>
      <c r="K116" s="53">
        <f>IF(日別集計!K116="","",日別集計!K116)</f>
        <v>0</v>
      </c>
      <c r="L116" s="53">
        <f>IF(日別集計!L116="","",日別集計!L116)</f>
        <v>0</v>
      </c>
      <c r="M116" s="53">
        <f>IF(日別集計!M116="","",日別集計!M116)</f>
        <v>0</v>
      </c>
      <c r="N116" s="53">
        <f>IF(日別集計!N116="","",日別集計!N116)</f>
        <v>0</v>
      </c>
      <c r="O116" s="53">
        <f>IF(日別集計!O116="","",日別集計!O116)</f>
        <v>4</v>
      </c>
      <c r="P116" s="53">
        <f>IF(日別集計!P116="","",日別集計!P116)</f>
        <v>0</v>
      </c>
      <c r="Q116" s="53">
        <f>IF(日別集計!Q116="","",日別集計!Q116)</f>
        <v>4</v>
      </c>
    </row>
    <row r="117" spans="1:17" ht="16.5" x14ac:dyDescent="0.3">
      <c r="A117" s="48">
        <f>IF(日別集計!A117="","",日別集計!A117)</f>
        <v>46244</v>
      </c>
      <c r="B117" s="49" t="str">
        <f>IF(日別集計!B117="","",日別集計!B117)</f>
        <v>月</v>
      </c>
      <c r="C117" s="50">
        <f>IF(日別集計!C117="","",日別集計!C117)</f>
        <v>0</v>
      </c>
      <c r="D117" s="50">
        <f>IF(日別集計!D117="","",日別集計!D117)</f>
        <v>0</v>
      </c>
      <c r="E117" s="50">
        <f>IF(日別集計!E117="","",日別集計!E117)</f>
        <v>0</v>
      </c>
      <c r="F117" s="50">
        <f>IF(日別集計!F117="","",日別集計!F117)</f>
        <v>0</v>
      </c>
      <c r="G117" s="50">
        <f>IF(日別集計!G117="","",日別集計!G117)</f>
        <v>0</v>
      </c>
      <c r="H117" s="50">
        <f>IF(日別集計!H117="","",日別集計!H117)</f>
        <v>3</v>
      </c>
      <c r="I117" s="50">
        <f>IF(日別集計!I117="","",日別集計!I117)</f>
        <v>0</v>
      </c>
      <c r="J117" s="50">
        <f>IF(日別集計!J117="","",日別集計!J117)</f>
        <v>0</v>
      </c>
      <c r="K117" s="50">
        <f>IF(日別集計!K117="","",日別集計!K117)</f>
        <v>0</v>
      </c>
      <c r="L117" s="50">
        <f>IF(日別集計!L117="","",日別集計!L117)</f>
        <v>0</v>
      </c>
      <c r="M117" s="50">
        <f>IF(日別集計!M117="","",日別集計!M117)</f>
        <v>0</v>
      </c>
      <c r="N117" s="50">
        <f>IF(日別集計!N117="","",日別集計!N117)</f>
        <v>0</v>
      </c>
      <c r="O117" s="50">
        <f>IF(日別集計!O117="","",日別集計!O117)</f>
        <v>3</v>
      </c>
      <c r="P117" s="50">
        <f>IF(日別集計!P117="","",日別集計!P117)</f>
        <v>0</v>
      </c>
      <c r="Q117" s="50">
        <f>IF(日別集計!Q117="","",日別集計!Q117)</f>
        <v>3</v>
      </c>
    </row>
    <row r="118" spans="1:17" ht="16.5" x14ac:dyDescent="0.3">
      <c r="A118" s="48">
        <f>IF(日別集計!A118="","",日別集計!A118)</f>
        <v>46245</v>
      </c>
      <c r="B118" s="49" t="str">
        <f>IF(日別集計!B118="","",日別集計!B118)</f>
        <v>火</v>
      </c>
      <c r="C118" s="50">
        <f>IF(日別集計!C118="","",日別集計!C118)</f>
        <v>0</v>
      </c>
      <c r="D118" s="50">
        <f>IF(日別集計!D118="","",日別集計!D118)</f>
        <v>0</v>
      </c>
      <c r="E118" s="50">
        <f>IF(日別集計!E118="","",日別集計!E118)</f>
        <v>0</v>
      </c>
      <c r="F118" s="50">
        <f>IF(日別集計!F118="","",日別集計!F118)</f>
        <v>0</v>
      </c>
      <c r="G118" s="50">
        <f>IF(日別集計!G118="","",日別集計!G118)</f>
        <v>0</v>
      </c>
      <c r="H118" s="50">
        <f>IF(日別集計!H118="","",日別集計!H118)</f>
        <v>4</v>
      </c>
      <c r="I118" s="50">
        <f>IF(日別集計!I118="","",日別集計!I118)</f>
        <v>0</v>
      </c>
      <c r="J118" s="50">
        <f>IF(日別集計!J118="","",日別集計!J118)</f>
        <v>0</v>
      </c>
      <c r="K118" s="50">
        <f>IF(日別集計!K118="","",日別集計!K118)</f>
        <v>0</v>
      </c>
      <c r="L118" s="50">
        <f>IF(日別集計!L118="","",日別集計!L118)</f>
        <v>0</v>
      </c>
      <c r="M118" s="50">
        <f>IF(日別集計!M118="","",日別集計!M118)</f>
        <v>0</v>
      </c>
      <c r="N118" s="50">
        <f>IF(日別集計!N118="","",日別集計!N118)</f>
        <v>0</v>
      </c>
      <c r="O118" s="50">
        <f>IF(日別集計!O118="","",日別集計!O118)</f>
        <v>4</v>
      </c>
      <c r="P118" s="50">
        <f>IF(日別集計!P118="","",日別集計!P118)</f>
        <v>0</v>
      </c>
      <c r="Q118" s="50">
        <f>IF(日別集計!Q118="","",日別集計!Q118)</f>
        <v>4</v>
      </c>
    </row>
    <row r="119" spans="1:17" ht="16.5" x14ac:dyDescent="0.3">
      <c r="A119" s="48">
        <f>IF(日別集計!A119="","",日別集計!A119)</f>
        <v>46246</v>
      </c>
      <c r="B119" s="49" t="str">
        <f>IF(日別集計!B119="","",日別集計!B119)</f>
        <v>水</v>
      </c>
      <c r="C119" s="50">
        <f>IF(日別集計!C119="","",日別集計!C119)</f>
        <v>0</v>
      </c>
      <c r="D119" s="50">
        <f>IF(日別集計!D119="","",日別集計!D119)</f>
        <v>0</v>
      </c>
      <c r="E119" s="50">
        <f>IF(日別集計!E119="","",日別集計!E119)</f>
        <v>0</v>
      </c>
      <c r="F119" s="50">
        <f>IF(日別集計!F119="","",日別集計!F119)</f>
        <v>0</v>
      </c>
      <c r="G119" s="50">
        <f>IF(日別集計!G119="","",日別集計!G119)</f>
        <v>0</v>
      </c>
      <c r="H119" s="50">
        <f>IF(日別集計!H119="","",日別集計!H119)</f>
        <v>3</v>
      </c>
      <c r="I119" s="50">
        <f>IF(日別集計!I119="","",日別集計!I119)</f>
        <v>2</v>
      </c>
      <c r="J119" s="50">
        <f>IF(日別集計!J119="","",日別集計!J119)</f>
        <v>0</v>
      </c>
      <c r="K119" s="50">
        <f>IF(日別集計!K119="","",日別集計!K119)</f>
        <v>2</v>
      </c>
      <c r="L119" s="50">
        <f>IF(日別集計!L119="","",日別集計!L119)</f>
        <v>0</v>
      </c>
      <c r="M119" s="50">
        <f>IF(日別集計!M119="","",日別集計!M119)</f>
        <v>0</v>
      </c>
      <c r="N119" s="50">
        <f>IF(日別集計!N119="","",日別集計!N119)</f>
        <v>0</v>
      </c>
      <c r="O119" s="50">
        <f>IF(日別集計!O119="","",日別集計!O119)</f>
        <v>3</v>
      </c>
      <c r="P119" s="50">
        <f>IF(日別集計!P119="","",日別集計!P119)</f>
        <v>4</v>
      </c>
      <c r="Q119" s="50">
        <f>IF(日別集計!Q119="","",日別集計!Q119)</f>
        <v>7</v>
      </c>
    </row>
    <row r="120" spans="1:17" ht="16.5" x14ac:dyDescent="0.3">
      <c r="A120" s="48">
        <f>IF(日別集計!A120="","",日別集計!A120)</f>
        <v>46247</v>
      </c>
      <c r="B120" s="49" t="str">
        <f>IF(日別集計!B120="","",日別集計!B120)</f>
        <v>木</v>
      </c>
      <c r="C120" s="50">
        <f>IF(日別集計!C120="","",日別集計!C120)</f>
        <v>0</v>
      </c>
      <c r="D120" s="50">
        <f>IF(日別集計!D120="","",日別集計!D120)</f>
        <v>0</v>
      </c>
      <c r="E120" s="50">
        <f>IF(日別集計!E120="","",日別集計!E120)</f>
        <v>0</v>
      </c>
      <c r="F120" s="50">
        <f>IF(日別集計!F120="","",日別集計!F120)</f>
        <v>0</v>
      </c>
      <c r="G120" s="50">
        <f>IF(日別集計!G120="","",日別集計!G120)</f>
        <v>0</v>
      </c>
      <c r="H120" s="50">
        <f>IF(日別集計!H120="","",日別集計!H120)</f>
        <v>3</v>
      </c>
      <c r="I120" s="50">
        <f>IF(日別集計!I120="","",日別集計!I120)</f>
        <v>2</v>
      </c>
      <c r="J120" s="50">
        <f>IF(日別集計!J120="","",日別集計!J120)</f>
        <v>0</v>
      </c>
      <c r="K120" s="50">
        <f>IF(日別集計!K120="","",日別集計!K120)</f>
        <v>0</v>
      </c>
      <c r="L120" s="50">
        <f>IF(日別集計!L120="","",日別集計!L120)</f>
        <v>0</v>
      </c>
      <c r="M120" s="50">
        <f>IF(日別集計!M120="","",日別集計!M120)</f>
        <v>0</v>
      </c>
      <c r="N120" s="50">
        <f>IF(日別集計!N120="","",日別集計!N120)</f>
        <v>0</v>
      </c>
      <c r="O120" s="50">
        <f>IF(日別集計!O120="","",日別集計!O120)</f>
        <v>3</v>
      </c>
      <c r="P120" s="50">
        <f>IF(日別集計!P120="","",日別集計!P120)</f>
        <v>2</v>
      </c>
      <c r="Q120" s="50">
        <f>IF(日別集計!Q120="","",日別集計!Q120)</f>
        <v>5</v>
      </c>
    </row>
    <row r="121" spans="1:17" ht="16.5" x14ac:dyDescent="0.3">
      <c r="A121" s="48">
        <f>IF(日別集計!A121="","",日別集計!A121)</f>
        <v>46248</v>
      </c>
      <c r="B121" s="49" t="str">
        <f>IF(日別集計!B121="","",日別集計!B121)</f>
        <v>金</v>
      </c>
      <c r="C121" s="50">
        <f>IF(日別集計!C121="","",日別集計!C121)</f>
        <v>0</v>
      </c>
      <c r="D121" s="50">
        <f>IF(日別集計!D121="","",日別集計!D121)</f>
        <v>0</v>
      </c>
      <c r="E121" s="50">
        <f>IF(日別集計!E121="","",日別集計!E121)</f>
        <v>0</v>
      </c>
      <c r="F121" s="50">
        <f>IF(日別集計!F121="","",日別集計!F121)</f>
        <v>0</v>
      </c>
      <c r="G121" s="50">
        <f>IF(日別集計!G121="","",日別集計!G121)</f>
        <v>0</v>
      </c>
      <c r="H121" s="50">
        <f>IF(日別集計!H121="","",日別集計!H121)</f>
        <v>3</v>
      </c>
      <c r="I121" s="50">
        <f>IF(日別集計!I121="","",日別集計!I121)</f>
        <v>0</v>
      </c>
      <c r="J121" s="50">
        <f>IF(日別集計!J121="","",日別集計!J121)</f>
        <v>0</v>
      </c>
      <c r="K121" s="50">
        <f>IF(日別集計!K121="","",日別集計!K121)</f>
        <v>0</v>
      </c>
      <c r="L121" s="50">
        <f>IF(日別集計!L121="","",日別集計!L121)</f>
        <v>0</v>
      </c>
      <c r="M121" s="50">
        <f>IF(日別集計!M121="","",日別集計!M121)</f>
        <v>0</v>
      </c>
      <c r="N121" s="50">
        <f>IF(日別集計!N121="","",日別集計!N121)</f>
        <v>0</v>
      </c>
      <c r="O121" s="50">
        <f>IF(日別集計!O121="","",日別集計!O121)</f>
        <v>3</v>
      </c>
      <c r="P121" s="50">
        <f>IF(日別集計!P121="","",日別集計!P121)</f>
        <v>0</v>
      </c>
      <c r="Q121" s="50">
        <f>IF(日別集計!Q121="","",日別集計!Q121)</f>
        <v>3</v>
      </c>
    </row>
    <row r="122" spans="1:17" ht="16.5" x14ac:dyDescent="0.3">
      <c r="A122" s="51">
        <f>IF(日別集計!A122="","",日別集計!A122)</f>
        <v>46249</v>
      </c>
      <c r="B122" s="52" t="str">
        <f>IF(日別集計!B122="","",日別集計!B122)</f>
        <v>土</v>
      </c>
      <c r="C122" s="53">
        <f>IF(日別集計!C122="","",日別集計!C122)</f>
        <v>0</v>
      </c>
      <c r="D122" s="53">
        <f>IF(日別集計!D122="","",日別集計!D122)</f>
        <v>0</v>
      </c>
      <c r="E122" s="53">
        <f>IF(日別集計!E122="","",日別集計!E122)</f>
        <v>0</v>
      </c>
      <c r="F122" s="53">
        <f>IF(日別集計!F122="","",日別集計!F122)</f>
        <v>0</v>
      </c>
      <c r="G122" s="53">
        <f>IF(日別集計!G122="","",日別集計!G122)</f>
        <v>0</v>
      </c>
      <c r="H122" s="53">
        <f>IF(日別集計!H122="","",日別集計!H122)</f>
        <v>2</v>
      </c>
      <c r="I122" s="53">
        <f>IF(日別集計!I122="","",日別集計!I122)</f>
        <v>0</v>
      </c>
      <c r="J122" s="53">
        <f>IF(日別集計!J122="","",日別集計!J122)</f>
        <v>0</v>
      </c>
      <c r="K122" s="53">
        <f>IF(日別集計!K122="","",日別集計!K122)</f>
        <v>2</v>
      </c>
      <c r="L122" s="53">
        <f>IF(日別集計!L122="","",日別集計!L122)</f>
        <v>0</v>
      </c>
      <c r="M122" s="53">
        <f>IF(日別集計!M122="","",日別集計!M122)</f>
        <v>0</v>
      </c>
      <c r="N122" s="53">
        <f>IF(日別集計!N122="","",日別集計!N122)</f>
        <v>0</v>
      </c>
      <c r="O122" s="53">
        <f>IF(日別集計!O122="","",日別集計!O122)</f>
        <v>2</v>
      </c>
      <c r="P122" s="53">
        <f>IF(日別集計!P122="","",日別集計!P122)</f>
        <v>2</v>
      </c>
      <c r="Q122" s="53">
        <f>IF(日別集計!Q122="","",日別集計!Q122)</f>
        <v>4</v>
      </c>
    </row>
    <row r="123" spans="1:17" ht="16.5" x14ac:dyDescent="0.3">
      <c r="A123" s="51">
        <f>IF(日別集計!A123="","",日別集計!A123)</f>
        <v>46250</v>
      </c>
      <c r="B123" s="52" t="str">
        <f>IF(日別集計!B123="","",日別集計!B123)</f>
        <v>日</v>
      </c>
      <c r="C123" s="53">
        <f>IF(日別集計!C123="","",日別集計!C123)</f>
        <v>0</v>
      </c>
      <c r="D123" s="53">
        <f>IF(日別集計!D123="","",日別集計!D123)</f>
        <v>0</v>
      </c>
      <c r="E123" s="53">
        <f>IF(日別集計!E123="","",日別集計!E123)</f>
        <v>0</v>
      </c>
      <c r="F123" s="53">
        <f>IF(日別集計!F123="","",日別集計!F123)</f>
        <v>0</v>
      </c>
      <c r="G123" s="53">
        <f>IF(日別集計!G123="","",日別集計!G123)</f>
        <v>0</v>
      </c>
      <c r="H123" s="53">
        <f>IF(日別集計!H123="","",日別集計!H123)</f>
        <v>0</v>
      </c>
      <c r="I123" s="53">
        <f>IF(日別集計!I123="","",日別集計!I123)</f>
        <v>0</v>
      </c>
      <c r="J123" s="53">
        <f>IF(日別集計!J123="","",日別集計!J123)</f>
        <v>0</v>
      </c>
      <c r="K123" s="53">
        <f>IF(日別集計!K123="","",日別集計!K123)</f>
        <v>0</v>
      </c>
      <c r="L123" s="53">
        <f>IF(日別集計!L123="","",日別集計!L123)</f>
        <v>0</v>
      </c>
      <c r="M123" s="53">
        <f>IF(日別集計!M123="","",日別集計!M123)</f>
        <v>0</v>
      </c>
      <c r="N123" s="53">
        <f>IF(日別集計!N123="","",日別集計!N123)</f>
        <v>0</v>
      </c>
      <c r="O123" s="53">
        <f>IF(日別集計!O123="","",日別集計!O123)</f>
        <v>0</v>
      </c>
      <c r="P123" s="53">
        <f>IF(日別集計!P123="","",日別集計!P123)</f>
        <v>0</v>
      </c>
      <c r="Q123" s="53">
        <f>IF(日別集計!Q123="","",日別集計!Q123)</f>
        <v>0</v>
      </c>
    </row>
    <row r="124" spans="1:17" ht="16.5" x14ac:dyDescent="0.3">
      <c r="A124" s="48">
        <f>IF(日別集計!A124="","",日別集計!A124)</f>
        <v>46251</v>
      </c>
      <c r="B124" s="49" t="str">
        <f>IF(日別集計!B124="","",日別集計!B124)</f>
        <v>月</v>
      </c>
      <c r="C124" s="50">
        <f>IF(日別集計!C124="","",日別集計!C124)</f>
        <v>0</v>
      </c>
      <c r="D124" s="50">
        <f>IF(日別集計!D124="","",日別集計!D124)</f>
        <v>0</v>
      </c>
      <c r="E124" s="50">
        <f>IF(日別集計!E124="","",日別集計!E124)</f>
        <v>0</v>
      </c>
      <c r="F124" s="50">
        <f>IF(日別集計!F124="","",日別集計!F124)</f>
        <v>0</v>
      </c>
      <c r="G124" s="50">
        <f>IF(日別集計!G124="","",日別集計!G124)</f>
        <v>0</v>
      </c>
      <c r="H124" s="50">
        <f>IF(日別集計!H124="","",日別集計!H124)</f>
        <v>0</v>
      </c>
      <c r="I124" s="50">
        <f>IF(日別集計!I124="","",日別集計!I124)</f>
        <v>0</v>
      </c>
      <c r="J124" s="50">
        <f>IF(日別集計!J124="","",日別集計!J124)</f>
        <v>2</v>
      </c>
      <c r="K124" s="50">
        <f>IF(日別集計!K124="","",日別集計!K124)</f>
        <v>0</v>
      </c>
      <c r="L124" s="50">
        <f>IF(日別集計!L124="","",日別集計!L124)</f>
        <v>0</v>
      </c>
      <c r="M124" s="50">
        <f>IF(日別集計!M124="","",日別集計!M124)</f>
        <v>0</v>
      </c>
      <c r="N124" s="50">
        <f>IF(日別集計!N124="","",日別集計!N124)</f>
        <v>0</v>
      </c>
      <c r="O124" s="50">
        <f>IF(日別集計!O124="","",日別集計!O124)</f>
        <v>0</v>
      </c>
      <c r="P124" s="50">
        <f>IF(日別集計!P124="","",日別集計!P124)</f>
        <v>2</v>
      </c>
      <c r="Q124" s="50">
        <f>IF(日別集計!Q124="","",日別集計!Q124)</f>
        <v>2</v>
      </c>
    </row>
    <row r="125" spans="1:17" ht="16.5" x14ac:dyDescent="0.3">
      <c r="A125" s="48">
        <f>IF(日別集計!A125="","",日別集計!A125)</f>
        <v>46252</v>
      </c>
      <c r="B125" s="49" t="str">
        <f>IF(日別集計!B125="","",日別集計!B125)</f>
        <v>火</v>
      </c>
      <c r="C125" s="50">
        <f>IF(日別集計!C125="","",日別集計!C125)</f>
        <v>0</v>
      </c>
      <c r="D125" s="50">
        <f>IF(日別集計!D125="","",日別集計!D125)</f>
        <v>0</v>
      </c>
      <c r="E125" s="50">
        <f>IF(日別集計!E125="","",日別集計!E125)</f>
        <v>0</v>
      </c>
      <c r="F125" s="50">
        <f>IF(日別集計!F125="","",日別集計!F125)</f>
        <v>0</v>
      </c>
      <c r="G125" s="50">
        <f>IF(日別集計!G125="","",日別集計!G125)</f>
        <v>0</v>
      </c>
      <c r="H125" s="50">
        <f>IF(日別集計!H125="","",日別集計!H125)</f>
        <v>0</v>
      </c>
      <c r="I125" s="50">
        <f>IF(日別集計!I125="","",日別集計!I125)</f>
        <v>0</v>
      </c>
      <c r="J125" s="50">
        <f>IF(日別集計!J125="","",日別集計!J125)</f>
        <v>1</v>
      </c>
      <c r="K125" s="50">
        <f>IF(日別集計!K125="","",日別集計!K125)</f>
        <v>0</v>
      </c>
      <c r="L125" s="50">
        <f>IF(日別集計!L125="","",日別集計!L125)</f>
        <v>0</v>
      </c>
      <c r="M125" s="50">
        <f>IF(日別集計!M125="","",日別集計!M125)</f>
        <v>2</v>
      </c>
      <c r="N125" s="50">
        <f>IF(日別集計!N125="","",日別集計!N125)</f>
        <v>0</v>
      </c>
      <c r="O125" s="50">
        <f>IF(日別集計!O125="","",日別集計!O125)</f>
        <v>2</v>
      </c>
      <c r="P125" s="50">
        <f>IF(日別集計!P125="","",日別集計!P125)</f>
        <v>1</v>
      </c>
      <c r="Q125" s="50">
        <f>IF(日別集計!Q125="","",日別集計!Q125)</f>
        <v>3</v>
      </c>
    </row>
    <row r="126" spans="1:17" ht="16.5" x14ac:dyDescent="0.3">
      <c r="A126" s="48">
        <f>IF(日別集計!A126="","",日別集計!A126)</f>
        <v>46253</v>
      </c>
      <c r="B126" s="49" t="str">
        <f>IF(日別集計!B126="","",日別集計!B126)</f>
        <v>水</v>
      </c>
      <c r="C126" s="50">
        <f>IF(日別集計!C126="","",日別集計!C126)</f>
        <v>0</v>
      </c>
      <c r="D126" s="50">
        <f>IF(日別集計!D126="","",日別集計!D126)</f>
        <v>0</v>
      </c>
      <c r="E126" s="50">
        <f>IF(日別集計!E126="","",日別集計!E126)</f>
        <v>0</v>
      </c>
      <c r="F126" s="50">
        <f>IF(日別集計!F126="","",日別集計!F126)</f>
        <v>0</v>
      </c>
      <c r="G126" s="50">
        <f>IF(日別集計!G126="","",日別集計!G126)</f>
        <v>0</v>
      </c>
      <c r="H126" s="50">
        <f>IF(日別集計!H126="","",日別集計!H126)</f>
        <v>0</v>
      </c>
      <c r="I126" s="50">
        <f>IF(日別集計!I126="","",日別集計!I126)</f>
        <v>0</v>
      </c>
      <c r="J126" s="50">
        <f>IF(日別集計!J126="","",日別集計!J126)</f>
        <v>2</v>
      </c>
      <c r="K126" s="50">
        <f>IF(日別集計!K126="","",日別集計!K126)</f>
        <v>0</v>
      </c>
      <c r="L126" s="50">
        <f>IF(日別集計!L126="","",日別集計!L126)</f>
        <v>0</v>
      </c>
      <c r="M126" s="50">
        <f>IF(日別集計!M126="","",日別集計!M126)</f>
        <v>2</v>
      </c>
      <c r="N126" s="50">
        <f>IF(日別集計!N126="","",日別集計!N126)</f>
        <v>0</v>
      </c>
      <c r="O126" s="50">
        <f>IF(日別集計!O126="","",日別集計!O126)</f>
        <v>2</v>
      </c>
      <c r="P126" s="50">
        <f>IF(日別集計!P126="","",日別集計!P126)</f>
        <v>2</v>
      </c>
      <c r="Q126" s="50">
        <f>IF(日別集計!Q126="","",日別集計!Q126)</f>
        <v>4</v>
      </c>
    </row>
    <row r="127" spans="1:17" ht="16.5" x14ac:dyDescent="0.3">
      <c r="A127" s="48">
        <f>IF(日別集計!A127="","",日別集計!A127)</f>
        <v>46254</v>
      </c>
      <c r="B127" s="49" t="str">
        <f>IF(日別集計!B127="","",日別集計!B127)</f>
        <v>木</v>
      </c>
      <c r="C127" s="50">
        <f>IF(日別集計!C127="","",日別集計!C127)</f>
        <v>0</v>
      </c>
      <c r="D127" s="50">
        <f>IF(日別集計!D127="","",日別集計!D127)</f>
        <v>0</v>
      </c>
      <c r="E127" s="50">
        <f>IF(日別集計!E127="","",日別集計!E127)</f>
        <v>0</v>
      </c>
      <c r="F127" s="50">
        <f>IF(日別集計!F127="","",日別集計!F127)</f>
        <v>0</v>
      </c>
      <c r="G127" s="50">
        <f>IF(日別集計!G127="","",日別集計!G127)</f>
        <v>0</v>
      </c>
      <c r="H127" s="50">
        <f>IF(日別集計!H127="","",日別集計!H127)</f>
        <v>0</v>
      </c>
      <c r="I127" s="50">
        <f>IF(日別集計!I127="","",日別集計!I127)</f>
        <v>0</v>
      </c>
      <c r="J127" s="50">
        <f>IF(日別集計!J127="","",日別集計!J127)</f>
        <v>4</v>
      </c>
      <c r="K127" s="50">
        <f>IF(日別集計!K127="","",日別集計!K127)</f>
        <v>0</v>
      </c>
      <c r="L127" s="50">
        <f>IF(日別集計!L127="","",日別集計!L127)</f>
        <v>0</v>
      </c>
      <c r="M127" s="50">
        <f>IF(日別集計!M127="","",日別集計!M127)</f>
        <v>0</v>
      </c>
      <c r="N127" s="50">
        <f>IF(日別集計!N127="","",日別集計!N127)</f>
        <v>0</v>
      </c>
      <c r="O127" s="50">
        <f>IF(日別集計!O127="","",日別集計!O127)</f>
        <v>2</v>
      </c>
      <c r="P127" s="50">
        <f>IF(日別集計!P127="","",日別集計!P127)</f>
        <v>2</v>
      </c>
      <c r="Q127" s="50">
        <f>IF(日別集計!Q127="","",日別集計!Q127)</f>
        <v>4</v>
      </c>
    </row>
    <row r="128" spans="1:17" ht="16.5" x14ac:dyDescent="0.3">
      <c r="A128" s="48">
        <f>IF(日別集計!A128="","",日別集計!A128)</f>
        <v>46255</v>
      </c>
      <c r="B128" s="49" t="str">
        <f>IF(日別集計!B128="","",日別集計!B128)</f>
        <v>金</v>
      </c>
      <c r="C128" s="50">
        <f>IF(日別集計!C128="","",日別集計!C128)</f>
        <v>0</v>
      </c>
      <c r="D128" s="50">
        <f>IF(日別集計!D128="","",日別集計!D128)</f>
        <v>0</v>
      </c>
      <c r="E128" s="50">
        <f>IF(日別集計!E128="","",日別集計!E128)</f>
        <v>0</v>
      </c>
      <c r="F128" s="50">
        <f>IF(日別集計!F128="","",日別集計!F128)</f>
        <v>0</v>
      </c>
      <c r="G128" s="50">
        <f>IF(日別集計!G128="","",日別集計!G128)</f>
        <v>0</v>
      </c>
      <c r="H128" s="50">
        <f>IF(日別集計!H128="","",日別集計!H128)</f>
        <v>0</v>
      </c>
      <c r="I128" s="50">
        <f>IF(日別集計!I128="","",日別集計!I128)</f>
        <v>0</v>
      </c>
      <c r="J128" s="50">
        <f>IF(日別集計!J128="","",日別集計!J128)</f>
        <v>3</v>
      </c>
      <c r="K128" s="50">
        <f>IF(日別集計!K128="","",日別集計!K128)</f>
        <v>0</v>
      </c>
      <c r="L128" s="50">
        <f>IF(日別集計!L128="","",日別集計!L128)</f>
        <v>0</v>
      </c>
      <c r="M128" s="50">
        <f>IF(日別集計!M128="","",日別集計!M128)</f>
        <v>0</v>
      </c>
      <c r="N128" s="50">
        <f>IF(日別集計!N128="","",日別集計!N128)</f>
        <v>0</v>
      </c>
      <c r="O128" s="50">
        <f>IF(日別集計!O128="","",日別集計!O128)</f>
        <v>3</v>
      </c>
      <c r="P128" s="50">
        <f>IF(日別集計!P128="","",日別集計!P128)</f>
        <v>0</v>
      </c>
      <c r="Q128" s="50">
        <f>IF(日別集計!Q128="","",日別集計!Q128)</f>
        <v>3</v>
      </c>
    </row>
    <row r="129" spans="1:17" ht="16.5" x14ac:dyDescent="0.3">
      <c r="A129" s="51">
        <f>IF(日別集計!A129="","",日別集計!A129)</f>
        <v>46256</v>
      </c>
      <c r="B129" s="52" t="str">
        <f>IF(日別集計!B129="","",日別集計!B129)</f>
        <v>土</v>
      </c>
      <c r="C129" s="53">
        <f>IF(日別集計!C129="","",日別集計!C129)</f>
        <v>0</v>
      </c>
      <c r="D129" s="53">
        <f>IF(日別集計!D129="","",日別集計!D129)</f>
        <v>0</v>
      </c>
      <c r="E129" s="53">
        <f>IF(日別集計!E129="","",日別集計!E129)</f>
        <v>0</v>
      </c>
      <c r="F129" s="53">
        <f>IF(日別集計!F129="","",日別集計!F129)</f>
        <v>0</v>
      </c>
      <c r="G129" s="53">
        <f>IF(日別集計!G129="","",日別集計!G129)</f>
        <v>0</v>
      </c>
      <c r="H129" s="53">
        <f>IF(日別集計!H129="","",日別集計!H129)</f>
        <v>1</v>
      </c>
      <c r="I129" s="53">
        <f>IF(日別集計!I129="","",日別集計!I129)</f>
        <v>3</v>
      </c>
      <c r="J129" s="53">
        <f>IF(日別集計!J129="","",日別集計!J129)</f>
        <v>3</v>
      </c>
      <c r="K129" s="53">
        <f>IF(日別集計!K129="","",日別集計!K129)</f>
        <v>0</v>
      </c>
      <c r="L129" s="53">
        <f>IF(日別集計!L129="","",日別集計!L129)</f>
        <v>1</v>
      </c>
      <c r="M129" s="53">
        <f>IF(日別集計!M129="","",日別集計!M129)</f>
        <v>0</v>
      </c>
      <c r="N129" s="53">
        <f>IF(日別集計!N129="","",日別集計!N129)</f>
        <v>0</v>
      </c>
      <c r="O129" s="53">
        <f>IF(日別集計!O129="","",日別集計!O129)</f>
        <v>3</v>
      </c>
      <c r="P129" s="53">
        <f>IF(日別集計!P129="","",日別集計!P129)</f>
        <v>5</v>
      </c>
      <c r="Q129" s="53">
        <f>IF(日別集計!Q129="","",日別集計!Q129)</f>
        <v>8</v>
      </c>
    </row>
    <row r="130" spans="1:17" ht="16.5" x14ac:dyDescent="0.3">
      <c r="A130" s="51">
        <f>IF(日別集計!A130="","",日別集計!A130)</f>
        <v>46257</v>
      </c>
      <c r="B130" s="52" t="str">
        <f>IF(日別集計!B130="","",日別集計!B130)</f>
        <v>日</v>
      </c>
      <c r="C130" s="53">
        <f>IF(日別集計!C130="","",日別集計!C130)</f>
        <v>0</v>
      </c>
      <c r="D130" s="53">
        <f>IF(日別集計!D130="","",日別集計!D130)</f>
        <v>0</v>
      </c>
      <c r="E130" s="53">
        <f>IF(日別集計!E130="","",日別集計!E130)</f>
        <v>0</v>
      </c>
      <c r="F130" s="53">
        <f>IF(日別集計!F130="","",日別集計!F130)</f>
        <v>0</v>
      </c>
      <c r="G130" s="53">
        <f>IF(日別集計!G130="","",日別集計!G130)</f>
        <v>0</v>
      </c>
      <c r="H130" s="53">
        <f>IF(日別集計!H130="","",日別集計!H130)</f>
        <v>0</v>
      </c>
      <c r="I130" s="53">
        <f>IF(日別集計!I130="","",日別集計!I130)</f>
        <v>0</v>
      </c>
      <c r="J130" s="53">
        <f>IF(日別集計!J130="","",日別集計!J130)</f>
        <v>0</v>
      </c>
      <c r="K130" s="53">
        <f>IF(日別集計!K130="","",日別集計!K130)</f>
        <v>0</v>
      </c>
      <c r="L130" s="53">
        <f>IF(日別集計!L130="","",日別集計!L130)</f>
        <v>0</v>
      </c>
      <c r="M130" s="53">
        <f>IF(日別集計!M130="","",日別集計!M130)</f>
        <v>0</v>
      </c>
      <c r="N130" s="53">
        <f>IF(日別集計!N130="","",日別集計!N130)</f>
        <v>0</v>
      </c>
      <c r="O130" s="53">
        <f>IF(日別集計!O130="","",日別集計!O130)</f>
        <v>0</v>
      </c>
      <c r="P130" s="53">
        <f>IF(日別集計!P130="","",日別集計!P130)</f>
        <v>0</v>
      </c>
      <c r="Q130" s="53">
        <f>IF(日別集計!Q130="","",日別集計!Q130)</f>
        <v>0</v>
      </c>
    </row>
    <row r="131" spans="1:17" ht="16.5" x14ac:dyDescent="0.3">
      <c r="A131" s="48">
        <f>IF(日別集計!A131="","",日別集計!A131)</f>
        <v>46258</v>
      </c>
      <c r="B131" s="49" t="str">
        <f>IF(日別集計!B131="","",日別集計!B131)</f>
        <v>月</v>
      </c>
      <c r="C131" s="50">
        <f>IF(日別集計!C131="","",日別集計!C131)</f>
        <v>0</v>
      </c>
      <c r="D131" s="50">
        <f>IF(日別集計!D131="","",日別集計!D131)</f>
        <v>0</v>
      </c>
      <c r="E131" s="50">
        <f>IF(日別集計!E131="","",日別集計!E131)</f>
        <v>0</v>
      </c>
      <c r="F131" s="50">
        <f>IF(日別集計!F131="","",日別集計!F131)</f>
        <v>0</v>
      </c>
      <c r="G131" s="50">
        <f>IF(日別集計!G131="","",日別集計!G131)</f>
        <v>0</v>
      </c>
      <c r="H131" s="50">
        <f>IF(日別集計!H131="","",日別集計!H131)</f>
        <v>0</v>
      </c>
      <c r="I131" s="50">
        <f>IF(日別集計!I131="","",日別集計!I131)</f>
        <v>0</v>
      </c>
      <c r="J131" s="50">
        <f>IF(日別集計!J131="","",日別集計!J131)</f>
        <v>3</v>
      </c>
      <c r="K131" s="50">
        <f>IF(日別集計!K131="","",日別集計!K131)</f>
        <v>0</v>
      </c>
      <c r="L131" s="50">
        <f>IF(日別集計!L131="","",日別集計!L131)</f>
        <v>0</v>
      </c>
      <c r="M131" s="50">
        <f>IF(日別集計!M131="","",日別集計!M131)</f>
        <v>0</v>
      </c>
      <c r="N131" s="50">
        <f>IF(日別集計!N131="","",日別集計!N131)</f>
        <v>0</v>
      </c>
      <c r="O131" s="50">
        <f>IF(日別集計!O131="","",日別集計!O131)</f>
        <v>3</v>
      </c>
      <c r="P131" s="50">
        <f>IF(日別集計!P131="","",日別集計!P131)</f>
        <v>0</v>
      </c>
      <c r="Q131" s="50">
        <f>IF(日別集計!Q131="","",日別集計!Q131)</f>
        <v>3</v>
      </c>
    </row>
    <row r="132" spans="1:17" ht="16.5" x14ac:dyDescent="0.3">
      <c r="A132" s="48">
        <f>IF(日別集計!A132="","",日別集計!A132)</f>
        <v>46259</v>
      </c>
      <c r="B132" s="49" t="str">
        <f>IF(日別集計!B132="","",日別集計!B132)</f>
        <v>火</v>
      </c>
      <c r="C132" s="50">
        <f>IF(日別集計!C132="","",日別集計!C132)</f>
        <v>0</v>
      </c>
      <c r="D132" s="50">
        <f>IF(日別集計!D132="","",日別集計!D132)</f>
        <v>0</v>
      </c>
      <c r="E132" s="50">
        <f>IF(日別集計!E132="","",日別集計!E132)</f>
        <v>0</v>
      </c>
      <c r="F132" s="50">
        <f>IF(日別集計!F132="","",日別集計!F132)</f>
        <v>0</v>
      </c>
      <c r="G132" s="50">
        <f>IF(日別集計!G132="","",日別集計!G132)</f>
        <v>0</v>
      </c>
      <c r="H132" s="50">
        <f>IF(日別集計!H132="","",日別集計!H132)</f>
        <v>1</v>
      </c>
      <c r="I132" s="50">
        <f>IF(日別集計!I132="","",日別集計!I132)</f>
        <v>0</v>
      </c>
      <c r="J132" s="50">
        <f>IF(日別集計!J132="","",日別集計!J132)</f>
        <v>3</v>
      </c>
      <c r="K132" s="50">
        <f>IF(日別集計!K132="","",日別集計!K132)</f>
        <v>2</v>
      </c>
      <c r="L132" s="50">
        <f>IF(日別集計!L132="","",日別集計!L132)</f>
        <v>0</v>
      </c>
      <c r="M132" s="50">
        <f>IF(日別集計!M132="","",日別集計!M132)</f>
        <v>0</v>
      </c>
      <c r="N132" s="50">
        <f>IF(日別集計!N132="","",日別集計!N132)</f>
        <v>0</v>
      </c>
      <c r="O132" s="50">
        <f>IF(日別集計!O132="","",日別集計!O132)</f>
        <v>3</v>
      </c>
      <c r="P132" s="50">
        <f>IF(日別集計!P132="","",日別集計!P132)</f>
        <v>3</v>
      </c>
      <c r="Q132" s="50">
        <f>IF(日別集計!Q132="","",日別集計!Q132)</f>
        <v>6</v>
      </c>
    </row>
    <row r="133" spans="1:17" ht="16.5" x14ac:dyDescent="0.3">
      <c r="A133" s="48">
        <f>IF(日別集計!A133="","",日別集計!A133)</f>
        <v>46260</v>
      </c>
      <c r="B133" s="49" t="str">
        <f>IF(日別集計!B133="","",日別集計!B133)</f>
        <v>水</v>
      </c>
      <c r="C133" s="50">
        <f>IF(日別集計!C133="","",日別集計!C133)</f>
        <v>0</v>
      </c>
      <c r="D133" s="50">
        <f>IF(日別集計!D133="","",日別集計!D133)</f>
        <v>0</v>
      </c>
      <c r="E133" s="50">
        <f>IF(日別集計!E133="","",日別集計!E133)</f>
        <v>0</v>
      </c>
      <c r="F133" s="50">
        <f>IF(日別集計!F133="","",日別集計!F133)</f>
        <v>0</v>
      </c>
      <c r="G133" s="50">
        <f>IF(日別集計!G133="","",日別集計!G133)</f>
        <v>0</v>
      </c>
      <c r="H133" s="50">
        <f>IF(日別集計!H133="","",日別集計!H133)</f>
        <v>0</v>
      </c>
      <c r="I133" s="50">
        <f>IF(日別集計!I133="","",日別集計!I133)</f>
        <v>0</v>
      </c>
      <c r="J133" s="50">
        <f>IF(日別集計!J133="","",日別集計!J133)</f>
        <v>3</v>
      </c>
      <c r="K133" s="50">
        <f>IF(日別集計!K133="","",日別集計!K133)</f>
        <v>0</v>
      </c>
      <c r="L133" s="50">
        <f>IF(日別集計!L133="","",日別集計!L133)</f>
        <v>0</v>
      </c>
      <c r="M133" s="50">
        <f>IF(日別集計!M133="","",日別集計!M133)</f>
        <v>0</v>
      </c>
      <c r="N133" s="50">
        <f>IF(日別集計!N133="","",日別集計!N133)</f>
        <v>0</v>
      </c>
      <c r="O133" s="50">
        <f>IF(日別集計!O133="","",日別集計!O133)</f>
        <v>3</v>
      </c>
      <c r="P133" s="50">
        <f>IF(日別集計!P133="","",日別集計!P133)</f>
        <v>0</v>
      </c>
      <c r="Q133" s="50">
        <f>IF(日別集計!Q133="","",日別集計!Q133)</f>
        <v>3</v>
      </c>
    </row>
    <row r="134" spans="1:17" ht="16.5" x14ac:dyDescent="0.3">
      <c r="A134" s="48">
        <f>IF(日別集計!A134="","",日別集計!A134)</f>
        <v>46261</v>
      </c>
      <c r="B134" s="49" t="str">
        <f>IF(日別集計!B134="","",日別集計!B134)</f>
        <v>木</v>
      </c>
      <c r="C134" s="50">
        <f>IF(日別集計!C134="","",日別集計!C134)</f>
        <v>0</v>
      </c>
      <c r="D134" s="50">
        <f>IF(日別集計!D134="","",日別集計!D134)</f>
        <v>0</v>
      </c>
      <c r="E134" s="50">
        <f>IF(日別集計!E134="","",日別集計!E134)</f>
        <v>0</v>
      </c>
      <c r="F134" s="50">
        <f>IF(日別集計!F134="","",日別集計!F134)</f>
        <v>0</v>
      </c>
      <c r="G134" s="50">
        <f>IF(日別集計!G134="","",日別集計!G134)</f>
        <v>0</v>
      </c>
      <c r="H134" s="50">
        <f>IF(日別集計!H134="","",日別集計!H134)</f>
        <v>0</v>
      </c>
      <c r="I134" s="50">
        <f>IF(日別集計!I134="","",日別集計!I134)</f>
        <v>0</v>
      </c>
      <c r="J134" s="50">
        <f>IF(日別集計!J134="","",日別集計!J134)</f>
        <v>0</v>
      </c>
      <c r="K134" s="50">
        <f>IF(日別集計!K134="","",日別集計!K134)</f>
        <v>0</v>
      </c>
      <c r="L134" s="50">
        <f>IF(日別集計!L134="","",日別集計!L134)</f>
        <v>3</v>
      </c>
      <c r="M134" s="50">
        <f>IF(日別集計!M134="","",日別集計!M134)</f>
        <v>0</v>
      </c>
      <c r="N134" s="50">
        <f>IF(日別集計!N134="","",日別集計!N134)</f>
        <v>0</v>
      </c>
      <c r="O134" s="50">
        <f>IF(日別集計!O134="","",日別集計!O134)</f>
        <v>0</v>
      </c>
      <c r="P134" s="50">
        <f>IF(日別集計!P134="","",日別集計!P134)</f>
        <v>3</v>
      </c>
      <c r="Q134" s="50">
        <f>IF(日別集計!Q134="","",日別集計!Q134)</f>
        <v>3</v>
      </c>
    </row>
    <row r="135" spans="1:17" ht="16.5" x14ac:dyDescent="0.3">
      <c r="A135" s="48">
        <f>IF(日別集計!A135="","",日別集計!A135)</f>
        <v>46262</v>
      </c>
      <c r="B135" s="49" t="str">
        <f>IF(日別集計!B135="","",日別集計!B135)</f>
        <v>金</v>
      </c>
      <c r="C135" s="50">
        <f>IF(日別集計!C135="","",日別集計!C135)</f>
        <v>0</v>
      </c>
      <c r="D135" s="50">
        <f>IF(日別集計!D135="","",日別集計!D135)</f>
        <v>0</v>
      </c>
      <c r="E135" s="50">
        <f>IF(日別集計!E135="","",日別集計!E135)</f>
        <v>0</v>
      </c>
      <c r="F135" s="50">
        <f>IF(日別集計!F135="","",日別集計!F135)</f>
        <v>0</v>
      </c>
      <c r="G135" s="50">
        <f>IF(日別集計!G135="","",日別集計!G135)</f>
        <v>0</v>
      </c>
      <c r="H135" s="50">
        <f>IF(日別集計!H135="","",日別集計!H135)</f>
        <v>0</v>
      </c>
      <c r="I135" s="50">
        <f>IF(日別集計!I135="","",日別集計!I135)</f>
        <v>0</v>
      </c>
      <c r="J135" s="50">
        <f>IF(日別集計!J135="","",日別集計!J135)</f>
        <v>0</v>
      </c>
      <c r="K135" s="50">
        <f>IF(日別集計!K135="","",日別集計!K135)</f>
        <v>0</v>
      </c>
      <c r="L135" s="50">
        <f>IF(日別集計!L135="","",日別集計!L135)</f>
        <v>0</v>
      </c>
      <c r="M135" s="50">
        <f>IF(日別集計!M135="","",日別集計!M135)</f>
        <v>0</v>
      </c>
      <c r="N135" s="50">
        <f>IF(日別集計!N135="","",日別集計!N135)</f>
        <v>2</v>
      </c>
      <c r="O135" s="50">
        <f>IF(日別集計!O135="","",日別集計!O135)</f>
        <v>2</v>
      </c>
      <c r="P135" s="50">
        <f>IF(日別集計!P135="","",日別集計!P135)</f>
        <v>0</v>
      </c>
      <c r="Q135" s="50">
        <f>IF(日別集計!Q135="","",日別集計!Q135)</f>
        <v>2</v>
      </c>
    </row>
    <row r="136" spans="1:17" ht="16.5" x14ac:dyDescent="0.3">
      <c r="A136" s="51">
        <f>IF(日別集計!A136="","",日別集計!A136)</f>
        <v>46263</v>
      </c>
      <c r="B136" s="52" t="str">
        <f>IF(日別集計!B136="","",日別集計!B136)</f>
        <v>土</v>
      </c>
      <c r="C136" s="53">
        <f>IF(日別集計!C136="","",日別集計!C136)</f>
        <v>0</v>
      </c>
      <c r="D136" s="53">
        <f>IF(日別集計!D136="","",日別集計!D136)</f>
        <v>0</v>
      </c>
      <c r="E136" s="53">
        <f>IF(日別集計!E136="","",日別集計!E136)</f>
        <v>0</v>
      </c>
      <c r="F136" s="53">
        <f>IF(日別集計!F136="","",日別集計!F136)</f>
        <v>0</v>
      </c>
      <c r="G136" s="53">
        <f>IF(日別集計!G136="","",日別集計!G136)</f>
        <v>0</v>
      </c>
      <c r="H136" s="53">
        <f>IF(日別集計!H136="","",日別集計!H136)</f>
        <v>0</v>
      </c>
      <c r="I136" s="53">
        <f>IF(日別集計!I136="","",日別集計!I136)</f>
        <v>0</v>
      </c>
      <c r="J136" s="53">
        <f>IF(日別集計!J136="","",日別集計!J136)</f>
        <v>0</v>
      </c>
      <c r="K136" s="53">
        <f>IF(日別集計!K136="","",日別集計!K136)</f>
        <v>0</v>
      </c>
      <c r="L136" s="53">
        <f>IF(日別集計!L136="","",日別集計!L136)</f>
        <v>0</v>
      </c>
      <c r="M136" s="53">
        <f>IF(日別集計!M136="","",日別集計!M136)</f>
        <v>0</v>
      </c>
      <c r="N136" s="53">
        <f>IF(日別集計!N136="","",日別集計!N136)</f>
        <v>1</v>
      </c>
      <c r="O136" s="53">
        <f>IF(日別集計!O136="","",日別集計!O136)</f>
        <v>1</v>
      </c>
      <c r="P136" s="53">
        <f>IF(日別集計!P136="","",日別集計!P136)</f>
        <v>0</v>
      </c>
      <c r="Q136" s="53">
        <f>IF(日別集計!Q136="","",日別集計!Q136)</f>
        <v>1</v>
      </c>
    </row>
    <row r="137" spans="1:17" ht="16.5" x14ac:dyDescent="0.3">
      <c r="A137" s="51">
        <f>IF(日別集計!A137="","",日別集計!A137)</f>
        <v>46264</v>
      </c>
      <c r="B137" s="52" t="str">
        <f>IF(日別集計!B137="","",日別集計!B137)</f>
        <v>日</v>
      </c>
      <c r="C137" s="53">
        <f>IF(日別集計!C137="","",日別集計!C137)</f>
        <v>0</v>
      </c>
      <c r="D137" s="53">
        <f>IF(日別集計!D137="","",日別集計!D137)</f>
        <v>0</v>
      </c>
      <c r="E137" s="53">
        <f>IF(日別集計!E137="","",日別集計!E137)</f>
        <v>0</v>
      </c>
      <c r="F137" s="53">
        <f>IF(日別集計!F137="","",日別集計!F137)</f>
        <v>0</v>
      </c>
      <c r="G137" s="53">
        <f>IF(日別集計!G137="","",日別集計!G137)</f>
        <v>0</v>
      </c>
      <c r="H137" s="53">
        <f>IF(日別集計!H137="","",日別集計!H137)</f>
        <v>0</v>
      </c>
      <c r="I137" s="53">
        <f>IF(日別集計!I137="","",日別集計!I137)</f>
        <v>0</v>
      </c>
      <c r="J137" s="53">
        <f>IF(日別集計!J137="","",日別集計!J137)</f>
        <v>0</v>
      </c>
      <c r="K137" s="53">
        <f>IF(日別集計!K137="","",日別集計!K137)</f>
        <v>0</v>
      </c>
      <c r="L137" s="53">
        <f>IF(日別集計!L137="","",日別集計!L137)</f>
        <v>2</v>
      </c>
      <c r="M137" s="53">
        <f>IF(日別集計!M137="","",日別集計!M137)</f>
        <v>0</v>
      </c>
      <c r="N137" s="53">
        <f>IF(日別集計!N137="","",日別集計!N137)</f>
        <v>4</v>
      </c>
      <c r="O137" s="53">
        <f>IF(日別集計!O137="","",日別集計!O137)</f>
        <v>4</v>
      </c>
      <c r="P137" s="53">
        <f>IF(日別集計!P137="","",日別集計!P137)</f>
        <v>2</v>
      </c>
      <c r="Q137" s="53">
        <f>IF(日別集計!Q137="","",日別集計!Q137)</f>
        <v>6</v>
      </c>
    </row>
    <row r="138" spans="1:17" ht="16.5" x14ac:dyDescent="0.3">
      <c r="A138" s="48">
        <f>IF(日別集計!A138="","",日別集計!A138)</f>
        <v>46265</v>
      </c>
      <c r="B138" s="49" t="str">
        <f>IF(日別集計!B138="","",日別集計!B138)</f>
        <v>月</v>
      </c>
      <c r="C138" s="50">
        <f>IF(日別集計!C138="","",日別集計!C138)</f>
        <v>0</v>
      </c>
      <c r="D138" s="50">
        <f>IF(日別集計!D138="","",日別集計!D138)</f>
        <v>0</v>
      </c>
      <c r="E138" s="50">
        <f>IF(日別集計!E138="","",日別集計!E138)</f>
        <v>0</v>
      </c>
      <c r="F138" s="50">
        <f>IF(日別集計!F138="","",日別集計!F138)</f>
        <v>0</v>
      </c>
      <c r="G138" s="50">
        <f>IF(日別集計!G138="","",日別集計!G138)</f>
        <v>0</v>
      </c>
      <c r="H138" s="50">
        <f>IF(日別集計!H138="","",日別集計!H138)</f>
        <v>0</v>
      </c>
      <c r="I138" s="50">
        <f>IF(日別集計!I138="","",日別集計!I138)</f>
        <v>0</v>
      </c>
      <c r="J138" s="50">
        <f>IF(日別集計!J138="","",日別集計!J138)</f>
        <v>3</v>
      </c>
      <c r="K138" s="50">
        <f>IF(日別集計!K138="","",日別集計!K138)</f>
        <v>0</v>
      </c>
      <c r="L138" s="50">
        <f>IF(日別集計!L138="","",日別集計!L138)</f>
        <v>0</v>
      </c>
      <c r="M138" s="50">
        <f>IF(日別集計!M138="","",日別集計!M138)</f>
        <v>0</v>
      </c>
      <c r="N138" s="50">
        <f>IF(日別集計!N138="","",日別集計!N138)</f>
        <v>0</v>
      </c>
      <c r="O138" s="50">
        <f>IF(日別集計!O138="","",日別集計!O138)</f>
        <v>2</v>
      </c>
      <c r="P138" s="50">
        <f>IF(日別集計!P138="","",日別集計!P138)</f>
        <v>1</v>
      </c>
      <c r="Q138" s="50">
        <f>IF(日別集計!Q138="","",日別集計!Q138)</f>
        <v>3</v>
      </c>
    </row>
    <row r="139" spans="1:17" ht="16.5" x14ac:dyDescent="0.3">
      <c r="A139" s="48">
        <f>IF(日別集計!A139="","",日別集計!A139)</f>
        <v>46266</v>
      </c>
      <c r="B139" s="49" t="str">
        <f>IF(日別集計!B139="","",日別集計!B139)</f>
        <v>火</v>
      </c>
      <c r="C139" s="50">
        <f>IF(日別集計!C139="","",日別集計!C139)</f>
        <v>0</v>
      </c>
      <c r="D139" s="50">
        <f>IF(日別集計!D139="","",日別集計!D139)</f>
        <v>0</v>
      </c>
      <c r="E139" s="50">
        <f>IF(日別集計!E139="","",日別集計!E139)</f>
        <v>0</v>
      </c>
      <c r="F139" s="50">
        <f>IF(日別集計!F139="","",日別集計!F139)</f>
        <v>0</v>
      </c>
      <c r="G139" s="50">
        <f>IF(日別集計!G139="","",日別集計!G139)</f>
        <v>0</v>
      </c>
      <c r="H139" s="50">
        <f>IF(日別集計!H139="","",日別集計!H139)</f>
        <v>0</v>
      </c>
      <c r="I139" s="50">
        <f>IF(日別集計!I139="","",日別集計!I139)</f>
        <v>0</v>
      </c>
      <c r="J139" s="50">
        <f>IF(日別集計!J139="","",日別集計!J139)</f>
        <v>1</v>
      </c>
      <c r="K139" s="50">
        <f>IF(日別集計!K139="","",日別集計!K139)</f>
        <v>0</v>
      </c>
      <c r="L139" s="50">
        <f>IF(日別集計!L139="","",日別集計!L139)</f>
        <v>0</v>
      </c>
      <c r="M139" s="50">
        <f>IF(日別集計!M139="","",日別集計!M139)</f>
        <v>2</v>
      </c>
      <c r="N139" s="50">
        <f>IF(日別集計!N139="","",日別集計!N139)</f>
        <v>0</v>
      </c>
      <c r="O139" s="50">
        <f>IF(日別集計!O139="","",日別集計!O139)</f>
        <v>2</v>
      </c>
      <c r="P139" s="50">
        <f>IF(日別集計!P139="","",日別集計!P139)</f>
        <v>1</v>
      </c>
      <c r="Q139" s="50">
        <f>IF(日別集計!Q139="","",日別集計!Q139)</f>
        <v>3</v>
      </c>
    </row>
    <row r="140" spans="1:17" ht="16.5" x14ac:dyDescent="0.3">
      <c r="A140" s="48">
        <f>IF(日別集計!A140="","",日別集計!A140)</f>
        <v>46267</v>
      </c>
      <c r="B140" s="49" t="str">
        <f>IF(日別集計!B140="","",日別集計!B140)</f>
        <v>水</v>
      </c>
      <c r="C140" s="50">
        <f>IF(日別集計!C140="","",日別集計!C140)</f>
        <v>0</v>
      </c>
      <c r="D140" s="50">
        <f>IF(日別集計!D140="","",日別集計!D140)</f>
        <v>0</v>
      </c>
      <c r="E140" s="50">
        <f>IF(日別集計!E140="","",日別集計!E140)</f>
        <v>0</v>
      </c>
      <c r="F140" s="50">
        <f>IF(日別集計!F140="","",日別集計!F140)</f>
        <v>0</v>
      </c>
      <c r="G140" s="50">
        <f>IF(日別集計!G140="","",日別集計!G140)</f>
        <v>0</v>
      </c>
      <c r="H140" s="50">
        <f>IF(日別集計!H140="","",日別集計!H140)</f>
        <v>0</v>
      </c>
      <c r="I140" s="50">
        <f>IF(日別集計!I140="","",日別集計!I140)</f>
        <v>0</v>
      </c>
      <c r="J140" s="50">
        <f>IF(日別集計!J140="","",日別集計!J140)</f>
        <v>0</v>
      </c>
      <c r="K140" s="50">
        <f>IF(日別集計!K140="","",日別集計!K140)</f>
        <v>0</v>
      </c>
      <c r="L140" s="50">
        <f>IF(日別集計!L140="","",日別集計!L140)</f>
        <v>0</v>
      </c>
      <c r="M140" s="50">
        <f>IF(日別集計!M140="","",日別集計!M140)</f>
        <v>3</v>
      </c>
      <c r="N140" s="50">
        <f>IF(日別集計!N140="","",日別集計!N140)</f>
        <v>0</v>
      </c>
      <c r="O140" s="50">
        <f>IF(日別集計!O140="","",日別集計!O140)</f>
        <v>3</v>
      </c>
      <c r="P140" s="50">
        <f>IF(日別集計!P140="","",日別集計!P140)</f>
        <v>0</v>
      </c>
      <c r="Q140" s="50">
        <f>IF(日別集計!Q140="","",日別集計!Q140)</f>
        <v>3</v>
      </c>
    </row>
    <row r="141" spans="1:17" ht="16.5" x14ac:dyDescent="0.3">
      <c r="A141" s="54" t="str">
        <f>IF(日別集計!A141="","",日別集計!A141)</f>
        <v>合計</v>
      </c>
      <c r="B141" s="55" t="str">
        <f>IF(日別集計!B141="","",日別集計!B141)</f>
        <v/>
      </c>
      <c r="C141" s="56">
        <f>IF(日別集計!C141="","",日別集計!C141)</f>
        <v>0</v>
      </c>
      <c r="D141" s="56">
        <f>IF(日別集計!D141="","",日別集計!D141)</f>
        <v>7</v>
      </c>
      <c r="E141" s="56">
        <f>IF(日別集計!E141="","",日別集計!E141)</f>
        <v>6</v>
      </c>
      <c r="F141" s="56">
        <f>IF(日別集計!F141="","",日別集計!F141)</f>
        <v>30</v>
      </c>
      <c r="G141" s="56">
        <f>IF(日別集計!G141="","",日別集計!G141)</f>
        <v>51</v>
      </c>
      <c r="H141" s="56">
        <f>IF(日別集計!H141="","",日別集計!H141)</f>
        <v>87</v>
      </c>
      <c r="I141" s="56">
        <f>IF(日別集計!I141="","",日別集計!I141)</f>
        <v>22</v>
      </c>
      <c r="J141" s="56">
        <f>IF(日別集計!J141="","",日別集計!J141)</f>
        <v>28</v>
      </c>
      <c r="K141" s="56">
        <f>IF(日別集計!K141="","",日別集計!K141)</f>
        <v>19</v>
      </c>
      <c r="L141" s="56">
        <f>IF(日別集計!L141="","",日別集計!L141)</f>
        <v>8</v>
      </c>
      <c r="M141" s="56">
        <f>IF(日別集計!M141="","",日別集計!M141)</f>
        <v>9</v>
      </c>
      <c r="N141" s="56">
        <f>IF(日別集計!N141="","",日別集計!N141)</f>
        <v>9</v>
      </c>
      <c r="O141" s="56">
        <f>IF(日別集計!O141="","",日別集計!O141)</f>
        <v>180</v>
      </c>
      <c r="P141" s="56">
        <f>IF(日別集計!P141="","",日別集計!P141)</f>
        <v>96</v>
      </c>
      <c r="Q141" s="56">
        <f>IF(日別集計!Q141="","",日別集計!Q141)</f>
        <v>276</v>
      </c>
    </row>
  </sheetData>
  <printOptions horizontalCentered="1"/>
  <pageMargins left="0.4" right="0.4" top="0.5" bottom="0.5" header="0.25" footer="0.25"/>
  <pageSetup paperSize="9" fitToHeight="0" orientation="portrait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  <pageSetUpPr fitToPage="1"/>
  </sheetPr>
  <dimension ref="A1:R140"/>
  <sheetViews>
    <sheetView zoomScale="90" zoomScaleNormal="90" workbookViewId="0"/>
  </sheetViews>
  <sheetFormatPr defaultColWidth="8.7421875" defaultRowHeight="15" x14ac:dyDescent="0.2"/>
  <cols>
    <col min="1" max="1" width="6.05078125" customWidth="1"/>
    <col min="2" max="2" width="3.49609375" customWidth="1"/>
    <col min="3" max="14" width="6.9921875" customWidth="1"/>
    <col min="15" max="17" width="6.05078125" customWidth="1"/>
    <col min="18" max="18" width="43.98828125" customWidth="1"/>
  </cols>
  <sheetData>
    <row r="1" spans="1:18" ht="18.75" x14ac:dyDescent="0.25">
      <c r="A1" s="3" t="s">
        <v>495</v>
      </c>
    </row>
    <row r="2" spans="1:18" x14ac:dyDescent="0.2">
      <c r="A2" s="15" t="s">
        <v>496</v>
      </c>
    </row>
    <row r="4" spans="1:18" ht="39.75" customHeight="1" x14ac:dyDescent="0.2">
      <c r="A4" s="5" t="s">
        <v>105</v>
      </c>
      <c r="B4" s="5" t="s">
        <v>106</v>
      </c>
      <c r="C4" s="5" t="s">
        <v>422</v>
      </c>
      <c r="D4" s="5" t="s">
        <v>423</v>
      </c>
      <c r="E4" s="5" t="s">
        <v>424</v>
      </c>
      <c r="F4" s="5" t="s">
        <v>425</v>
      </c>
      <c r="G4" s="5" t="s">
        <v>426</v>
      </c>
      <c r="H4" s="5" t="s">
        <v>427</v>
      </c>
      <c r="I4" s="5" t="s">
        <v>428</v>
      </c>
      <c r="J4" s="5" t="s">
        <v>429</v>
      </c>
      <c r="K4" s="5" t="s">
        <v>430</v>
      </c>
      <c r="L4" s="5" t="s">
        <v>431</v>
      </c>
      <c r="M4" s="5" t="s">
        <v>432</v>
      </c>
      <c r="N4" s="5" t="s">
        <v>433</v>
      </c>
      <c r="O4" s="5" t="s">
        <v>434</v>
      </c>
      <c r="P4" s="5" t="s">
        <v>435</v>
      </c>
      <c r="Q4" s="5" t="s">
        <v>436</v>
      </c>
      <c r="R4" s="5" t="s">
        <v>437</v>
      </c>
    </row>
    <row r="5" spans="1:18" ht="16.5" x14ac:dyDescent="0.3">
      <c r="A5" s="48">
        <f>IF(日別集計!A5="","",日別集計!A5)</f>
        <v>46132</v>
      </c>
      <c r="B5" s="49" t="str">
        <f>IF(日別集計!B5="","",日別集計!B5)</f>
        <v>月</v>
      </c>
      <c r="C5" s="50">
        <f>IF(日別集計!R5="","",日別集計!R5)</f>
        <v>0</v>
      </c>
      <c r="D5" s="50">
        <f>IF(日別集計!S5="","",日別集計!S5)</f>
        <v>2</v>
      </c>
      <c r="E5" s="50">
        <f>IF(日別集計!T5="","",日別集計!T5)</f>
        <v>0</v>
      </c>
      <c r="F5" s="50">
        <f>IF(日別集計!U5="","",日別集計!U5)</f>
        <v>0</v>
      </c>
      <c r="G5" s="50">
        <f>IF(日別集計!V5="","",日別集計!V5)</f>
        <v>0</v>
      </c>
      <c r="H5" s="50">
        <f>IF(日別集計!W5="","",日別集計!W5)</f>
        <v>0</v>
      </c>
      <c r="I5" s="50">
        <f>IF(日別集計!X5="","",日別集計!X5)</f>
        <v>0</v>
      </c>
      <c r="J5" s="50">
        <f>IF(日別集計!Y5="","",日別集計!Y5)</f>
        <v>0</v>
      </c>
      <c r="K5" s="50">
        <f>IF(日別集計!Z5="","",日別集計!Z5)</f>
        <v>0</v>
      </c>
      <c r="L5" s="50">
        <f>IF(日別集計!AA5="","",日別集計!AA5)</f>
        <v>0</v>
      </c>
      <c r="M5" s="50">
        <f>IF(日別集計!AB5="","",日別集計!AB5)</f>
        <v>0</v>
      </c>
      <c r="N5" s="50">
        <f>IF(日別集計!AC5="","",日別集計!AC5)</f>
        <v>0</v>
      </c>
      <c r="O5" s="50">
        <f>IF(日別集計!AD5="","",日別集計!AD5)</f>
        <v>2</v>
      </c>
      <c r="P5" s="50">
        <f>IF(日別集計!AE5="","",日別集計!AE5)</f>
        <v>0</v>
      </c>
      <c r="Q5" s="50">
        <f>IF(日別集計!AF5="","",日別集計!AF5)</f>
        <v>2</v>
      </c>
      <c r="R5" s="57" t="str">
        <f>IF(日別集計!AG5="","",日別集計!AG5)</f>
        <v>敷地整地</v>
      </c>
    </row>
    <row r="6" spans="1:18" ht="16.5" x14ac:dyDescent="0.3">
      <c r="A6" s="48">
        <f>IF(日別集計!A6="","",日別集計!A6)</f>
        <v>46133</v>
      </c>
      <c r="B6" s="49" t="str">
        <f>IF(日別集計!B6="","",日別集計!B6)</f>
        <v>火</v>
      </c>
      <c r="C6" s="50">
        <f>IF(日別集計!R6="","",日別集計!R6)</f>
        <v>0</v>
      </c>
      <c r="D6" s="50">
        <f>IF(日別集計!S6="","",日別集計!S6)</f>
        <v>4</v>
      </c>
      <c r="E6" s="50">
        <f>IF(日別集計!T6="","",日別集計!T6)</f>
        <v>0</v>
      </c>
      <c r="F6" s="50">
        <f>IF(日別集計!U6="","",日別集計!U6)</f>
        <v>0</v>
      </c>
      <c r="G6" s="50">
        <f>IF(日別集計!V6="","",日別集計!V6)</f>
        <v>0</v>
      </c>
      <c r="H6" s="50">
        <f>IF(日別集計!W6="","",日別集計!W6)</f>
        <v>0</v>
      </c>
      <c r="I6" s="50">
        <f>IF(日別集計!X6="","",日別集計!X6)</f>
        <v>0</v>
      </c>
      <c r="J6" s="50">
        <f>IF(日別集計!Y6="","",日別集計!Y6)</f>
        <v>0</v>
      </c>
      <c r="K6" s="50">
        <f>IF(日別集計!Z6="","",日別集計!Z6)</f>
        <v>0</v>
      </c>
      <c r="L6" s="50">
        <f>IF(日別集計!AA6="","",日別集計!AA6)</f>
        <v>0</v>
      </c>
      <c r="M6" s="50">
        <f>IF(日別集計!AB6="","",日別集計!AB6)</f>
        <v>0</v>
      </c>
      <c r="N6" s="50">
        <f>IF(日別集計!AC6="","",日別集計!AC6)</f>
        <v>0</v>
      </c>
      <c r="O6" s="50">
        <f>IF(日別集計!AD6="","",日別集計!AD6)</f>
        <v>4</v>
      </c>
      <c r="P6" s="50">
        <f>IF(日別集計!AE6="","",日別集計!AE6)</f>
        <v>0</v>
      </c>
      <c r="Q6" s="50">
        <f>IF(日別集計!AF6="","",日別集計!AF6)</f>
        <v>4</v>
      </c>
      <c r="R6" s="57" t="str">
        <f>IF(日別集計!AG6="","",日別集計!AG6)</f>
        <v>敷地整地</v>
      </c>
    </row>
    <row r="7" spans="1:18" ht="16.5" x14ac:dyDescent="0.3">
      <c r="A7" s="48">
        <f>IF(日別集計!A7="","",日別集計!A7)</f>
        <v>46134</v>
      </c>
      <c r="B7" s="49" t="str">
        <f>IF(日別集計!B7="","",日別集計!B7)</f>
        <v>水</v>
      </c>
      <c r="C7" s="50">
        <f>IF(日別集計!R7="","",日別集計!R7)</f>
        <v>0</v>
      </c>
      <c r="D7" s="50">
        <f>IF(日別集計!S7="","",日別集計!S7)</f>
        <v>7</v>
      </c>
      <c r="E7" s="50">
        <f>IF(日別集計!T7="","",日別集計!T7)</f>
        <v>0</v>
      </c>
      <c r="F7" s="50">
        <f>IF(日別集計!U7="","",日別集計!U7)</f>
        <v>0</v>
      </c>
      <c r="G7" s="50">
        <f>IF(日別集計!V7="","",日別集計!V7)</f>
        <v>0</v>
      </c>
      <c r="H7" s="50">
        <f>IF(日別集計!W7="","",日別集計!W7)</f>
        <v>0</v>
      </c>
      <c r="I7" s="50">
        <f>IF(日別集計!X7="","",日別集計!X7)</f>
        <v>0</v>
      </c>
      <c r="J7" s="50">
        <f>IF(日別集計!Y7="","",日別集計!Y7)</f>
        <v>0</v>
      </c>
      <c r="K7" s="50">
        <f>IF(日別集計!Z7="","",日別集計!Z7)</f>
        <v>0</v>
      </c>
      <c r="L7" s="50">
        <f>IF(日別集計!AA7="","",日別集計!AA7)</f>
        <v>0</v>
      </c>
      <c r="M7" s="50">
        <f>IF(日別集計!AB7="","",日別集計!AB7)</f>
        <v>0</v>
      </c>
      <c r="N7" s="50">
        <f>IF(日別集計!AC7="","",日別集計!AC7)</f>
        <v>0</v>
      </c>
      <c r="O7" s="50">
        <f>IF(日別集計!AD7="","",日別集計!AD7)</f>
        <v>7</v>
      </c>
      <c r="P7" s="50">
        <f>IF(日別集計!AE7="","",日別集計!AE7)</f>
        <v>0</v>
      </c>
      <c r="Q7" s="50">
        <f>IF(日別集計!AF7="","",日別集計!AF7)</f>
        <v>7</v>
      </c>
      <c r="R7" s="57" t="str">
        <f>IF(日別集計!AG7="","",日別集計!AG7)</f>
        <v>敷地整地</v>
      </c>
    </row>
    <row r="8" spans="1:18" ht="16.5" x14ac:dyDescent="0.3">
      <c r="A8" s="48">
        <f>IF(日別集計!A8="","",日別集計!A8)</f>
        <v>46135</v>
      </c>
      <c r="B8" s="49" t="str">
        <f>IF(日別集計!B8="","",日別集計!B8)</f>
        <v>木</v>
      </c>
      <c r="C8" s="50">
        <f>IF(日別集計!R8="","",日別集計!R8)</f>
        <v>0</v>
      </c>
      <c r="D8" s="50">
        <f>IF(日別集計!S8="","",日別集計!S8)</f>
        <v>7</v>
      </c>
      <c r="E8" s="50">
        <f>IF(日別集計!T8="","",日別集計!T8)</f>
        <v>0</v>
      </c>
      <c r="F8" s="50">
        <f>IF(日別集計!U8="","",日別集計!U8)</f>
        <v>0</v>
      </c>
      <c r="G8" s="50">
        <f>IF(日別集計!V8="","",日別集計!V8)</f>
        <v>0</v>
      </c>
      <c r="H8" s="50">
        <f>IF(日別集計!W8="","",日別集計!W8)</f>
        <v>0</v>
      </c>
      <c r="I8" s="50">
        <f>IF(日別集計!X8="","",日別集計!X8)</f>
        <v>0</v>
      </c>
      <c r="J8" s="50">
        <f>IF(日別集計!Y8="","",日別集計!Y8)</f>
        <v>0</v>
      </c>
      <c r="K8" s="50">
        <f>IF(日別集計!Z8="","",日別集計!Z8)</f>
        <v>0</v>
      </c>
      <c r="L8" s="50">
        <f>IF(日別集計!AA8="","",日別集計!AA8)</f>
        <v>0</v>
      </c>
      <c r="M8" s="50">
        <f>IF(日別集計!AB8="","",日別集計!AB8)</f>
        <v>0</v>
      </c>
      <c r="N8" s="50">
        <f>IF(日別集計!AC8="","",日別集計!AC8)</f>
        <v>0</v>
      </c>
      <c r="O8" s="50">
        <f>IF(日別集計!AD8="","",日別集計!AD8)</f>
        <v>7</v>
      </c>
      <c r="P8" s="50">
        <f>IF(日別集計!AE8="","",日別集計!AE8)</f>
        <v>0</v>
      </c>
      <c r="Q8" s="50">
        <f>IF(日別集計!AF8="","",日別集計!AF8)</f>
        <v>7</v>
      </c>
      <c r="R8" s="57" t="str">
        <f>IF(日別集計!AG8="","",日別集計!AG8)</f>
        <v/>
      </c>
    </row>
    <row r="9" spans="1:18" ht="16.5" x14ac:dyDescent="0.3">
      <c r="A9" s="48">
        <f>IF(日別集計!A9="","",日別集計!A9)</f>
        <v>46136</v>
      </c>
      <c r="B9" s="49" t="str">
        <f>IF(日別集計!B9="","",日別集計!B9)</f>
        <v>金</v>
      </c>
      <c r="C9" s="50">
        <f>IF(日別集計!R9="","",日別集計!R9)</f>
        <v>0</v>
      </c>
      <c r="D9" s="50">
        <f>IF(日別集計!S9="","",日別集計!S9)</f>
        <v>7</v>
      </c>
      <c r="E9" s="50">
        <f>IF(日別集計!T9="","",日別集計!T9)</f>
        <v>0</v>
      </c>
      <c r="F9" s="50">
        <f>IF(日別集計!U9="","",日別集計!U9)</f>
        <v>0</v>
      </c>
      <c r="G9" s="50">
        <f>IF(日別集計!V9="","",日別集計!V9)</f>
        <v>0</v>
      </c>
      <c r="H9" s="50">
        <f>IF(日別集計!W9="","",日別集計!W9)</f>
        <v>0</v>
      </c>
      <c r="I9" s="50">
        <f>IF(日別集計!X9="","",日別集計!X9)</f>
        <v>0</v>
      </c>
      <c r="J9" s="50">
        <f>IF(日別集計!Y9="","",日別集計!Y9)</f>
        <v>0</v>
      </c>
      <c r="K9" s="50">
        <f>IF(日別集計!Z9="","",日別集計!Z9)</f>
        <v>0</v>
      </c>
      <c r="L9" s="50">
        <f>IF(日別集計!AA9="","",日別集計!AA9)</f>
        <v>0</v>
      </c>
      <c r="M9" s="50">
        <f>IF(日別集計!AB9="","",日別集計!AB9)</f>
        <v>0</v>
      </c>
      <c r="N9" s="50">
        <f>IF(日別集計!AC9="","",日別集計!AC9)</f>
        <v>0</v>
      </c>
      <c r="O9" s="50">
        <f>IF(日別集計!AD9="","",日別集計!AD9)</f>
        <v>7</v>
      </c>
      <c r="P9" s="50">
        <f>IF(日別集計!AE9="","",日別集計!AE9)</f>
        <v>0</v>
      </c>
      <c r="Q9" s="50">
        <f>IF(日別集計!AF9="","",日別集計!AF9)</f>
        <v>7</v>
      </c>
      <c r="R9" s="57" t="str">
        <f>IF(日別集計!AG9="","",日別集計!AG9)</f>
        <v/>
      </c>
    </row>
    <row r="10" spans="1:18" ht="16.5" x14ac:dyDescent="0.3">
      <c r="A10" s="51">
        <f>IF(日別集計!A10="","",日別集計!A10)</f>
        <v>46137</v>
      </c>
      <c r="B10" s="52" t="str">
        <f>IF(日別集計!B10="","",日別集計!B10)</f>
        <v>土</v>
      </c>
      <c r="C10" s="53">
        <f>IF(日別集計!R10="","",日別集計!R10)</f>
        <v>0</v>
      </c>
      <c r="D10" s="53">
        <f>IF(日別集計!S10="","",日別集計!S10)</f>
        <v>7</v>
      </c>
      <c r="E10" s="53">
        <f>IF(日別集計!T10="","",日別集計!T10)</f>
        <v>0</v>
      </c>
      <c r="F10" s="53">
        <f>IF(日別集計!U10="","",日別集計!U10)</f>
        <v>0</v>
      </c>
      <c r="G10" s="53">
        <f>IF(日別集計!V10="","",日別集計!V10)</f>
        <v>0</v>
      </c>
      <c r="H10" s="53">
        <f>IF(日別集計!W10="","",日別集計!W10)</f>
        <v>0</v>
      </c>
      <c r="I10" s="53">
        <f>IF(日別集計!X10="","",日別集計!X10)</f>
        <v>0</v>
      </c>
      <c r="J10" s="53">
        <f>IF(日別集計!Y10="","",日別集計!Y10)</f>
        <v>0</v>
      </c>
      <c r="K10" s="53">
        <f>IF(日別集計!Z10="","",日別集計!Z10)</f>
        <v>0</v>
      </c>
      <c r="L10" s="53">
        <f>IF(日別集計!AA10="","",日別集計!AA10)</f>
        <v>0</v>
      </c>
      <c r="M10" s="53">
        <f>IF(日別集計!AB10="","",日別集計!AB10)</f>
        <v>0</v>
      </c>
      <c r="N10" s="53">
        <f>IF(日別集計!AC10="","",日別集計!AC10)</f>
        <v>0</v>
      </c>
      <c r="O10" s="53">
        <f>IF(日別集計!AD10="","",日別集計!AD10)</f>
        <v>7</v>
      </c>
      <c r="P10" s="53">
        <f>IF(日別集計!AE10="","",日別集計!AE10)</f>
        <v>0</v>
      </c>
      <c r="Q10" s="53">
        <f>IF(日別集計!AF10="","",日別集計!AF10)</f>
        <v>7</v>
      </c>
      <c r="R10" s="58" t="str">
        <f>IF(日別集計!AG10="","",日別集計!AG10)</f>
        <v/>
      </c>
    </row>
    <row r="11" spans="1:18" ht="16.5" x14ac:dyDescent="0.3">
      <c r="A11" s="51">
        <f>IF(日別集計!A11="","",日別集計!A11)</f>
        <v>46138</v>
      </c>
      <c r="B11" s="52" t="str">
        <f>IF(日別集計!B11="","",日別集計!B11)</f>
        <v>日</v>
      </c>
      <c r="C11" s="53">
        <f>IF(日別集計!R11="","",日別集計!R11)</f>
        <v>0</v>
      </c>
      <c r="D11" s="53">
        <f>IF(日別集計!S11="","",日別集計!S11)</f>
        <v>7</v>
      </c>
      <c r="E11" s="53">
        <f>IF(日別集計!T11="","",日別集計!T11)</f>
        <v>0</v>
      </c>
      <c r="F11" s="53">
        <f>IF(日別集計!U11="","",日別集計!U11)</f>
        <v>0</v>
      </c>
      <c r="G11" s="53">
        <f>IF(日別集計!V11="","",日別集計!V11)</f>
        <v>0</v>
      </c>
      <c r="H11" s="53">
        <f>IF(日別集計!W11="","",日別集計!W11)</f>
        <v>0</v>
      </c>
      <c r="I11" s="53">
        <f>IF(日別集計!X11="","",日別集計!X11)</f>
        <v>0</v>
      </c>
      <c r="J11" s="53">
        <f>IF(日別集計!Y11="","",日別集計!Y11)</f>
        <v>0</v>
      </c>
      <c r="K11" s="53">
        <f>IF(日別集計!Z11="","",日別集計!Z11)</f>
        <v>0</v>
      </c>
      <c r="L11" s="53">
        <f>IF(日別集計!AA11="","",日別集計!AA11)</f>
        <v>0</v>
      </c>
      <c r="M11" s="53">
        <f>IF(日別集計!AB11="","",日別集計!AB11)</f>
        <v>0</v>
      </c>
      <c r="N11" s="53">
        <f>IF(日別集計!AC11="","",日別集計!AC11)</f>
        <v>0</v>
      </c>
      <c r="O11" s="53">
        <f>IF(日別集計!AD11="","",日別集計!AD11)</f>
        <v>7</v>
      </c>
      <c r="P11" s="53">
        <f>IF(日別集計!AE11="","",日別集計!AE11)</f>
        <v>0</v>
      </c>
      <c r="Q11" s="53">
        <f>IF(日別集計!AF11="","",日別集計!AF11)</f>
        <v>7</v>
      </c>
      <c r="R11" s="58" t="str">
        <f>IF(日別集計!AG11="","",日別集計!AG11)</f>
        <v/>
      </c>
    </row>
    <row r="12" spans="1:18" ht="16.5" x14ac:dyDescent="0.3">
      <c r="A12" s="48">
        <f>IF(日別集計!A12="","",日別集計!A12)</f>
        <v>46139</v>
      </c>
      <c r="B12" s="49" t="str">
        <f>IF(日別集計!B12="","",日別集計!B12)</f>
        <v>月</v>
      </c>
      <c r="C12" s="50">
        <f>IF(日別集計!R12="","",日別集計!R12)</f>
        <v>0</v>
      </c>
      <c r="D12" s="50">
        <f>IF(日別集計!S12="","",日別集計!S12)</f>
        <v>7</v>
      </c>
      <c r="E12" s="50">
        <f>IF(日別集計!T12="","",日別集計!T12)</f>
        <v>0</v>
      </c>
      <c r="F12" s="50">
        <f>IF(日別集計!U12="","",日別集計!U12)</f>
        <v>0</v>
      </c>
      <c r="G12" s="50">
        <f>IF(日別集計!V12="","",日別集計!V12)</f>
        <v>0</v>
      </c>
      <c r="H12" s="50">
        <f>IF(日別集計!W12="","",日別集計!W12)</f>
        <v>0</v>
      </c>
      <c r="I12" s="50">
        <f>IF(日別集計!X12="","",日別集計!X12)</f>
        <v>0</v>
      </c>
      <c r="J12" s="50">
        <f>IF(日別集計!Y12="","",日別集計!Y12)</f>
        <v>0</v>
      </c>
      <c r="K12" s="50">
        <f>IF(日別集計!Z12="","",日別集計!Z12)</f>
        <v>0</v>
      </c>
      <c r="L12" s="50">
        <f>IF(日別集計!AA12="","",日別集計!AA12)</f>
        <v>0</v>
      </c>
      <c r="M12" s="50">
        <f>IF(日別集計!AB12="","",日別集計!AB12)</f>
        <v>0</v>
      </c>
      <c r="N12" s="50">
        <f>IF(日別集計!AC12="","",日別集計!AC12)</f>
        <v>0</v>
      </c>
      <c r="O12" s="50">
        <f>IF(日別集計!AD12="","",日別集計!AD12)</f>
        <v>7</v>
      </c>
      <c r="P12" s="50">
        <f>IF(日別集計!AE12="","",日別集計!AE12)</f>
        <v>0</v>
      </c>
      <c r="Q12" s="50">
        <f>IF(日別集計!AF12="","",日別集計!AF12)</f>
        <v>7</v>
      </c>
      <c r="R12" s="57" t="str">
        <f>IF(日別集計!AG12="","",日別集計!AG12)</f>
        <v/>
      </c>
    </row>
    <row r="13" spans="1:18" ht="16.5" x14ac:dyDescent="0.3">
      <c r="A13" s="48">
        <f>IF(日別集計!A13="","",日別集計!A13)</f>
        <v>46140</v>
      </c>
      <c r="B13" s="49" t="str">
        <f>IF(日別集計!B13="","",日別集計!B13)</f>
        <v>火</v>
      </c>
      <c r="C13" s="50">
        <f>IF(日別集計!R13="","",日別集計!R13)</f>
        <v>0</v>
      </c>
      <c r="D13" s="50">
        <f>IF(日別集計!S13="","",日別集計!S13)</f>
        <v>7</v>
      </c>
      <c r="E13" s="50">
        <f>IF(日別集計!T13="","",日別集計!T13)</f>
        <v>0</v>
      </c>
      <c r="F13" s="50">
        <f>IF(日別集計!U13="","",日別集計!U13)</f>
        <v>0</v>
      </c>
      <c r="G13" s="50">
        <f>IF(日別集計!V13="","",日別集計!V13)</f>
        <v>0</v>
      </c>
      <c r="H13" s="50">
        <f>IF(日別集計!W13="","",日別集計!W13)</f>
        <v>0</v>
      </c>
      <c r="I13" s="50">
        <f>IF(日別集計!X13="","",日別集計!X13)</f>
        <v>0</v>
      </c>
      <c r="J13" s="50">
        <f>IF(日別集計!Y13="","",日別集計!Y13)</f>
        <v>0</v>
      </c>
      <c r="K13" s="50">
        <f>IF(日別集計!Z13="","",日別集計!Z13)</f>
        <v>0</v>
      </c>
      <c r="L13" s="50">
        <f>IF(日別集計!AA13="","",日別集計!AA13)</f>
        <v>0</v>
      </c>
      <c r="M13" s="50">
        <f>IF(日別集計!AB13="","",日別集計!AB13)</f>
        <v>0</v>
      </c>
      <c r="N13" s="50">
        <f>IF(日別集計!AC13="","",日別集計!AC13)</f>
        <v>0</v>
      </c>
      <c r="O13" s="50">
        <f>IF(日別集計!AD13="","",日別集計!AD13)</f>
        <v>7</v>
      </c>
      <c r="P13" s="50">
        <f>IF(日別集計!AE13="","",日別集計!AE13)</f>
        <v>0</v>
      </c>
      <c r="Q13" s="50">
        <f>IF(日別集計!AF13="","",日別集計!AF13)</f>
        <v>7</v>
      </c>
      <c r="R13" s="57" t="str">
        <f>IF(日別集計!AG13="","",日別集計!AG13)</f>
        <v/>
      </c>
    </row>
    <row r="14" spans="1:18" ht="16.5" x14ac:dyDescent="0.3">
      <c r="A14" s="48">
        <f>IF(日別集計!A14="","",日別集計!A14)</f>
        <v>46141</v>
      </c>
      <c r="B14" s="49" t="str">
        <f>IF(日別集計!B14="","",日別集計!B14)</f>
        <v>水</v>
      </c>
      <c r="C14" s="50">
        <f>IF(日別集計!R14="","",日別集計!R14)</f>
        <v>0</v>
      </c>
      <c r="D14" s="50">
        <f>IF(日別集計!S14="","",日別集計!S14)</f>
        <v>7</v>
      </c>
      <c r="E14" s="50">
        <f>IF(日別集計!T14="","",日別集計!T14)</f>
        <v>0</v>
      </c>
      <c r="F14" s="50">
        <f>IF(日別集計!U14="","",日別集計!U14)</f>
        <v>0</v>
      </c>
      <c r="G14" s="50">
        <f>IF(日別集計!V14="","",日別集計!V14)</f>
        <v>0</v>
      </c>
      <c r="H14" s="50">
        <f>IF(日別集計!W14="","",日別集計!W14)</f>
        <v>0</v>
      </c>
      <c r="I14" s="50">
        <f>IF(日別集計!X14="","",日別集計!X14)</f>
        <v>0</v>
      </c>
      <c r="J14" s="50">
        <f>IF(日別集計!Y14="","",日別集計!Y14)</f>
        <v>0</v>
      </c>
      <c r="K14" s="50">
        <f>IF(日別集計!Z14="","",日別集計!Z14)</f>
        <v>0</v>
      </c>
      <c r="L14" s="50">
        <f>IF(日別集計!AA14="","",日別集計!AA14)</f>
        <v>0</v>
      </c>
      <c r="M14" s="50">
        <f>IF(日別集計!AB14="","",日別集計!AB14)</f>
        <v>0</v>
      </c>
      <c r="N14" s="50">
        <f>IF(日別集計!AC14="","",日別集計!AC14)</f>
        <v>0</v>
      </c>
      <c r="O14" s="50">
        <f>IF(日別集計!AD14="","",日別集計!AD14)</f>
        <v>7</v>
      </c>
      <c r="P14" s="50">
        <f>IF(日別集計!AE14="","",日別集計!AE14)</f>
        <v>0</v>
      </c>
      <c r="Q14" s="50">
        <f>IF(日別集計!AF14="","",日別集計!AF14)</f>
        <v>7</v>
      </c>
      <c r="R14" s="57" t="str">
        <f>IF(日別集計!AG14="","",日別集計!AG14)</f>
        <v/>
      </c>
    </row>
    <row r="15" spans="1:18" ht="16.5" x14ac:dyDescent="0.3">
      <c r="A15" s="48">
        <f>IF(日別集計!A15="","",日別集計!A15)</f>
        <v>46142</v>
      </c>
      <c r="B15" s="49" t="str">
        <f>IF(日別集計!B15="","",日別集計!B15)</f>
        <v>木</v>
      </c>
      <c r="C15" s="50">
        <f>IF(日別集計!R15="","",日別集計!R15)</f>
        <v>0</v>
      </c>
      <c r="D15" s="50">
        <f>IF(日別集計!S15="","",日別集計!S15)</f>
        <v>7</v>
      </c>
      <c r="E15" s="50">
        <f>IF(日別集計!T15="","",日別集計!T15)</f>
        <v>0</v>
      </c>
      <c r="F15" s="50">
        <f>IF(日別集計!U15="","",日別集計!U15)</f>
        <v>0</v>
      </c>
      <c r="G15" s="50">
        <f>IF(日別集計!V15="","",日別集計!V15)</f>
        <v>0</v>
      </c>
      <c r="H15" s="50">
        <f>IF(日別集計!W15="","",日別集計!W15)</f>
        <v>0</v>
      </c>
      <c r="I15" s="50">
        <f>IF(日別集計!X15="","",日別集計!X15)</f>
        <v>0</v>
      </c>
      <c r="J15" s="50">
        <f>IF(日別集計!Y15="","",日別集計!Y15)</f>
        <v>0</v>
      </c>
      <c r="K15" s="50">
        <f>IF(日別集計!Z15="","",日別集計!Z15)</f>
        <v>0</v>
      </c>
      <c r="L15" s="50">
        <f>IF(日別集計!AA15="","",日別集計!AA15)</f>
        <v>0</v>
      </c>
      <c r="M15" s="50">
        <f>IF(日別集計!AB15="","",日別集計!AB15)</f>
        <v>0</v>
      </c>
      <c r="N15" s="50">
        <f>IF(日別集計!AC15="","",日別集計!AC15)</f>
        <v>0</v>
      </c>
      <c r="O15" s="50">
        <f>IF(日別集計!AD15="","",日別集計!AD15)</f>
        <v>7</v>
      </c>
      <c r="P15" s="50">
        <f>IF(日別集計!AE15="","",日別集計!AE15)</f>
        <v>0</v>
      </c>
      <c r="Q15" s="50">
        <f>IF(日別集計!AF15="","",日別集計!AF15)</f>
        <v>7</v>
      </c>
      <c r="R15" s="57" t="str">
        <f>IF(日別集計!AG15="","",日別集計!AG15)</f>
        <v/>
      </c>
    </row>
    <row r="16" spans="1:18" ht="16.5" x14ac:dyDescent="0.3">
      <c r="A16" s="48">
        <f>IF(日別集計!A16="","",日別集計!A16)</f>
        <v>46143</v>
      </c>
      <c r="B16" s="49" t="str">
        <f>IF(日別集計!B16="","",日別集計!B16)</f>
        <v>金</v>
      </c>
      <c r="C16" s="50">
        <f>IF(日別集計!R16="","",日別集計!R16)</f>
        <v>0</v>
      </c>
      <c r="D16" s="50">
        <f>IF(日別集計!S16="","",日別集計!S16)</f>
        <v>7</v>
      </c>
      <c r="E16" s="50">
        <f>IF(日別集計!T16="","",日別集計!T16)</f>
        <v>0</v>
      </c>
      <c r="F16" s="50">
        <f>IF(日別集計!U16="","",日別集計!U16)</f>
        <v>0</v>
      </c>
      <c r="G16" s="50">
        <f>IF(日別集計!V16="","",日別集計!V16)</f>
        <v>0</v>
      </c>
      <c r="H16" s="50">
        <f>IF(日別集計!W16="","",日別集計!W16)</f>
        <v>0</v>
      </c>
      <c r="I16" s="50">
        <f>IF(日別集計!X16="","",日別集計!X16)</f>
        <v>0</v>
      </c>
      <c r="J16" s="50">
        <f>IF(日別集計!Y16="","",日別集計!Y16)</f>
        <v>0</v>
      </c>
      <c r="K16" s="50">
        <f>IF(日別集計!Z16="","",日別集計!Z16)</f>
        <v>0</v>
      </c>
      <c r="L16" s="50">
        <f>IF(日別集計!AA16="","",日別集計!AA16)</f>
        <v>0</v>
      </c>
      <c r="M16" s="50">
        <f>IF(日別集計!AB16="","",日別集計!AB16)</f>
        <v>0</v>
      </c>
      <c r="N16" s="50">
        <f>IF(日別集計!AC16="","",日別集計!AC16)</f>
        <v>0</v>
      </c>
      <c r="O16" s="50">
        <f>IF(日別集計!AD16="","",日別集計!AD16)</f>
        <v>7</v>
      </c>
      <c r="P16" s="50">
        <f>IF(日別集計!AE16="","",日別集計!AE16)</f>
        <v>0</v>
      </c>
      <c r="Q16" s="50">
        <f>IF(日別集計!AF16="","",日別集計!AF16)</f>
        <v>7</v>
      </c>
      <c r="R16" s="57" t="str">
        <f>IF(日別集計!AG16="","",日別集計!AG16)</f>
        <v/>
      </c>
    </row>
    <row r="17" spans="1:18" ht="16.5" x14ac:dyDescent="0.3">
      <c r="A17" s="51">
        <f>IF(日別集計!A17="","",日別集計!A17)</f>
        <v>46144</v>
      </c>
      <c r="B17" s="52" t="str">
        <f>IF(日別集計!B17="","",日別集計!B17)</f>
        <v>土</v>
      </c>
      <c r="C17" s="53">
        <f>IF(日別集計!R17="","",日別集計!R17)</f>
        <v>0</v>
      </c>
      <c r="D17" s="53">
        <f>IF(日別集計!S17="","",日別集計!S17)</f>
        <v>7</v>
      </c>
      <c r="E17" s="53">
        <f>IF(日別集計!T17="","",日別集計!T17)</f>
        <v>0</v>
      </c>
      <c r="F17" s="53">
        <f>IF(日別集計!U17="","",日別集計!U17)</f>
        <v>0</v>
      </c>
      <c r="G17" s="53">
        <f>IF(日別集計!V17="","",日別集計!V17)</f>
        <v>0</v>
      </c>
      <c r="H17" s="53">
        <f>IF(日別集計!W17="","",日別集計!W17)</f>
        <v>0</v>
      </c>
      <c r="I17" s="53">
        <f>IF(日別集計!X17="","",日別集計!X17)</f>
        <v>0</v>
      </c>
      <c r="J17" s="53">
        <f>IF(日別集計!Y17="","",日別集計!Y17)</f>
        <v>0</v>
      </c>
      <c r="K17" s="53">
        <f>IF(日別集計!Z17="","",日別集計!Z17)</f>
        <v>0</v>
      </c>
      <c r="L17" s="53">
        <f>IF(日別集計!AA17="","",日別集計!AA17)</f>
        <v>0</v>
      </c>
      <c r="M17" s="53">
        <f>IF(日別集計!AB17="","",日別集計!AB17)</f>
        <v>0</v>
      </c>
      <c r="N17" s="53">
        <f>IF(日別集計!AC17="","",日別集計!AC17)</f>
        <v>0</v>
      </c>
      <c r="O17" s="53">
        <f>IF(日別集計!AD17="","",日別集計!AD17)</f>
        <v>7</v>
      </c>
      <c r="P17" s="53">
        <f>IF(日別集計!AE17="","",日別集計!AE17)</f>
        <v>0</v>
      </c>
      <c r="Q17" s="53">
        <f>IF(日別集計!AF17="","",日別集計!AF17)</f>
        <v>7</v>
      </c>
      <c r="R17" s="58" t="str">
        <f>IF(日別集計!AG17="","",日別集計!AG17)</f>
        <v/>
      </c>
    </row>
    <row r="18" spans="1:18" ht="16.5" x14ac:dyDescent="0.3">
      <c r="A18" s="51">
        <f>IF(日別集計!A18="","",日別集計!A18)</f>
        <v>46145</v>
      </c>
      <c r="B18" s="52" t="str">
        <f>IF(日別集計!B18="","",日別集計!B18)</f>
        <v>日</v>
      </c>
      <c r="C18" s="53">
        <f>IF(日別集計!R18="","",日別集計!R18)</f>
        <v>0</v>
      </c>
      <c r="D18" s="53">
        <f>IF(日別集計!S18="","",日別集計!S18)</f>
        <v>7</v>
      </c>
      <c r="E18" s="53">
        <f>IF(日別集計!T18="","",日別集計!T18)</f>
        <v>0</v>
      </c>
      <c r="F18" s="53">
        <f>IF(日別集計!U18="","",日別集計!U18)</f>
        <v>0</v>
      </c>
      <c r="G18" s="53">
        <f>IF(日別集計!V18="","",日別集計!V18)</f>
        <v>0</v>
      </c>
      <c r="H18" s="53">
        <f>IF(日別集計!W18="","",日別集計!W18)</f>
        <v>0</v>
      </c>
      <c r="I18" s="53">
        <f>IF(日別集計!X18="","",日別集計!X18)</f>
        <v>0</v>
      </c>
      <c r="J18" s="53">
        <f>IF(日別集計!Y18="","",日別集計!Y18)</f>
        <v>0</v>
      </c>
      <c r="K18" s="53">
        <f>IF(日別集計!Z18="","",日別集計!Z18)</f>
        <v>0</v>
      </c>
      <c r="L18" s="53">
        <f>IF(日別集計!AA18="","",日別集計!AA18)</f>
        <v>0</v>
      </c>
      <c r="M18" s="53">
        <f>IF(日別集計!AB18="","",日別集計!AB18)</f>
        <v>0</v>
      </c>
      <c r="N18" s="53">
        <f>IF(日別集計!AC18="","",日別集計!AC18)</f>
        <v>0</v>
      </c>
      <c r="O18" s="53">
        <f>IF(日別集計!AD18="","",日別集計!AD18)</f>
        <v>7</v>
      </c>
      <c r="P18" s="53">
        <f>IF(日別集計!AE18="","",日別集計!AE18)</f>
        <v>0</v>
      </c>
      <c r="Q18" s="53">
        <f>IF(日別集計!AF18="","",日別集計!AF18)</f>
        <v>7</v>
      </c>
      <c r="R18" s="58" t="str">
        <f>IF(日別集計!AG18="","",日別集計!AG18)</f>
        <v/>
      </c>
    </row>
    <row r="19" spans="1:18" ht="16.5" x14ac:dyDescent="0.3">
      <c r="A19" s="48">
        <f>IF(日別集計!A19="","",日別集計!A19)</f>
        <v>46146</v>
      </c>
      <c r="B19" s="49" t="str">
        <f>IF(日別集計!B19="","",日別集計!B19)</f>
        <v>月</v>
      </c>
      <c r="C19" s="50">
        <f>IF(日別集計!R19="","",日別集計!R19)</f>
        <v>0</v>
      </c>
      <c r="D19" s="50">
        <f>IF(日別集計!S19="","",日別集計!S19)</f>
        <v>7</v>
      </c>
      <c r="E19" s="50">
        <f>IF(日別集計!T19="","",日別集計!T19)</f>
        <v>0</v>
      </c>
      <c r="F19" s="50">
        <f>IF(日別集計!U19="","",日別集計!U19)</f>
        <v>0</v>
      </c>
      <c r="G19" s="50">
        <f>IF(日別集計!V19="","",日別集計!V19)</f>
        <v>0</v>
      </c>
      <c r="H19" s="50">
        <f>IF(日別集計!W19="","",日別集計!W19)</f>
        <v>0</v>
      </c>
      <c r="I19" s="50">
        <f>IF(日別集計!X19="","",日別集計!X19)</f>
        <v>0</v>
      </c>
      <c r="J19" s="50">
        <f>IF(日別集計!Y19="","",日別集計!Y19)</f>
        <v>0</v>
      </c>
      <c r="K19" s="50">
        <f>IF(日別集計!Z19="","",日別集計!Z19)</f>
        <v>0</v>
      </c>
      <c r="L19" s="50">
        <f>IF(日別集計!AA19="","",日別集計!AA19)</f>
        <v>0</v>
      </c>
      <c r="M19" s="50">
        <f>IF(日別集計!AB19="","",日別集計!AB19)</f>
        <v>0</v>
      </c>
      <c r="N19" s="50">
        <f>IF(日別集計!AC19="","",日別集計!AC19)</f>
        <v>0</v>
      </c>
      <c r="O19" s="50">
        <f>IF(日別集計!AD19="","",日別集計!AD19)</f>
        <v>7</v>
      </c>
      <c r="P19" s="50">
        <f>IF(日別集計!AE19="","",日別集計!AE19)</f>
        <v>0</v>
      </c>
      <c r="Q19" s="50">
        <f>IF(日別集計!AF19="","",日別集計!AF19)</f>
        <v>7</v>
      </c>
      <c r="R19" s="57" t="str">
        <f>IF(日別集計!AG19="","",日別集計!AG19)</f>
        <v/>
      </c>
    </row>
    <row r="20" spans="1:18" ht="16.5" x14ac:dyDescent="0.3">
      <c r="A20" s="48">
        <f>IF(日別集計!A20="","",日別集計!A20)</f>
        <v>46147</v>
      </c>
      <c r="B20" s="49" t="str">
        <f>IF(日別集計!B20="","",日別集計!B20)</f>
        <v>火</v>
      </c>
      <c r="C20" s="50">
        <f>IF(日別集計!R20="","",日別集計!R20)</f>
        <v>0</v>
      </c>
      <c r="D20" s="50">
        <f>IF(日別集計!S20="","",日別集計!S20)</f>
        <v>7</v>
      </c>
      <c r="E20" s="50">
        <f>IF(日別集計!T20="","",日別集計!T20)</f>
        <v>0</v>
      </c>
      <c r="F20" s="50">
        <f>IF(日別集計!U20="","",日別集計!U20)</f>
        <v>0</v>
      </c>
      <c r="G20" s="50">
        <f>IF(日別集計!V20="","",日別集計!V20)</f>
        <v>0</v>
      </c>
      <c r="H20" s="50">
        <f>IF(日別集計!W20="","",日別集計!W20)</f>
        <v>0</v>
      </c>
      <c r="I20" s="50">
        <f>IF(日別集計!X20="","",日別集計!X20)</f>
        <v>0</v>
      </c>
      <c r="J20" s="50">
        <f>IF(日別集計!Y20="","",日別集計!Y20)</f>
        <v>0</v>
      </c>
      <c r="K20" s="50">
        <f>IF(日別集計!Z20="","",日別集計!Z20)</f>
        <v>0</v>
      </c>
      <c r="L20" s="50">
        <f>IF(日別集計!AA20="","",日別集計!AA20)</f>
        <v>0</v>
      </c>
      <c r="M20" s="50">
        <f>IF(日別集計!AB20="","",日別集計!AB20)</f>
        <v>0</v>
      </c>
      <c r="N20" s="50">
        <f>IF(日別集計!AC20="","",日別集計!AC20)</f>
        <v>0</v>
      </c>
      <c r="O20" s="50">
        <f>IF(日別集計!AD20="","",日別集計!AD20)</f>
        <v>7</v>
      </c>
      <c r="P20" s="50">
        <f>IF(日別集計!AE20="","",日別集計!AE20)</f>
        <v>0</v>
      </c>
      <c r="Q20" s="50">
        <f>IF(日別集計!AF20="","",日別集計!AF20)</f>
        <v>7</v>
      </c>
      <c r="R20" s="57" t="str">
        <f>IF(日別集計!AG20="","",日別集計!AG20)</f>
        <v/>
      </c>
    </row>
    <row r="21" spans="1:18" ht="16.5" x14ac:dyDescent="0.3">
      <c r="A21" s="48">
        <f>IF(日別集計!A21="","",日別集計!A21)</f>
        <v>46148</v>
      </c>
      <c r="B21" s="49" t="str">
        <f>IF(日別集計!B21="","",日別集計!B21)</f>
        <v>水</v>
      </c>
      <c r="C21" s="50">
        <f>IF(日別集計!R21="","",日別集計!R21)</f>
        <v>0</v>
      </c>
      <c r="D21" s="50">
        <f>IF(日別集計!S21="","",日別集計!S21)</f>
        <v>7</v>
      </c>
      <c r="E21" s="50">
        <f>IF(日別集計!T21="","",日別集計!T21)</f>
        <v>0</v>
      </c>
      <c r="F21" s="50">
        <f>IF(日別集計!U21="","",日別集計!U21)</f>
        <v>0</v>
      </c>
      <c r="G21" s="50">
        <f>IF(日別集計!V21="","",日別集計!V21)</f>
        <v>0</v>
      </c>
      <c r="H21" s="50">
        <f>IF(日別集計!W21="","",日別集計!W21)</f>
        <v>0</v>
      </c>
      <c r="I21" s="50">
        <f>IF(日別集計!X21="","",日別集計!X21)</f>
        <v>0</v>
      </c>
      <c r="J21" s="50">
        <f>IF(日別集計!Y21="","",日別集計!Y21)</f>
        <v>0</v>
      </c>
      <c r="K21" s="50">
        <f>IF(日別集計!Z21="","",日別集計!Z21)</f>
        <v>0</v>
      </c>
      <c r="L21" s="50">
        <f>IF(日別集計!AA21="","",日別集計!AA21)</f>
        <v>0</v>
      </c>
      <c r="M21" s="50">
        <f>IF(日別集計!AB21="","",日別集計!AB21)</f>
        <v>0</v>
      </c>
      <c r="N21" s="50">
        <f>IF(日別集計!AC21="","",日別集計!AC21)</f>
        <v>0</v>
      </c>
      <c r="O21" s="50">
        <f>IF(日別集計!AD21="","",日別集計!AD21)</f>
        <v>7</v>
      </c>
      <c r="P21" s="50">
        <f>IF(日別集計!AE21="","",日別集計!AE21)</f>
        <v>0</v>
      </c>
      <c r="Q21" s="50">
        <f>IF(日別集計!AF21="","",日別集計!AF21)</f>
        <v>7</v>
      </c>
      <c r="R21" s="57" t="str">
        <f>IF(日別集計!AG21="","",日別集計!AG21)</f>
        <v/>
      </c>
    </row>
    <row r="22" spans="1:18" ht="16.5" x14ac:dyDescent="0.3">
      <c r="A22" s="48">
        <f>IF(日別集計!A22="","",日別集計!A22)</f>
        <v>46149</v>
      </c>
      <c r="B22" s="49" t="str">
        <f>IF(日別集計!B22="","",日別集計!B22)</f>
        <v>木</v>
      </c>
      <c r="C22" s="50">
        <f>IF(日別集計!R22="","",日別集計!R22)</f>
        <v>0</v>
      </c>
      <c r="D22" s="50">
        <f>IF(日別集計!S22="","",日別集計!S22)</f>
        <v>7</v>
      </c>
      <c r="E22" s="50">
        <f>IF(日別集計!T22="","",日別集計!T22)</f>
        <v>0</v>
      </c>
      <c r="F22" s="50">
        <f>IF(日別集計!U22="","",日別集計!U22)</f>
        <v>0</v>
      </c>
      <c r="G22" s="50">
        <f>IF(日別集計!V22="","",日別集計!V22)</f>
        <v>0</v>
      </c>
      <c r="H22" s="50">
        <f>IF(日別集計!W22="","",日別集計!W22)</f>
        <v>0</v>
      </c>
      <c r="I22" s="50">
        <f>IF(日別集計!X22="","",日別集計!X22)</f>
        <v>0</v>
      </c>
      <c r="J22" s="50">
        <f>IF(日別集計!Y22="","",日別集計!Y22)</f>
        <v>0</v>
      </c>
      <c r="K22" s="50">
        <f>IF(日別集計!Z22="","",日別集計!Z22)</f>
        <v>0</v>
      </c>
      <c r="L22" s="50">
        <f>IF(日別集計!AA22="","",日別集計!AA22)</f>
        <v>0</v>
      </c>
      <c r="M22" s="50">
        <f>IF(日別集計!AB22="","",日別集計!AB22)</f>
        <v>0</v>
      </c>
      <c r="N22" s="50">
        <f>IF(日別集計!AC22="","",日別集計!AC22)</f>
        <v>0</v>
      </c>
      <c r="O22" s="50">
        <f>IF(日別集計!AD22="","",日別集計!AD22)</f>
        <v>7</v>
      </c>
      <c r="P22" s="50">
        <f>IF(日別集計!AE22="","",日別集計!AE22)</f>
        <v>0</v>
      </c>
      <c r="Q22" s="50">
        <f>IF(日別集計!AF22="","",日別集計!AF22)</f>
        <v>7</v>
      </c>
      <c r="R22" s="57" t="str">
        <f>IF(日別集計!AG22="","",日別集計!AG22)</f>
        <v/>
      </c>
    </row>
    <row r="23" spans="1:18" ht="16.5" x14ac:dyDescent="0.3">
      <c r="A23" s="48">
        <f>IF(日別集計!A23="","",日別集計!A23)</f>
        <v>46150</v>
      </c>
      <c r="B23" s="49" t="str">
        <f>IF(日別集計!B23="","",日別集計!B23)</f>
        <v>金</v>
      </c>
      <c r="C23" s="50">
        <f>IF(日別集計!R23="","",日別集計!R23)</f>
        <v>0</v>
      </c>
      <c r="D23" s="50">
        <f>IF(日別集計!S23="","",日別集計!S23)</f>
        <v>7</v>
      </c>
      <c r="E23" s="50">
        <f>IF(日別集計!T23="","",日別集計!T23)</f>
        <v>0</v>
      </c>
      <c r="F23" s="50">
        <f>IF(日別集計!U23="","",日別集計!U23)</f>
        <v>0</v>
      </c>
      <c r="G23" s="50">
        <f>IF(日別集計!V23="","",日別集計!V23)</f>
        <v>0</v>
      </c>
      <c r="H23" s="50">
        <f>IF(日別集計!W23="","",日別集計!W23)</f>
        <v>0</v>
      </c>
      <c r="I23" s="50">
        <f>IF(日別集計!X23="","",日別集計!X23)</f>
        <v>0</v>
      </c>
      <c r="J23" s="50">
        <f>IF(日別集計!Y23="","",日別集計!Y23)</f>
        <v>0</v>
      </c>
      <c r="K23" s="50">
        <f>IF(日別集計!Z23="","",日別集計!Z23)</f>
        <v>0</v>
      </c>
      <c r="L23" s="50">
        <f>IF(日別集計!AA23="","",日別集計!AA23)</f>
        <v>0</v>
      </c>
      <c r="M23" s="50">
        <f>IF(日別集計!AB23="","",日別集計!AB23)</f>
        <v>0</v>
      </c>
      <c r="N23" s="50">
        <f>IF(日別集計!AC23="","",日別集計!AC23)</f>
        <v>0</v>
      </c>
      <c r="O23" s="50">
        <f>IF(日別集計!AD23="","",日別集計!AD23)</f>
        <v>7</v>
      </c>
      <c r="P23" s="50">
        <f>IF(日別集計!AE23="","",日別集計!AE23)</f>
        <v>0</v>
      </c>
      <c r="Q23" s="50">
        <f>IF(日別集計!AF23="","",日別集計!AF23)</f>
        <v>7</v>
      </c>
      <c r="R23" s="57" t="str">
        <f>IF(日別集計!AG23="","",日別集計!AG23)</f>
        <v/>
      </c>
    </row>
    <row r="24" spans="1:18" ht="16.5" x14ac:dyDescent="0.3">
      <c r="A24" s="51">
        <f>IF(日別集計!A24="","",日別集計!A24)</f>
        <v>46151</v>
      </c>
      <c r="B24" s="52" t="str">
        <f>IF(日別集計!B24="","",日別集計!B24)</f>
        <v>土</v>
      </c>
      <c r="C24" s="53">
        <f>IF(日別集計!R24="","",日別集計!R24)</f>
        <v>0</v>
      </c>
      <c r="D24" s="53">
        <f>IF(日別集計!S24="","",日別集計!S24)</f>
        <v>7</v>
      </c>
      <c r="E24" s="53">
        <f>IF(日別集計!T24="","",日別集計!T24)</f>
        <v>0</v>
      </c>
      <c r="F24" s="53">
        <f>IF(日別集計!U24="","",日別集計!U24)</f>
        <v>0</v>
      </c>
      <c r="G24" s="53">
        <f>IF(日別集計!V24="","",日別集計!V24)</f>
        <v>0</v>
      </c>
      <c r="H24" s="53">
        <f>IF(日別集計!W24="","",日別集計!W24)</f>
        <v>0</v>
      </c>
      <c r="I24" s="53">
        <f>IF(日別集計!X24="","",日別集計!X24)</f>
        <v>0</v>
      </c>
      <c r="J24" s="53">
        <f>IF(日別集計!Y24="","",日別集計!Y24)</f>
        <v>0</v>
      </c>
      <c r="K24" s="53">
        <f>IF(日別集計!Z24="","",日別集計!Z24)</f>
        <v>0</v>
      </c>
      <c r="L24" s="53">
        <f>IF(日別集計!AA24="","",日別集計!AA24)</f>
        <v>0</v>
      </c>
      <c r="M24" s="53">
        <f>IF(日別集計!AB24="","",日別集計!AB24)</f>
        <v>0</v>
      </c>
      <c r="N24" s="53">
        <f>IF(日別集計!AC24="","",日別集計!AC24)</f>
        <v>0</v>
      </c>
      <c r="O24" s="53">
        <f>IF(日別集計!AD24="","",日別集計!AD24)</f>
        <v>7</v>
      </c>
      <c r="P24" s="53">
        <f>IF(日別集計!AE24="","",日別集計!AE24)</f>
        <v>0</v>
      </c>
      <c r="Q24" s="53">
        <f>IF(日別集計!AF24="","",日別集計!AF24)</f>
        <v>7</v>
      </c>
      <c r="R24" s="58" t="str">
        <f>IF(日別集計!AG24="","",日別集計!AG24)</f>
        <v/>
      </c>
    </row>
    <row r="25" spans="1:18" ht="16.5" x14ac:dyDescent="0.3">
      <c r="A25" s="51">
        <f>IF(日別集計!A25="","",日別集計!A25)</f>
        <v>46152</v>
      </c>
      <c r="B25" s="52" t="str">
        <f>IF(日別集計!B25="","",日別集計!B25)</f>
        <v>日</v>
      </c>
      <c r="C25" s="53">
        <f>IF(日別集計!R25="","",日別集計!R25)</f>
        <v>0</v>
      </c>
      <c r="D25" s="53">
        <f>IF(日別集計!S25="","",日別集計!S25)</f>
        <v>7</v>
      </c>
      <c r="E25" s="53">
        <f>IF(日別集計!T25="","",日別集計!T25)</f>
        <v>0</v>
      </c>
      <c r="F25" s="53">
        <f>IF(日別集計!U25="","",日別集計!U25)</f>
        <v>0</v>
      </c>
      <c r="G25" s="53">
        <f>IF(日別集計!V25="","",日別集計!V25)</f>
        <v>0</v>
      </c>
      <c r="H25" s="53">
        <f>IF(日別集計!W25="","",日別集計!W25)</f>
        <v>0</v>
      </c>
      <c r="I25" s="53">
        <f>IF(日別集計!X25="","",日別集計!X25)</f>
        <v>0</v>
      </c>
      <c r="J25" s="53">
        <f>IF(日別集計!Y25="","",日別集計!Y25)</f>
        <v>0</v>
      </c>
      <c r="K25" s="53">
        <f>IF(日別集計!Z25="","",日別集計!Z25)</f>
        <v>0</v>
      </c>
      <c r="L25" s="53">
        <f>IF(日別集計!AA25="","",日別集計!AA25)</f>
        <v>0</v>
      </c>
      <c r="M25" s="53">
        <f>IF(日別集計!AB25="","",日別集計!AB25)</f>
        <v>0</v>
      </c>
      <c r="N25" s="53">
        <f>IF(日別集計!AC25="","",日別集計!AC25)</f>
        <v>0</v>
      </c>
      <c r="O25" s="53">
        <f>IF(日別集計!AD25="","",日別集計!AD25)</f>
        <v>7</v>
      </c>
      <c r="P25" s="53">
        <f>IF(日別集計!AE25="","",日別集計!AE25)</f>
        <v>0</v>
      </c>
      <c r="Q25" s="53">
        <f>IF(日別集計!AF25="","",日別集計!AF25)</f>
        <v>7</v>
      </c>
      <c r="R25" s="58" t="str">
        <f>IF(日別集計!AG25="","",日別集計!AG25)</f>
        <v/>
      </c>
    </row>
    <row r="26" spans="1:18" ht="16.5" x14ac:dyDescent="0.3">
      <c r="A26" s="48">
        <f>IF(日別集計!A26="","",日別集計!A26)</f>
        <v>46153</v>
      </c>
      <c r="B26" s="49" t="str">
        <f>IF(日別集計!B26="","",日別集計!B26)</f>
        <v>月</v>
      </c>
      <c r="C26" s="50">
        <f>IF(日別集計!R26="","",日別集計!R26)</f>
        <v>0</v>
      </c>
      <c r="D26" s="50">
        <f>IF(日別集計!S26="","",日別集計!S26)</f>
        <v>7</v>
      </c>
      <c r="E26" s="50">
        <f>IF(日別集計!T26="","",日別集計!T26)</f>
        <v>0</v>
      </c>
      <c r="F26" s="50">
        <f>IF(日別集計!U26="","",日別集計!U26)</f>
        <v>0</v>
      </c>
      <c r="G26" s="50">
        <f>IF(日別集計!V26="","",日別集計!V26)</f>
        <v>0</v>
      </c>
      <c r="H26" s="50">
        <f>IF(日別集計!W26="","",日別集計!W26)</f>
        <v>0</v>
      </c>
      <c r="I26" s="50">
        <f>IF(日別集計!X26="","",日別集計!X26)</f>
        <v>0</v>
      </c>
      <c r="J26" s="50">
        <f>IF(日別集計!Y26="","",日別集計!Y26)</f>
        <v>0</v>
      </c>
      <c r="K26" s="50">
        <f>IF(日別集計!Z26="","",日別集計!Z26)</f>
        <v>0</v>
      </c>
      <c r="L26" s="50">
        <f>IF(日別集計!AA26="","",日別集計!AA26)</f>
        <v>0</v>
      </c>
      <c r="M26" s="50">
        <f>IF(日別集計!AB26="","",日別集計!AB26)</f>
        <v>0</v>
      </c>
      <c r="N26" s="50">
        <f>IF(日別集計!AC26="","",日別集計!AC26)</f>
        <v>0</v>
      </c>
      <c r="O26" s="50">
        <f>IF(日別集計!AD26="","",日別集計!AD26)</f>
        <v>7</v>
      </c>
      <c r="P26" s="50">
        <f>IF(日別集計!AE26="","",日別集計!AE26)</f>
        <v>0</v>
      </c>
      <c r="Q26" s="50">
        <f>IF(日別集計!AF26="","",日別集計!AF26)</f>
        <v>7</v>
      </c>
      <c r="R26" s="57" t="str">
        <f>IF(日別集計!AG26="","",日別集計!AG26)</f>
        <v/>
      </c>
    </row>
    <row r="27" spans="1:18" ht="16.5" x14ac:dyDescent="0.3">
      <c r="A27" s="48">
        <f>IF(日別集計!A27="","",日別集計!A27)</f>
        <v>46154</v>
      </c>
      <c r="B27" s="49" t="str">
        <f>IF(日別集計!B27="","",日別集計!B27)</f>
        <v>火</v>
      </c>
      <c r="C27" s="50">
        <f>IF(日別集計!R27="","",日別集計!R27)</f>
        <v>0</v>
      </c>
      <c r="D27" s="50">
        <f>IF(日別集計!S27="","",日別集計!S27)</f>
        <v>7</v>
      </c>
      <c r="E27" s="50">
        <f>IF(日別集計!T27="","",日別集計!T27)</f>
        <v>0</v>
      </c>
      <c r="F27" s="50">
        <f>IF(日別集計!U27="","",日別集計!U27)</f>
        <v>0</v>
      </c>
      <c r="G27" s="50">
        <f>IF(日別集計!V27="","",日別集計!V27)</f>
        <v>0</v>
      </c>
      <c r="H27" s="50">
        <f>IF(日別集計!W27="","",日別集計!W27)</f>
        <v>0</v>
      </c>
      <c r="I27" s="50">
        <f>IF(日別集計!X27="","",日別集計!X27)</f>
        <v>0</v>
      </c>
      <c r="J27" s="50">
        <f>IF(日別集計!Y27="","",日別集計!Y27)</f>
        <v>0</v>
      </c>
      <c r="K27" s="50">
        <f>IF(日別集計!Z27="","",日別集計!Z27)</f>
        <v>0</v>
      </c>
      <c r="L27" s="50">
        <f>IF(日別集計!AA27="","",日別集計!AA27)</f>
        <v>0</v>
      </c>
      <c r="M27" s="50">
        <f>IF(日別集計!AB27="","",日別集計!AB27)</f>
        <v>0</v>
      </c>
      <c r="N27" s="50">
        <f>IF(日別集計!AC27="","",日別集計!AC27)</f>
        <v>0</v>
      </c>
      <c r="O27" s="50">
        <f>IF(日別集計!AD27="","",日別集計!AD27)</f>
        <v>7</v>
      </c>
      <c r="P27" s="50">
        <f>IF(日別集計!AE27="","",日別集計!AE27)</f>
        <v>0</v>
      </c>
      <c r="Q27" s="50">
        <f>IF(日別集計!AF27="","",日別集計!AF27)</f>
        <v>7</v>
      </c>
      <c r="R27" s="57" t="str">
        <f>IF(日別集計!AG27="","",日別集計!AG27)</f>
        <v/>
      </c>
    </row>
    <row r="28" spans="1:18" ht="16.5" x14ac:dyDescent="0.3">
      <c r="A28" s="48">
        <f>IF(日別集計!A28="","",日別集計!A28)</f>
        <v>46155</v>
      </c>
      <c r="B28" s="49" t="str">
        <f>IF(日別集計!B28="","",日別集計!B28)</f>
        <v>水</v>
      </c>
      <c r="C28" s="50">
        <f>IF(日別集計!R28="","",日別集計!R28)</f>
        <v>0</v>
      </c>
      <c r="D28" s="50">
        <f>IF(日別集計!S28="","",日別集計!S28)</f>
        <v>7</v>
      </c>
      <c r="E28" s="50">
        <f>IF(日別集計!T28="","",日別集計!T28)</f>
        <v>0</v>
      </c>
      <c r="F28" s="50">
        <f>IF(日別集計!U28="","",日別集計!U28)</f>
        <v>0</v>
      </c>
      <c r="G28" s="50">
        <f>IF(日別集計!V28="","",日別集計!V28)</f>
        <v>0</v>
      </c>
      <c r="H28" s="50">
        <f>IF(日別集計!W28="","",日別集計!W28)</f>
        <v>0</v>
      </c>
      <c r="I28" s="50">
        <f>IF(日別集計!X28="","",日別集計!X28)</f>
        <v>0</v>
      </c>
      <c r="J28" s="50">
        <f>IF(日別集計!Y28="","",日別集計!Y28)</f>
        <v>0</v>
      </c>
      <c r="K28" s="50">
        <f>IF(日別集計!Z28="","",日別集計!Z28)</f>
        <v>0</v>
      </c>
      <c r="L28" s="50">
        <f>IF(日別集計!AA28="","",日別集計!AA28)</f>
        <v>0</v>
      </c>
      <c r="M28" s="50">
        <f>IF(日別集計!AB28="","",日別集計!AB28)</f>
        <v>0</v>
      </c>
      <c r="N28" s="50">
        <f>IF(日別集計!AC28="","",日別集計!AC28)</f>
        <v>0</v>
      </c>
      <c r="O28" s="50">
        <f>IF(日別集計!AD28="","",日別集計!AD28)</f>
        <v>7</v>
      </c>
      <c r="P28" s="50">
        <f>IF(日別集計!AE28="","",日別集計!AE28)</f>
        <v>0</v>
      </c>
      <c r="Q28" s="50">
        <f>IF(日別集計!AF28="","",日別集計!AF28)</f>
        <v>7</v>
      </c>
      <c r="R28" s="57" t="str">
        <f>IF(日別集計!AG28="","",日別集計!AG28)</f>
        <v/>
      </c>
    </row>
    <row r="29" spans="1:18" ht="16.5" x14ac:dyDescent="0.3">
      <c r="A29" s="48">
        <f>IF(日別集計!A29="","",日別集計!A29)</f>
        <v>46156</v>
      </c>
      <c r="B29" s="49" t="str">
        <f>IF(日別集計!B29="","",日別集計!B29)</f>
        <v>木</v>
      </c>
      <c r="C29" s="50">
        <f>IF(日別集計!R29="","",日別集計!R29)</f>
        <v>0</v>
      </c>
      <c r="D29" s="50">
        <f>IF(日別集計!S29="","",日別集計!S29)</f>
        <v>7</v>
      </c>
      <c r="E29" s="50">
        <f>IF(日別集計!T29="","",日別集計!T29)</f>
        <v>0</v>
      </c>
      <c r="F29" s="50">
        <f>IF(日別集計!U29="","",日別集計!U29)</f>
        <v>0</v>
      </c>
      <c r="G29" s="50">
        <f>IF(日別集計!V29="","",日別集計!V29)</f>
        <v>0</v>
      </c>
      <c r="H29" s="50">
        <f>IF(日別集計!W29="","",日別集計!W29)</f>
        <v>0</v>
      </c>
      <c r="I29" s="50">
        <f>IF(日別集計!X29="","",日別集計!X29)</f>
        <v>0</v>
      </c>
      <c r="J29" s="50">
        <f>IF(日別集計!Y29="","",日別集計!Y29)</f>
        <v>0</v>
      </c>
      <c r="K29" s="50">
        <f>IF(日別集計!Z29="","",日別集計!Z29)</f>
        <v>0</v>
      </c>
      <c r="L29" s="50">
        <f>IF(日別集計!AA29="","",日別集計!AA29)</f>
        <v>0</v>
      </c>
      <c r="M29" s="50">
        <f>IF(日別集計!AB29="","",日別集計!AB29)</f>
        <v>0</v>
      </c>
      <c r="N29" s="50">
        <f>IF(日別集計!AC29="","",日別集計!AC29)</f>
        <v>0</v>
      </c>
      <c r="O29" s="50">
        <f>IF(日別集計!AD29="","",日別集計!AD29)</f>
        <v>7</v>
      </c>
      <c r="P29" s="50">
        <f>IF(日別集計!AE29="","",日別集計!AE29)</f>
        <v>0</v>
      </c>
      <c r="Q29" s="50">
        <f>IF(日別集計!AF29="","",日別集計!AF29)</f>
        <v>7</v>
      </c>
      <c r="R29" s="57" t="str">
        <f>IF(日別集計!AG29="","",日別集計!AG29)</f>
        <v/>
      </c>
    </row>
    <row r="30" spans="1:18" ht="16.5" x14ac:dyDescent="0.3">
      <c r="A30" s="48">
        <f>IF(日別集計!A30="","",日別集計!A30)</f>
        <v>46157</v>
      </c>
      <c r="B30" s="49" t="str">
        <f>IF(日別集計!B30="","",日別集計!B30)</f>
        <v>金</v>
      </c>
      <c r="C30" s="50">
        <f>IF(日別集計!R30="","",日別集計!R30)</f>
        <v>0</v>
      </c>
      <c r="D30" s="50">
        <f>IF(日別集計!S30="","",日別集計!S30)</f>
        <v>7</v>
      </c>
      <c r="E30" s="50">
        <f>IF(日別集計!T30="","",日別集計!T30)</f>
        <v>0</v>
      </c>
      <c r="F30" s="50">
        <f>IF(日別集計!U30="","",日別集計!U30)</f>
        <v>0</v>
      </c>
      <c r="G30" s="50">
        <f>IF(日別集計!V30="","",日別集計!V30)</f>
        <v>0</v>
      </c>
      <c r="H30" s="50">
        <f>IF(日別集計!W30="","",日別集計!W30)</f>
        <v>0</v>
      </c>
      <c r="I30" s="50">
        <f>IF(日別集計!X30="","",日別集計!X30)</f>
        <v>0</v>
      </c>
      <c r="J30" s="50">
        <f>IF(日別集計!Y30="","",日別集計!Y30)</f>
        <v>0</v>
      </c>
      <c r="K30" s="50">
        <f>IF(日別集計!Z30="","",日別集計!Z30)</f>
        <v>0</v>
      </c>
      <c r="L30" s="50">
        <f>IF(日別集計!AA30="","",日別集計!AA30)</f>
        <v>0</v>
      </c>
      <c r="M30" s="50">
        <f>IF(日別集計!AB30="","",日別集計!AB30)</f>
        <v>0</v>
      </c>
      <c r="N30" s="50">
        <f>IF(日別集計!AC30="","",日別集計!AC30)</f>
        <v>0</v>
      </c>
      <c r="O30" s="50">
        <f>IF(日別集計!AD30="","",日別集計!AD30)</f>
        <v>7</v>
      </c>
      <c r="P30" s="50">
        <f>IF(日別集計!AE30="","",日別集計!AE30)</f>
        <v>0</v>
      </c>
      <c r="Q30" s="50">
        <f>IF(日別集計!AF30="","",日別集計!AF30)</f>
        <v>7</v>
      </c>
      <c r="R30" s="57" t="str">
        <f>IF(日別集計!AG30="","",日別集計!AG30)</f>
        <v/>
      </c>
    </row>
    <row r="31" spans="1:18" ht="16.5" x14ac:dyDescent="0.3">
      <c r="A31" s="51">
        <f>IF(日別集計!A31="","",日別集計!A31)</f>
        <v>46158</v>
      </c>
      <c r="B31" s="52" t="str">
        <f>IF(日別集計!B31="","",日別集計!B31)</f>
        <v>土</v>
      </c>
      <c r="C31" s="53">
        <f>IF(日別集計!R31="","",日別集計!R31)</f>
        <v>0</v>
      </c>
      <c r="D31" s="53">
        <f>IF(日別集計!S31="","",日別集計!S31)</f>
        <v>7</v>
      </c>
      <c r="E31" s="53">
        <f>IF(日別集計!T31="","",日別集計!T31)</f>
        <v>0</v>
      </c>
      <c r="F31" s="53">
        <f>IF(日別集計!U31="","",日別集計!U31)</f>
        <v>0</v>
      </c>
      <c r="G31" s="53">
        <f>IF(日別集計!V31="","",日別集計!V31)</f>
        <v>0</v>
      </c>
      <c r="H31" s="53">
        <f>IF(日別集計!W31="","",日別集計!W31)</f>
        <v>0</v>
      </c>
      <c r="I31" s="53">
        <f>IF(日別集計!X31="","",日別集計!X31)</f>
        <v>0</v>
      </c>
      <c r="J31" s="53">
        <f>IF(日別集計!Y31="","",日別集計!Y31)</f>
        <v>0</v>
      </c>
      <c r="K31" s="53">
        <f>IF(日別集計!Z31="","",日別集計!Z31)</f>
        <v>0</v>
      </c>
      <c r="L31" s="53">
        <f>IF(日別集計!AA31="","",日別集計!AA31)</f>
        <v>0</v>
      </c>
      <c r="M31" s="53">
        <f>IF(日別集計!AB31="","",日別集計!AB31)</f>
        <v>0</v>
      </c>
      <c r="N31" s="53">
        <f>IF(日別集計!AC31="","",日別集計!AC31)</f>
        <v>0</v>
      </c>
      <c r="O31" s="53">
        <f>IF(日別集計!AD31="","",日別集計!AD31)</f>
        <v>7</v>
      </c>
      <c r="P31" s="53">
        <f>IF(日別集計!AE31="","",日別集計!AE31)</f>
        <v>0</v>
      </c>
      <c r="Q31" s="53">
        <f>IF(日別集計!AF31="","",日別集計!AF31)</f>
        <v>7</v>
      </c>
      <c r="R31" s="58" t="str">
        <f>IF(日別集計!AG31="","",日別集計!AG31)</f>
        <v/>
      </c>
    </row>
    <row r="32" spans="1:18" ht="16.5" x14ac:dyDescent="0.3">
      <c r="A32" s="51">
        <f>IF(日別集計!A32="","",日別集計!A32)</f>
        <v>46159</v>
      </c>
      <c r="B32" s="52" t="str">
        <f>IF(日別集計!B32="","",日別集計!B32)</f>
        <v>日</v>
      </c>
      <c r="C32" s="53">
        <f>IF(日別集計!R32="","",日別集計!R32)</f>
        <v>0</v>
      </c>
      <c r="D32" s="53">
        <f>IF(日別集計!S32="","",日別集計!S32)</f>
        <v>7</v>
      </c>
      <c r="E32" s="53">
        <f>IF(日別集計!T32="","",日別集計!T32)</f>
        <v>0</v>
      </c>
      <c r="F32" s="53">
        <f>IF(日別集計!U32="","",日別集計!U32)</f>
        <v>0</v>
      </c>
      <c r="G32" s="53">
        <f>IF(日別集計!V32="","",日別集計!V32)</f>
        <v>0</v>
      </c>
      <c r="H32" s="53">
        <f>IF(日別集計!W32="","",日別集計!W32)</f>
        <v>0</v>
      </c>
      <c r="I32" s="53">
        <f>IF(日別集計!X32="","",日別集計!X32)</f>
        <v>0</v>
      </c>
      <c r="J32" s="53">
        <f>IF(日別集計!Y32="","",日別集計!Y32)</f>
        <v>0</v>
      </c>
      <c r="K32" s="53">
        <f>IF(日別集計!Z32="","",日別集計!Z32)</f>
        <v>0</v>
      </c>
      <c r="L32" s="53">
        <f>IF(日別集計!AA32="","",日別集計!AA32)</f>
        <v>0</v>
      </c>
      <c r="M32" s="53">
        <f>IF(日別集計!AB32="","",日別集計!AB32)</f>
        <v>0</v>
      </c>
      <c r="N32" s="53">
        <f>IF(日別集計!AC32="","",日別集計!AC32)</f>
        <v>0</v>
      </c>
      <c r="O32" s="53">
        <f>IF(日別集計!AD32="","",日別集計!AD32)</f>
        <v>7</v>
      </c>
      <c r="P32" s="53">
        <f>IF(日別集計!AE32="","",日別集計!AE32)</f>
        <v>0</v>
      </c>
      <c r="Q32" s="53">
        <f>IF(日別集計!AF32="","",日別集計!AF32)</f>
        <v>7</v>
      </c>
      <c r="R32" s="58" t="str">
        <f>IF(日別集計!AG32="","",日別集計!AG32)</f>
        <v/>
      </c>
    </row>
    <row r="33" spans="1:18" ht="16.5" x14ac:dyDescent="0.3">
      <c r="A33" s="48">
        <f>IF(日別集計!A33="","",日別集計!A33)</f>
        <v>46160</v>
      </c>
      <c r="B33" s="49" t="str">
        <f>IF(日別集計!B33="","",日別集計!B33)</f>
        <v>月</v>
      </c>
      <c r="C33" s="50">
        <f>IF(日別集計!R33="","",日別集計!R33)</f>
        <v>0</v>
      </c>
      <c r="D33" s="50">
        <f>IF(日別集計!S33="","",日別集計!S33)</f>
        <v>7</v>
      </c>
      <c r="E33" s="50">
        <f>IF(日別集計!T33="","",日別集計!T33)</f>
        <v>0</v>
      </c>
      <c r="F33" s="50">
        <f>IF(日別集計!U33="","",日別集計!U33)</f>
        <v>0</v>
      </c>
      <c r="G33" s="50">
        <f>IF(日別集計!V33="","",日別集計!V33)</f>
        <v>0</v>
      </c>
      <c r="H33" s="50">
        <f>IF(日別集計!W33="","",日別集計!W33)</f>
        <v>0</v>
      </c>
      <c r="I33" s="50">
        <f>IF(日別集計!X33="","",日別集計!X33)</f>
        <v>0</v>
      </c>
      <c r="J33" s="50">
        <f>IF(日別集計!Y33="","",日別集計!Y33)</f>
        <v>0</v>
      </c>
      <c r="K33" s="50">
        <f>IF(日別集計!Z33="","",日別集計!Z33)</f>
        <v>0</v>
      </c>
      <c r="L33" s="50">
        <f>IF(日別集計!AA33="","",日別集計!AA33)</f>
        <v>0</v>
      </c>
      <c r="M33" s="50">
        <f>IF(日別集計!AB33="","",日別集計!AB33)</f>
        <v>0</v>
      </c>
      <c r="N33" s="50">
        <f>IF(日別集計!AC33="","",日別集計!AC33)</f>
        <v>0</v>
      </c>
      <c r="O33" s="50">
        <f>IF(日別集計!AD33="","",日別集計!AD33)</f>
        <v>7</v>
      </c>
      <c r="P33" s="50">
        <f>IF(日別集計!AE33="","",日別集計!AE33)</f>
        <v>0</v>
      </c>
      <c r="Q33" s="50">
        <f>IF(日別集計!AF33="","",日別集計!AF33)</f>
        <v>7</v>
      </c>
      <c r="R33" s="57" t="str">
        <f>IF(日別集計!AG33="","",日別集計!AG33)</f>
        <v/>
      </c>
    </row>
    <row r="34" spans="1:18" ht="16.5" x14ac:dyDescent="0.3">
      <c r="A34" s="48">
        <f>IF(日別集計!A34="","",日別集計!A34)</f>
        <v>46161</v>
      </c>
      <c r="B34" s="49" t="str">
        <f>IF(日別集計!B34="","",日別集計!B34)</f>
        <v>火</v>
      </c>
      <c r="C34" s="50">
        <f>IF(日別集計!R34="","",日別集計!R34)</f>
        <v>0</v>
      </c>
      <c r="D34" s="50">
        <f>IF(日別集計!S34="","",日別集計!S34)</f>
        <v>7</v>
      </c>
      <c r="E34" s="50">
        <f>IF(日別集計!T34="","",日別集計!T34)</f>
        <v>2</v>
      </c>
      <c r="F34" s="50">
        <f>IF(日別集計!U34="","",日別集計!U34)</f>
        <v>0</v>
      </c>
      <c r="G34" s="50">
        <f>IF(日別集計!V34="","",日別集計!V34)</f>
        <v>0</v>
      </c>
      <c r="H34" s="50">
        <f>IF(日別集計!W34="","",日別集計!W34)</f>
        <v>0</v>
      </c>
      <c r="I34" s="50">
        <f>IF(日別集計!X34="","",日別集計!X34)</f>
        <v>0</v>
      </c>
      <c r="J34" s="50">
        <f>IF(日別集計!Y34="","",日別集計!Y34)</f>
        <v>0</v>
      </c>
      <c r="K34" s="50">
        <f>IF(日別集計!Z34="","",日別集計!Z34)</f>
        <v>0</v>
      </c>
      <c r="L34" s="50">
        <f>IF(日別集計!AA34="","",日別集計!AA34)</f>
        <v>0</v>
      </c>
      <c r="M34" s="50">
        <f>IF(日別集計!AB34="","",日別集計!AB34)</f>
        <v>0</v>
      </c>
      <c r="N34" s="50">
        <f>IF(日別集計!AC34="","",日別集計!AC34)</f>
        <v>0</v>
      </c>
      <c r="O34" s="50">
        <f>IF(日別集計!AD34="","",日別集計!AD34)</f>
        <v>9</v>
      </c>
      <c r="P34" s="50">
        <f>IF(日別集計!AE34="","",日別集計!AE34)</f>
        <v>0</v>
      </c>
      <c r="Q34" s="50">
        <f>IF(日別集計!AF34="","",日別集計!AF34)</f>
        <v>9</v>
      </c>
      <c r="R34" s="57" t="str">
        <f>IF(日別集計!AG34="","",日別集計!AG34)</f>
        <v>擁壁基礎整地、捨てコン打設1.5m3</v>
      </c>
    </row>
    <row r="35" spans="1:18" ht="16.5" x14ac:dyDescent="0.3">
      <c r="A35" s="48">
        <f>IF(日別集計!A35="","",日別集計!A35)</f>
        <v>46162</v>
      </c>
      <c r="B35" s="49" t="str">
        <f>IF(日別集計!B35="","",日別集計!B35)</f>
        <v>水</v>
      </c>
      <c r="C35" s="50">
        <f>IF(日別集計!R35="","",日別集計!R35)</f>
        <v>0</v>
      </c>
      <c r="D35" s="50">
        <f>IF(日別集計!S35="","",日別集計!S35)</f>
        <v>7</v>
      </c>
      <c r="E35" s="50">
        <f>IF(日別集計!T35="","",日別集計!T35)</f>
        <v>4</v>
      </c>
      <c r="F35" s="50">
        <f>IF(日別集計!U35="","",日別集計!U35)</f>
        <v>0</v>
      </c>
      <c r="G35" s="50">
        <f>IF(日別集計!V35="","",日別集計!V35)</f>
        <v>0</v>
      </c>
      <c r="H35" s="50">
        <f>IF(日別集計!W35="","",日別集計!W35)</f>
        <v>0</v>
      </c>
      <c r="I35" s="50">
        <f>IF(日別集計!X35="","",日別集計!X35)</f>
        <v>0</v>
      </c>
      <c r="J35" s="50">
        <f>IF(日別集計!Y35="","",日別集計!Y35)</f>
        <v>0</v>
      </c>
      <c r="K35" s="50">
        <f>IF(日別集計!Z35="","",日別集計!Z35)</f>
        <v>0</v>
      </c>
      <c r="L35" s="50">
        <f>IF(日別集計!AA35="","",日別集計!AA35)</f>
        <v>0</v>
      </c>
      <c r="M35" s="50">
        <f>IF(日別集計!AB35="","",日別集計!AB35)</f>
        <v>0</v>
      </c>
      <c r="N35" s="50">
        <f>IF(日別集計!AC35="","",日別集計!AC35)</f>
        <v>0</v>
      </c>
      <c r="O35" s="50">
        <f>IF(日別集計!AD35="","",日別集計!AD35)</f>
        <v>11</v>
      </c>
      <c r="P35" s="50">
        <f>IF(日別集計!AE35="","",日別集計!AE35)</f>
        <v>0</v>
      </c>
      <c r="Q35" s="50">
        <f>IF(日別集計!AF35="","",日別集計!AF35)</f>
        <v>11</v>
      </c>
      <c r="R35" s="57" t="str">
        <f>IF(日別集計!AG35="","",日別集計!AG35)</f>
        <v>擁壁基礎整地</v>
      </c>
    </row>
    <row r="36" spans="1:18" ht="16.5" x14ac:dyDescent="0.3">
      <c r="A36" s="48">
        <f>IF(日別集計!A36="","",日別集計!A36)</f>
        <v>46163</v>
      </c>
      <c r="B36" s="49" t="str">
        <f>IF(日別集計!B36="","",日別集計!B36)</f>
        <v>木</v>
      </c>
      <c r="C36" s="50">
        <f>IF(日別集計!R36="","",日別集計!R36)</f>
        <v>0</v>
      </c>
      <c r="D36" s="50">
        <f>IF(日別集計!S36="","",日別集計!S36)</f>
        <v>7</v>
      </c>
      <c r="E36" s="50">
        <f>IF(日別集計!T36="","",日別集計!T36)</f>
        <v>6</v>
      </c>
      <c r="F36" s="50">
        <f>IF(日別集計!U36="","",日別集計!U36)</f>
        <v>0</v>
      </c>
      <c r="G36" s="50">
        <f>IF(日別集計!V36="","",日別集計!V36)</f>
        <v>0</v>
      </c>
      <c r="H36" s="50">
        <f>IF(日別集計!W36="","",日別集計!W36)</f>
        <v>0</v>
      </c>
      <c r="I36" s="50">
        <f>IF(日別集計!X36="","",日別集計!X36)</f>
        <v>0</v>
      </c>
      <c r="J36" s="50">
        <f>IF(日別集計!Y36="","",日別集計!Y36)</f>
        <v>0</v>
      </c>
      <c r="K36" s="50">
        <f>IF(日別集計!Z36="","",日別集計!Z36)</f>
        <v>0</v>
      </c>
      <c r="L36" s="50">
        <f>IF(日別集計!AA36="","",日別集計!AA36)</f>
        <v>0</v>
      </c>
      <c r="M36" s="50">
        <f>IF(日別集計!AB36="","",日別集計!AB36)</f>
        <v>0</v>
      </c>
      <c r="N36" s="50">
        <f>IF(日別集計!AC36="","",日別集計!AC36)</f>
        <v>0</v>
      </c>
      <c r="O36" s="50">
        <f>IF(日別集計!AD36="","",日別集計!AD36)</f>
        <v>13</v>
      </c>
      <c r="P36" s="50">
        <f>IF(日別集計!AE36="","",日別集計!AE36)</f>
        <v>0</v>
      </c>
      <c r="Q36" s="50">
        <f>IF(日別集計!AF36="","",日別集計!AF36)</f>
        <v>13</v>
      </c>
      <c r="R36" s="57" t="str">
        <f>IF(日別集計!AG36="","",日別集計!AG36)</f>
        <v>擁壁基礎整地</v>
      </c>
    </row>
    <row r="37" spans="1:18" ht="16.5" x14ac:dyDescent="0.3">
      <c r="A37" s="48">
        <f>IF(日別集計!A37="","",日別集計!A37)</f>
        <v>46164</v>
      </c>
      <c r="B37" s="49" t="str">
        <f>IF(日別集計!B37="","",日別集計!B37)</f>
        <v>金</v>
      </c>
      <c r="C37" s="50">
        <f>IF(日別集計!R37="","",日別集計!R37)</f>
        <v>0</v>
      </c>
      <c r="D37" s="50">
        <f>IF(日別集計!S37="","",日別集計!S37)</f>
        <v>7</v>
      </c>
      <c r="E37" s="50">
        <f>IF(日別集計!T37="","",日別集計!T37)</f>
        <v>6</v>
      </c>
      <c r="F37" s="50">
        <f>IF(日別集計!U37="","",日別集計!U37)</f>
        <v>0</v>
      </c>
      <c r="G37" s="50">
        <f>IF(日別集計!V37="","",日別集計!V37)</f>
        <v>0</v>
      </c>
      <c r="H37" s="50">
        <f>IF(日別集計!W37="","",日別集計!W37)</f>
        <v>0</v>
      </c>
      <c r="I37" s="50">
        <f>IF(日別集計!X37="","",日別集計!X37)</f>
        <v>0</v>
      </c>
      <c r="J37" s="50">
        <f>IF(日別集計!Y37="","",日別集計!Y37)</f>
        <v>0</v>
      </c>
      <c r="K37" s="50">
        <f>IF(日別集計!Z37="","",日別集計!Z37)</f>
        <v>0</v>
      </c>
      <c r="L37" s="50">
        <f>IF(日別集計!AA37="","",日別集計!AA37)</f>
        <v>0</v>
      </c>
      <c r="M37" s="50">
        <f>IF(日別集計!AB37="","",日別集計!AB37)</f>
        <v>0</v>
      </c>
      <c r="N37" s="50">
        <f>IF(日別集計!AC37="","",日別集計!AC37)</f>
        <v>0</v>
      </c>
      <c r="O37" s="50">
        <f>IF(日別集計!AD37="","",日別集計!AD37)</f>
        <v>13</v>
      </c>
      <c r="P37" s="50">
        <f>IF(日別集計!AE37="","",日別集計!AE37)</f>
        <v>0</v>
      </c>
      <c r="Q37" s="50">
        <f>IF(日別集計!AF37="","",日別集計!AF37)</f>
        <v>13</v>
      </c>
      <c r="R37" s="57" t="str">
        <f>IF(日別集計!AG37="","",日別集計!AG37)</f>
        <v/>
      </c>
    </row>
    <row r="38" spans="1:18" ht="16.5" x14ac:dyDescent="0.3">
      <c r="A38" s="51">
        <f>IF(日別集計!A38="","",日別集計!A38)</f>
        <v>46165</v>
      </c>
      <c r="B38" s="52" t="str">
        <f>IF(日別集計!B38="","",日別集計!B38)</f>
        <v>土</v>
      </c>
      <c r="C38" s="53">
        <f>IF(日別集計!R38="","",日別集計!R38)</f>
        <v>0</v>
      </c>
      <c r="D38" s="53">
        <f>IF(日別集計!S38="","",日別集計!S38)</f>
        <v>7</v>
      </c>
      <c r="E38" s="53">
        <f>IF(日別集計!T38="","",日別集計!T38)</f>
        <v>6</v>
      </c>
      <c r="F38" s="53">
        <f>IF(日別集計!U38="","",日別集計!U38)</f>
        <v>0</v>
      </c>
      <c r="G38" s="53">
        <f>IF(日別集計!V38="","",日別集計!V38)</f>
        <v>0</v>
      </c>
      <c r="H38" s="53">
        <f>IF(日別集計!W38="","",日別集計!W38)</f>
        <v>0</v>
      </c>
      <c r="I38" s="53">
        <f>IF(日別集計!X38="","",日別集計!X38)</f>
        <v>0</v>
      </c>
      <c r="J38" s="53">
        <f>IF(日別集計!Y38="","",日別集計!Y38)</f>
        <v>0</v>
      </c>
      <c r="K38" s="53">
        <f>IF(日別集計!Z38="","",日別集計!Z38)</f>
        <v>0</v>
      </c>
      <c r="L38" s="53">
        <f>IF(日別集計!AA38="","",日別集計!AA38)</f>
        <v>0</v>
      </c>
      <c r="M38" s="53">
        <f>IF(日別集計!AB38="","",日別集計!AB38)</f>
        <v>0</v>
      </c>
      <c r="N38" s="53">
        <f>IF(日別集計!AC38="","",日別集計!AC38)</f>
        <v>0</v>
      </c>
      <c r="O38" s="53">
        <f>IF(日別集計!AD38="","",日別集計!AD38)</f>
        <v>13</v>
      </c>
      <c r="P38" s="53">
        <f>IF(日別集計!AE38="","",日別集計!AE38)</f>
        <v>0</v>
      </c>
      <c r="Q38" s="53">
        <f>IF(日別集計!AF38="","",日別集計!AF38)</f>
        <v>13</v>
      </c>
      <c r="R38" s="58" t="str">
        <f>IF(日別集計!AG38="","",日別集計!AG38)</f>
        <v/>
      </c>
    </row>
    <row r="39" spans="1:18" ht="16.5" x14ac:dyDescent="0.3">
      <c r="A39" s="51">
        <f>IF(日別集計!A39="","",日別集計!A39)</f>
        <v>46166</v>
      </c>
      <c r="B39" s="52" t="str">
        <f>IF(日別集計!B39="","",日別集計!B39)</f>
        <v>日</v>
      </c>
      <c r="C39" s="53">
        <f>IF(日別集計!R39="","",日別集計!R39)</f>
        <v>0</v>
      </c>
      <c r="D39" s="53">
        <f>IF(日別集計!S39="","",日別集計!S39)</f>
        <v>7</v>
      </c>
      <c r="E39" s="53">
        <f>IF(日別集計!T39="","",日別集計!T39)</f>
        <v>6</v>
      </c>
      <c r="F39" s="53">
        <f>IF(日別集計!U39="","",日別集計!U39)</f>
        <v>0</v>
      </c>
      <c r="G39" s="53">
        <f>IF(日別集計!V39="","",日別集計!V39)</f>
        <v>0</v>
      </c>
      <c r="H39" s="53">
        <f>IF(日別集計!W39="","",日別集計!W39)</f>
        <v>0</v>
      </c>
      <c r="I39" s="53">
        <f>IF(日別集計!X39="","",日別集計!X39)</f>
        <v>0</v>
      </c>
      <c r="J39" s="53">
        <f>IF(日別集計!Y39="","",日別集計!Y39)</f>
        <v>0</v>
      </c>
      <c r="K39" s="53">
        <f>IF(日別集計!Z39="","",日別集計!Z39)</f>
        <v>0</v>
      </c>
      <c r="L39" s="53">
        <f>IF(日別集計!AA39="","",日別集計!AA39)</f>
        <v>0</v>
      </c>
      <c r="M39" s="53">
        <f>IF(日別集計!AB39="","",日別集計!AB39)</f>
        <v>0</v>
      </c>
      <c r="N39" s="53">
        <f>IF(日別集計!AC39="","",日別集計!AC39)</f>
        <v>0</v>
      </c>
      <c r="O39" s="53">
        <f>IF(日別集計!AD39="","",日別集計!AD39)</f>
        <v>13</v>
      </c>
      <c r="P39" s="53">
        <f>IF(日別集計!AE39="","",日別集計!AE39)</f>
        <v>0</v>
      </c>
      <c r="Q39" s="53">
        <f>IF(日別集計!AF39="","",日別集計!AF39)</f>
        <v>13</v>
      </c>
      <c r="R39" s="58" t="str">
        <f>IF(日別集計!AG39="","",日別集計!AG39)</f>
        <v/>
      </c>
    </row>
    <row r="40" spans="1:18" ht="16.5" x14ac:dyDescent="0.3">
      <c r="A40" s="48">
        <f>IF(日別集計!A40="","",日別集計!A40)</f>
        <v>46167</v>
      </c>
      <c r="B40" s="49" t="str">
        <f>IF(日別集計!B40="","",日別集計!B40)</f>
        <v>月</v>
      </c>
      <c r="C40" s="50">
        <f>IF(日別集計!R40="","",日別集計!R40)</f>
        <v>0</v>
      </c>
      <c r="D40" s="50">
        <f>IF(日別集計!S40="","",日別集計!S40)</f>
        <v>7</v>
      </c>
      <c r="E40" s="50">
        <f>IF(日別集計!T40="","",日別集計!T40)</f>
        <v>6</v>
      </c>
      <c r="F40" s="50">
        <f>IF(日別集計!U40="","",日別集計!U40)</f>
        <v>0</v>
      </c>
      <c r="G40" s="50">
        <f>IF(日別集計!V40="","",日別集計!V40)</f>
        <v>0</v>
      </c>
      <c r="H40" s="50">
        <f>IF(日別集計!W40="","",日別集計!W40)</f>
        <v>0</v>
      </c>
      <c r="I40" s="50">
        <f>IF(日別集計!X40="","",日別集計!X40)</f>
        <v>0</v>
      </c>
      <c r="J40" s="50">
        <f>IF(日別集計!Y40="","",日別集計!Y40)</f>
        <v>0</v>
      </c>
      <c r="K40" s="50">
        <f>IF(日別集計!Z40="","",日別集計!Z40)</f>
        <v>0</v>
      </c>
      <c r="L40" s="50">
        <f>IF(日別集計!AA40="","",日別集計!AA40)</f>
        <v>0</v>
      </c>
      <c r="M40" s="50">
        <f>IF(日別集計!AB40="","",日別集計!AB40)</f>
        <v>0</v>
      </c>
      <c r="N40" s="50">
        <f>IF(日別集計!AC40="","",日別集計!AC40)</f>
        <v>0</v>
      </c>
      <c r="O40" s="50">
        <f>IF(日別集計!AD40="","",日別集計!AD40)</f>
        <v>13</v>
      </c>
      <c r="P40" s="50">
        <f>IF(日別集計!AE40="","",日別集計!AE40)</f>
        <v>0</v>
      </c>
      <c r="Q40" s="50">
        <f>IF(日別集計!AF40="","",日別集計!AF40)</f>
        <v>13</v>
      </c>
      <c r="R40" s="57" t="str">
        <f>IF(日別集計!AG40="","",日別集計!AG40)</f>
        <v/>
      </c>
    </row>
    <row r="41" spans="1:18" ht="16.5" x14ac:dyDescent="0.3">
      <c r="A41" s="48">
        <f>IF(日別集計!A41="","",日別集計!A41)</f>
        <v>46168</v>
      </c>
      <c r="B41" s="49" t="str">
        <f>IF(日別集計!B41="","",日別集計!B41)</f>
        <v>火</v>
      </c>
      <c r="C41" s="50">
        <f>IF(日別集計!R41="","",日別集計!R41)</f>
        <v>0</v>
      </c>
      <c r="D41" s="50">
        <f>IF(日別集計!S41="","",日別集計!S41)</f>
        <v>7</v>
      </c>
      <c r="E41" s="50">
        <f>IF(日別集計!T41="","",日別集計!T41)</f>
        <v>6</v>
      </c>
      <c r="F41" s="50">
        <f>IF(日別集計!U41="","",日別集計!U41)</f>
        <v>0</v>
      </c>
      <c r="G41" s="50">
        <f>IF(日別集計!V41="","",日別集計!V41)</f>
        <v>0</v>
      </c>
      <c r="H41" s="50">
        <f>IF(日別集計!W41="","",日別集計!W41)</f>
        <v>0</v>
      </c>
      <c r="I41" s="50">
        <f>IF(日別集計!X41="","",日別集計!X41)</f>
        <v>0</v>
      </c>
      <c r="J41" s="50">
        <f>IF(日別集計!Y41="","",日別集計!Y41)</f>
        <v>0</v>
      </c>
      <c r="K41" s="50">
        <f>IF(日別集計!Z41="","",日別集計!Z41)</f>
        <v>0</v>
      </c>
      <c r="L41" s="50">
        <f>IF(日別集計!AA41="","",日別集計!AA41)</f>
        <v>0</v>
      </c>
      <c r="M41" s="50">
        <f>IF(日別集計!AB41="","",日別集計!AB41)</f>
        <v>0</v>
      </c>
      <c r="N41" s="50">
        <f>IF(日別集計!AC41="","",日別集計!AC41)</f>
        <v>0</v>
      </c>
      <c r="O41" s="50">
        <f>IF(日別集計!AD41="","",日別集計!AD41)</f>
        <v>13</v>
      </c>
      <c r="P41" s="50">
        <f>IF(日別集計!AE41="","",日別集計!AE41)</f>
        <v>0</v>
      </c>
      <c r="Q41" s="50">
        <f>IF(日別集計!AF41="","",日別集計!AF41)</f>
        <v>13</v>
      </c>
      <c r="R41" s="57" t="str">
        <f>IF(日別集計!AG41="","",日別集計!AG41)</f>
        <v/>
      </c>
    </row>
    <row r="42" spans="1:18" ht="16.5" x14ac:dyDescent="0.3">
      <c r="A42" s="48">
        <f>IF(日別集計!A42="","",日別集計!A42)</f>
        <v>46169</v>
      </c>
      <c r="B42" s="49" t="str">
        <f>IF(日別集計!B42="","",日別集計!B42)</f>
        <v>水</v>
      </c>
      <c r="C42" s="50">
        <f>IF(日別集計!R42="","",日別集計!R42)</f>
        <v>0</v>
      </c>
      <c r="D42" s="50">
        <f>IF(日別集計!S42="","",日別集計!S42)</f>
        <v>7</v>
      </c>
      <c r="E42" s="50">
        <f>IF(日別集計!T42="","",日別集計!T42)</f>
        <v>6</v>
      </c>
      <c r="F42" s="50">
        <f>IF(日別集計!U42="","",日別集計!U42)</f>
        <v>0</v>
      </c>
      <c r="G42" s="50">
        <f>IF(日別集計!V42="","",日別集計!V42)</f>
        <v>0</v>
      </c>
      <c r="H42" s="50">
        <f>IF(日別集計!W42="","",日別集計!W42)</f>
        <v>0</v>
      </c>
      <c r="I42" s="50">
        <f>IF(日別集計!X42="","",日別集計!X42)</f>
        <v>0</v>
      </c>
      <c r="J42" s="50">
        <f>IF(日別集計!Y42="","",日別集計!Y42)</f>
        <v>0</v>
      </c>
      <c r="K42" s="50">
        <f>IF(日別集計!Z42="","",日別集計!Z42)</f>
        <v>0</v>
      </c>
      <c r="L42" s="50">
        <f>IF(日別集計!AA42="","",日別集計!AA42)</f>
        <v>0</v>
      </c>
      <c r="M42" s="50">
        <f>IF(日別集計!AB42="","",日別集計!AB42)</f>
        <v>0</v>
      </c>
      <c r="N42" s="50">
        <f>IF(日別集計!AC42="","",日別集計!AC42)</f>
        <v>0</v>
      </c>
      <c r="O42" s="50">
        <f>IF(日別集計!AD42="","",日別集計!AD42)</f>
        <v>13</v>
      </c>
      <c r="P42" s="50">
        <f>IF(日別集計!AE42="","",日別集計!AE42)</f>
        <v>0</v>
      </c>
      <c r="Q42" s="50">
        <f>IF(日別集計!AF42="","",日別集計!AF42)</f>
        <v>13</v>
      </c>
      <c r="R42" s="57" t="str">
        <f>IF(日別集計!AG42="","",日別集計!AG42)</f>
        <v/>
      </c>
    </row>
    <row r="43" spans="1:18" ht="16.5" x14ac:dyDescent="0.3">
      <c r="A43" s="48">
        <f>IF(日別集計!A43="","",日別集計!A43)</f>
        <v>46170</v>
      </c>
      <c r="B43" s="49" t="str">
        <f>IF(日別集計!B43="","",日別集計!B43)</f>
        <v>木</v>
      </c>
      <c r="C43" s="50">
        <f>IF(日別集計!R43="","",日別集計!R43)</f>
        <v>0</v>
      </c>
      <c r="D43" s="50">
        <f>IF(日別集計!S43="","",日別集計!S43)</f>
        <v>7</v>
      </c>
      <c r="E43" s="50">
        <f>IF(日別集計!T43="","",日別集計!T43)</f>
        <v>6</v>
      </c>
      <c r="F43" s="50">
        <f>IF(日別集計!U43="","",日別集計!U43)</f>
        <v>0</v>
      </c>
      <c r="G43" s="50">
        <f>IF(日別集計!V43="","",日別集計!V43)</f>
        <v>0</v>
      </c>
      <c r="H43" s="50">
        <f>IF(日別集計!W43="","",日別集計!W43)</f>
        <v>0</v>
      </c>
      <c r="I43" s="50">
        <f>IF(日別集計!X43="","",日別集計!X43)</f>
        <v>0</v>
      </c>
      <c r="J43" s="50">
        <f>IF(日別集計!Y43="","",日別集計!Y43)</f>
        <v>0</v>
      </c>
      <c r="K43" s="50">
        <f>IF(日別集計!Z43="","",日別集計!Z43)</f>
        <v>0</v>
      </c>
      <c r="L43" s="50">
        <f>IF(日別集計!AA43="","",日別集計!AA43)</f>
        <v>0</v>
      </c>
      <c r="M43" s="50">
        <f>IF(日別集計!AB43="","",日別集計!AB43)</f>
        <v>0</v>
      </c>
      <c r="N43" s="50">
        <f>IF(日別集計!AC43="","",日別集計!AC43)</f>
        <v>0</v>
      </c>
      <c r="O43" s="50">
        <f>IF(日別集計!AD43="","",日別集計!AD43)</f>
        <v>13</v>
      </c>
      <c r="P43" s="50">
        <f>IF(日別集計!AE43="","",日別集計!AE43)</f>
        <v>0</v>
      </c>
      <c r="Q43" s="50">
        <f>IF(日別集計!AF43="","",日別集計!AF43)</f>
        <v>13</v>
      </c>
      <c r="R43" s="57" t="str">
        <f>IF(日別集計!AG43="","",日別集計!AG43)</f>
        <v/>
      </c>
    </row>
    <row r="44" spans="1:18" ht="16.5" x14ac:dyDescent="0.3">
      <c r="A44" s="48">
        <f>IF(日別集計!A44="","",日別集計!A44)</f>
        <v>46171</v>
      </c>
      <c r="B44" s="49" t="str">
        <f>IF(日別集計!B44="","",日別集計!B44)</f>
        <v>金</v>
      </c>
      <c r="C44" s="50">
        <f>IF(日別集計!R44="","",日別集計!R44)</f>
        <v>0</v>
      </c>
      <c r="D44" s="50">
        <f>IF(日別集計!S44="","",日別集計!S44)</f>
        <v>7</v>
      </c>
      <c r="E44" s="50">
        <f>IF(日別集計!T44="","",日別集計!T44)</f>
        <v>6</v>
      </c>
      <c r="F44" s="50">
        <f>IF(日別集計!U44="","",日別集計!U44)</f>
        <v>0</v>
      </c>
      <c r="G44" s="50">
        <f>IF(日別集計!V44="","",日別集計!V44)</f>
        <v>0</v>
      </c>
      <c r="H44" s="50">
        <f>IF(日別集計!W44="","",日別集計!W44)</f>
        <v>0</v>
      </c>
      <c r="I44" s="50">
        <f>IF(日別集計!X44="","",日別集計!X44)</f>
        <v>0</v>
      </c>
      <c r="J44" s="50">
        <f>IF(日別集計!Y44="","",日別集計!Y44)</f>
        <v>0</v>
      </c>
      <c r="K44" s="50">
        <f>IF(日別集計!Z44="","",日別集計!Z44)</f>
        <v>0</v>
      </c>
      <c r="L44" s="50">
        <f>IF(日別集計!AA44="","",日別集計!AA44)</f>
        <v>0</v>
      </c>
      <c r="M44" s="50">
        <f>IF(日別集計!AB44="","",日別集計!AB44)</f>
        <v>0</v>
      </c>
      <c r="N44" s="50">
        <f>IF(日別集計!AC44="","",日別集計!AC44)</f>
        <v>0</v>
      </c>
      <c r="O44" s="50">
        <f>IF(日別集計!AD44="","",日別集計!AD44)</f>
        <v>13</v>
      </c>
      <c r="P44" s="50">
        <f>IF(日別集計!AE44="","",日別集計!AE44)</f>
        <v>0</v>
      </c>
      <c r="Q44" s="50">
        <f>IF(日別集計!AF44="","",日別集計!AF44)</f>
        <v>13</v>
      </c>
      <c r="R44" s="57" t="str">
        <f>IF(日別集計!AG44="","",日別集計!AG44)</f>
        <v/>
      </c>
    </row>
    <row r="45" spans="1:18" ht="16.5" x14ac:dyDescent="0.3">
      <c r="A45" s="51">
        <f>IF(日別集計!A45="","",日別集計!A45)</f>
        <v>46172</v>
      </c>
      <c r="B45" s="52" t="str">
        <f>IF(日別集計!B45="","",日別集計!B45)</f>
        <v>土</v>
      </c>
      <c r="C45" s="53">
        <f>IF(日別集計!R45="","",日別集計!R45)</f>
        <v>0</v>
      </c>
      <c r="D45" s="53">
        <f>IF(日別集計!S45="","",日別集計!S45)</f>
        <v>7</v>
      </c>
      <c r="E45" s="53">
        <f>IF(日別集計!T45="","",日別集計!T45)</f>
        <v>6</v>
      </c>
      <c r="F45" s="53">
        <f>IF(日別集計!U45="","",日別集計!U45)</f>
        <v>0</v>
      </c>
      <c r="G45" s="53">
        <f>IF(日別集計!V45="","",日別集計!V45)</f>
        <v>0</v>
      </c>
      <c r="H45" s="53">
        <f>IF(日別集計!W45="","",日別集計!W45)</f>
        <v>0</v>
      </c>
      <c r="I45" s="53">
        <f>IF(日別集計!X45="","",日別集計!X45)</f>
        <v>0</v>
      </c>
      <c r="J45" s="53">
        <f>IF(日別集計!Y45="","",日別集計!Y45)</f>
        <v>0</v>
      </c>
      <c r="K45" s="53">
        <f>IF(日別集計!Z45="","",日別集計!Z45)</f>
        <v>0</v>
      </c>
      <c r="L45" s="53">
        <f>IF(日別集計!AA45="","",日別集計!AA45)</f>
        <v>0</v>
      </c>
      <c r="M45" s="53">
        <f>IF(日別集計!AB45="","",日別集計!AB45)</f>
        <v>0</v>
      </c>
      <c r="N45" s="53">
        <f>IF(日別集計!AC45="","",日別集計!AC45)</f>
        <v>0</v>
      </c>
      <c r="O45" s="53">
        <f>IF(日別集計!AD45="","",日別集計!AD45)</f>
        <v>13</v>
      </c>
      <c r="P45" s="53">
        <f>IF(日別集計!AE45="","",日別集計!AE45)</f>
        <v>0</v>
      </c>
      <c r="Q45" s="53">
        <f>IF(日別集計!AF45="","",日別集計!AF45)</f>
        <v>13</v>
      </c>
      <c r="R45" s="58" t="str">
        <f>IF(日別集計!AG45="","",日別集計!AG45)</f>
        <v/>
      </c>
    </row>
    <row r="46" spans="1:18" ht="16.5" x14ac:dyDescent="0.3">
      <c r="A46" s="51">
        <f>IF(日別集計!A46="","",日別集計!A46)</f>
        <v>46173</v>
      </c>
      <c r="B46" s="52" t="str">
        <f>IF(日別集計!B46="","",日別集計!B46)</f>
        <v>日</v>
      </c>
      <c r="C46" s="53">
        <f>IF(日別集計!R46="","",日別集計!R46)</f>
        <v>0</v>
      </c>
      <c r="D46" s="53">
        <f>IF(日別集計!S46="","",日別集計!S46)</f>
        <v>7</v>
      </c>
      <c r="E46" s="53">
        <f>IF(日別集計!T46="","",日別集計!T46)</f>
        <v>6</v>
      </c>
      <c r="F46" s="53">
        <f>IF(日別集計!U46="","",日別集計!U46)</f>
        <v>0</v>
      </c>
      <c r="G46" s="53">
        <f>IF(日別集計!V46="","",日別集計!V46)</f>
        <v>0</v>
      </c>
      <c r="H46" s="53">
        <f>IF(日別集計!W46="","",日別集計!W46)</f>
        <v>0</v>
      </c>
      <c r="I46" s="53">
        <f>IF(日別集計!X46="","",日別集計!X46)</f>
        <v>0</v>
      </c>
      <c r="J46" s="53">
        <f>IF(日別集計!Y46="","",日別集計!Y46)</f>
        <v>0</v>
      </c>
      <c r="K46" s="53">
        <f>IF(日別集計!Z46="","",日別集計!Z46)</f>
        <v>0</v>
      </c>
      <c r="L46" s="53">
        <f>IF(日別集計!AA46="","",日別集計!AA46)</f>
        <v>0</v>
      </c>
      <c r="M46" s="53">
        <f>IF(日別集計!AB46="","",日別集計!AB46)</f>
        <v>0</v>
      </c>
      <c r="N46" s="53">
        <f>IF(日別集計!AC46="","",日別集計!AC46)</f>
        <v>0</v>
      </c>
      <c r="O46" s="53">
        <f>IF(日別集計!AD46="","",日別集計!AD46)</f>
        <v>13</v>
      </c>
      <c r="P46" s="53">
        <f>IF(日別集計!AE46="","",日別集計!AE46)</f>
        <v>0</v>
      </c>
      <c r="Q46" s="53">
        <f>IF(日別集計!AF46="","",日別集計!AF46)</f>
        <v>13</v>
      </c>
      <c r="R46" s="58" t="str">
        <f>IF(日別集計!AG46="","",日別集計!AG46)</f>
        <v/>
      </c>
    </row>
    <row r="47" spans="1:18" ht="16.5" x14ac:dyDescent="0.3">
      <c r="A47" s="48">
        <f>IF(日別集計!A47="","",日別集計!A47)</f>
        <v>46174</v>
      </c>
      <c r="B47" s="49" t="str">
        <f>IF(日別集計!B47="","",日別集計!B47)</f>
        <v>月</v>
      </c>
      <c r="C47" s="50">
        <f>IF(日別集計!R47="","",日別集計!R47)</f>
        <v>0</v>
      </c>
      <c r="D47" s="50">
        <f>IF(日別集計!S47="","",日別集計!S47)</f>
        <v>7</v>
      </c>
      <c r="E47" s="50">
        <f>IF(日別集計!T47="","",日別集計!T47)</f>
        <v>6</v>
      </c>
      <c r="F47" s="50">
        <f>IF(日別集計!U47="","",日別集計!U47)</f>
        <v>0</v>
      </c>
      <c r="G47" s="50">
        <f>IF(日別集計!V47="","",日別集計!V47)</f>
        <v>0</v>
      </c>
      <c r="H47" s="50">
        <f>IF(日別集計!W47="","",日別集計!W47)</f>
        <v>0</v>
      </c>
      <c r="I47" s="50">
        <f>IF(日別集計!X47="","",日別集計!X47)</f>
        <v>0</v>
      </c>
      <c r="J47" s="50">
        <f>IF(日別集計!Y47="","",日別集計!Y47)</f>
        <v>0</v>
      </c>
      <c r="K47" s="50">
        <f>IF(日別集計!Z47="","",日別集計!Z47)</f>
        <v>0</v>
      </c>
      <c r="L47" s="50">
        <f>IF(日別集計!AA47="","",日別集計!AA47)</f>
        <v>0</v>
      </c>
      <c r="M47" s="50">
        <f>IF(日別集計!AB47="","",日別集計!AB47)</f>
        <v>0</v>
      </c>
      <c r="N47" s="50">
        <f>IF(日別集計!AC47="","",日別集計!AC47)</f>
        <v>0</v>
      </c>
      <c r="O47" s="50">
        <f>IF(日別集計!AD47="","",日別集計!AD47)</f>
        <v>13</v>
      </c>
      <c r="P47" s="50">
        <f>IF(日別集計!AE47="","",日別集計!AE47)</f>
        <v>0</v>
      </c>
      <c r="Q47" s="50">
        <f>IF(日別集計!AF47="","",日別集計!AF47)</f>
        <v>13</v>
      </c>
      <c r="R47" s="57" t="str">
        <f>IF(日別集計!AG47="","",日別集計!AG47)</f>
        <v/>
      </c>
    </row>
    <row r="48" spans="1:18" ht="16.5" x14ac:dyDescent="0.3">
      <c r="A48" s="48">
        <f>IF(日別集計!A48="","",日別集計!A48)</f>
        <v>46175</v>
      </c>
      <c r="B48" s="49" t="str">
        <f>IF(日別集計!B48="","",日別集計!B48)</f>
        <v>火</v>
      </c>
      <c r="C48" s="50">
        <f>IF(日別集計!R48="","",日別集計!R48)</f>
        <v>0</v>
      </c>
      <c r="D48" s="50">
        <f>IF(日別集計!S48="","",日別集計!S48)</f>
        <v>7</v>
      </c>
      <c r="E48" s="50">
        <f>IF(日別集計!T48="","",日別集計!T48)</f>
        <v>6</v>
      </c>
      <c r="F48" s="50">
        <f>IF(日別集計!U48="","",日別集計!U48)</f>
        <v>0</v>
      </c>
      <c r="G48" s="50">
        <f>IF(日別集計!V48="","",日別集計!V48)</f>
        <v>0</v>
      </c>
      <c r="H48" s="50">
        <f>IF(日別集計!W48="","",日別集計!W48)</f>
        <v>0</v>
      </c>
      <c r="I48" s="50">
        <f>IF(日別集計!X48="","",日別集計!X48)</f>
        <v>0</v>
      </c>
      <c r="J48" s="50">
        <f>IF(日別集計!Y48="","",日別集計!Y48)</f>
        <v>0</v>
      </c>
      <c r="K48" s="50">
        <f>IF(日別集計!Z48="","",日別集計!Z48)</f>
        <v>0</v>
      </c>
      <c r="L48" s="50">
        <f>IF(日別集計!AA48="","",日別集計!AA48)</f>
        <v>0</v>
      </c>
      <c r="M48" s="50">
        <f>IF(日別集計!AB48="","",日別集計!AB48)</f>
        <v>0</v>
      </c>
      <c r="N48" s="50">
        <f>IF(日別集計!AC48="","",日別集計!AC48)</f>
        <v>0</v>
      </c>
      <c r="O48" s="50">
        <f>IF(日別集計!AD48="","",日別集計!AD48)</f>
        <v>13</v>
      </c>
      <c r="P48" s="50">
        <f>IF(日別集計!AE48="","",日別集計!AE48)</f>
        <v>0</v>
      </c>
      <c r="Q48" s="50">
        <f>IF(日別集計!AF48="","",日別集計!AF48)</f>
        <v>13</v>
      </c>
      <c r="R48" s="57" t="str">
        <f>IF(日別集計!AG48="","",日別集計!AG48)</f>
        <v/>
      </c>
    </row>
    <row r="49" spans="1:18" ht="16.5" x14ac:dyDescent="0.3">
      <c r="A49" s="48">
        <f>IF(日別集計!A49="","",日別集計!A49)</f>
        <v>46176</v>
      </c>
      <c r="B49" s="49" t="str">
        <f>IF(日別集計!B49="","",日別集計!B49)</f>
        <v>水</v>
      </c>
      <c r="C49" s="50">
        <f>IF(日別集計!R49="","",日別集計!R49)</f>
        <v>0</v>
      </c>
      <c r="D49" s="50">
        <f>IF(日別集計!S49="","",日別集計!S49)</f>
        <v>7</v>
      </c>
      <c r="E49" s="50">
        <f>IF(日別集計!T49="","",日別集計!T49)</f>
        <v>6</v>
      </c>
      <c r="F49" s="50">
        <f>IF(日別集計!U49="","",日別集計!U49)</f>
        <v>0</v>
      </c>
      <c r="G49" s="50">
        <f>IF(日別集計!V49="","",日別集計!V49)</f>
        <v>0</v>
      </c>
      <c r="H49" s="50">
        <f>IF(日別集計!W49="","",日別集計!W49)</f>
        <v>0</v>
      </c>
      <c r="I49" s="50">
        <f>IF(日別集計!X49="","",日別集計!X49)</f>
        <v>0</v>
      </c>
      <c r="J49" s="50">
        <f>IF(日別集計!Y49="","",日別集計!Y49)</f>
        <v>0</v>
      </c>
      <c r="K49" s="50">
        <f>IF(日別集計!Z49="","",日別集計!Z49)</f>
        <v>0</v>
      </c>
      <c r="L49" s="50">
        <f>IF(日別集計!AA49="","",日別集計!AA49)</f>
        <v>0</v>
      </c>
      <c r="M49" s="50">
        <f>IF(日別集計!AB49="","",日別集計!AB49)</f>
        <v>0</v>
      </c>
      <c r="N49" s="50">
        <f>IF(日別集計!AC49="","",日別集計!AC49)</f>
        <v>0</v>
      </c>
      <c r="O49" s="50">
        <f>IF(日別集計!AD49="","",日別集計!AD49)</f>
        <v>13</v>
      </c>
      <c r="P49" s="50">
        <f>IF(日別集計!AE49="","",日別集計!AE49)</f>
        <v>0</v>
      </c>
      <c r="Q49" s="50">
        <f>IF(日別集計!AF49="","",日別集計!AF49)</f>
        <v>13</v>
      </c>
      <c r="R49" s="57" t="str">
        <f>IF(日別集計!AG49="","",日別集計!AG49)</f>
        <v/>
      </c>
    </row>
    <row r="50" spans="1:18" ht="16.5" x14ac:dyDescent="0.3">
      <c r="A50" s="48">
        <f>IF(日別集計!A50="","",日別集計!A50)</f>
        <v>46177</v>
      </c>
      <c r="B50" s="49" t="str">
        <f>IF(日別集計!B50="","",日別集計!B50)</f>
        <v>木</v>
      </c>
      <c r="C50" s="50">
        <f>IF(日別集計!R50="","",日別集計!R50)</f>
        <v>0</v>
      </c>
      <c r="D50" s="50">
        <f>IF(日別集計!S50="","",日別集計!S50)</f>
        <v>7</v>
      </c>
      <c r="E50" s="50">
        <f>IF(日別集計!T50="","",日別集計!T50)</f>
        <v>6</v>
      </c>
      <c r="F50" s="50">
        <f>IF(日別集計!U50="","",日別集計!U50)</f>
        <v>0</v>
      </c>
      <c r="G50" s="50">
        <f>IF(日別集計!V50="","",日別集計!V50)</f>
        <v>0</v>
      </c>
      <c r="H50" s="50">
        <f>IF(日別集計!W50="","",日別集計!W50)</f>
        <v>0</v>
      </c>
      <c r="I50" s="50">
        <f>IF(日別集計!X50="","",日別集計!X50)</f>
        <v>0</v>
      </c>
      <c r="J50" s="50">
        <f>IF(日別集計!Y50="","",日別集計!Y50)</f>
        <v>0</v>
      </c>
      <c r="K50" s="50">
        <f>IF(日別集計!Z50="","",日別集計!Z50)</f>
        <v>0</v>
      </c>
      <c r="L50" s="50">
        <f>IF(日別集計!AA50="","",日別集計!AA50)</f>
        <v>0</v>
      </c>
      <c r="M50" s="50">
        <f>IF(日別集計!AB50="","",日別集計!AB50)</f>
        <v>0</v>
      </c>
      <c r="N50" s="50">
        <f>IF(日別集計!AC50="","",日別集計!AC50)</f>
        <v>0</v>
      </c>
      <c r="O50" s="50">
        <f>IF(日別集計!AD50="","",日別集計!AD50)</f>
        <v>13</v>
      </c>
      <c r="P50" s="50">
        <f>IF(日別集計!AE50="","",日別集計!AE50)</f>
        <v>0</v>
      </c>
      <c r="Q50" s="50">
        <f>IF(日別集計!AF50="","",日別集計!AF50)</f>
        <v>13</v>
      </c>
      <c r="R50" s="57" t="str">
        <f>IF(日別集計!AG50="","",日別集計!AG50)</f>
        <v/>
      </c>
    </row>
    <row r="51" spans="1:18" ht="16.5" x14ac:dyDescent="0.3">
      <c r="A51" s="48">
        <f>IF(日別集計!A51="","",日別集計!A51)</f>
        <v>46178</v>
      </c>
      <c r="B51" s="49" t="str">
        <f>IF(日別集計!B51="","",日別集計!B51)</f>
        <v>金</v>
      </c>
      <c r="C51" s="50">
        <f>IF(日別集計!R51="","",日別集計!R51)</f>
        <v>0</v>
      </c>
      <c r="D51" s="50">
        <f>IF(日別集計!S51="","",日別集計!S51)</f>
        <v>7</v>
      </c>
      <c r="E51" s="50">
        <f>IF(日別集計!T51="","",日別集計!T51)</f>
        <v>6</v>
      </c>
      <c r="F51" s="50">
        <f>IF(日別集計!U51="","",日別集計!U51)</f>
        <v>0</v>
      </c>
      <c r="G51" s="50">
        <f>IF(日別集計!V51="","",日別集計!V51)</f>
        <v>0</v>
      </c>
      <c r="H51" s="50">
        <f>IF(日別集計!W51="","",日別集計!W51)</f>
        <v>0</v>
      </c>
      <c r="I51" s="50">
        <f>IF(日別集計!X51="","",日別集計!X51)</f>
        <v>0</v>
      </c>
      <c r="J51" s="50">
        <f>IF(日別集計!Y51="","",日別集計!Y51)</f>
        <v>0</v>
      </c>
      <c r="K51" s="50">
        <f>IF(日別集計!Z51="","",日別集計!Z51)</f>
        <v>0</v>
      </c>
      <c r="L51" s="50">
        <f>IF(日別集計!AA51="","",日別集計!AA51)</f>
        <v>0</v>
      </c>
      <c r="M51" s="50">
        <f>IF(日別集計!AB51="","",日別集計!AB51)</f>
        <v>0</v>
      </c>
      <c r="N51" s="50">
        <f>IF(日別集計!AC51="","",日別集計!AC51)</f>
        <v>0</v>
      </c>
      <c r="O51" s="50">
        <f>IF(日別集計!AD51="","",日別集計!AD51)</f>
        <v>13</v>
      </c>
      <c r="P51" s="50">
        <f>IF(日別集計!AE51="","",日別集計!AE51)</f>
        <v>0</v>
      </c>
      <c r="Q51" s="50">
        <f>IF(日別集計!AF51="","",日別集計!AF51)</f>
        <v>13</v>
      </c>
      <c r="R51" s="57" t="str">
        <f>IF(日別集計!AG51="","",日別集計!AG51)</f>
        <v/>
      </c>
    </row>
    <row r="52" spans="1:18" ht="16.5" x14ac:dyDescent="0.3">
      <c r="A52" s="51">
        <f>IF(日別集計!A52="","",日別集計!A52)</f>
        <v>46179</v>
      </c>
      <c r="B52" s="52" t="str">
        <f>IF(日別集計!B52="","",日別集計!B52)</f>
        <v>土</v>
      </c>
      <c r="C52" s="53">
        <f>IF(日別集計!R52="","",日別集計!R52)</f>
        <v>0</v>
      </c>
      <c r="D52" s="53">
        <f>IF(日別集計!S52="","",日別集計!S52)</f>
        <v>7</v>
      </c>
      <c r="E52" s="53">
        <f>IF(日別集計!T52="","",日別集計!T52)</f>
        <v>6</v>
      </c>
      <c r="F52" s="53">
        <f>IF(日別集計!U52="","",日別集計!U52)</f>
        <v>0</v>
      </c>
      <c r="G52" s="53">
        <f>IF(日別集計!V52="","",日別集計!V52)</f>
        <v>0</v>
      </c>
      <c r="H52" s="53">
        <f>IF(日別集計!W52="","",日別集計!W52)</f>
        <v>0</v>
      </c>
      <c r="I52" s="53">
        <f>IF(日別集計!X52="","",日別集計!X52)</f>
        <v>0</v>
      </c>
      <c r="J52" s="53">
        <f>IF(日別集計!Y52="","",日別集計!Y52)</f>
        <v>0</v>
      </c>
      <c r="K52" s="53">
        <f>IF(日別集計!Z52="","",日別集計!Z52)</f>
        <v>0</v>
      </c>
      <c r="L52" s="53">
        <f>IF(日別集計!AA52="","",日別集計!AA52)</f>
        <v>0</v>
      </c>
      <c r="M52" s="53">
        <f>IF(日別集計!AB52="","",日別集計!AB52)</f>
        <v>0</v>
      </c>
      <c r="N52" s="53">
        <f>IF(日別集計!AC52="","",日別集計!AC52)</f>
        <v>0</v>
      </c>
      <c r="O52" s="53">
        <f>IF(日別集計!AD52="","",日別集計!AD52)</f>
        <v>13</v>
      </c>
      <c r="P52" s="53">
        <f>IF(日別集計!AE52="","",日別集計!AE52)</f>
        <v>0</v>
      </c>
      <c r="Q52" s="53">
        <f>IF(日別集計!AF52="","",日別集計!AF52)</f>
        <v>13</v>
      </c>
      <c r="R52" s="58" t="str">
        <f>IF(日別集計!AG52="","",日別集計!AG52)</f>
        <v/>
      </c>
    </row>
    <row r="53" spans="1:18" ht="16.5" x14ac:dyDescent="0.3">
      <c r="A53" s="51">
        <f>IF(日別集計!A53="","",日別集計!A53)</f>
        <v>46180</v>
      </c>
      <c r="B53" s="52" t="str">
        <f>IF(日別集計!B53="","",日別集計!B53)</f>
        <v>日</v>
      </c>
      <c r="C53" s="53">
        <f>IF(日別集計!R53="","",日別集計!R53)</f>
        <v>0</v>
      </c>
      <c r="D53" s="53">
        <f>IF(日別集計!S53="","",日別集計!S53)</f>
        <v>7</v>
      </c>
      <c r="E53" s="53">
        <f>IF(日別集計!T53="","",日別集計!T53)</f>
        <v>6</v>
      </c>
      <c r="F53" s="53">
        <f>IF(日別集計!U53="","",日別集計!U53)</f>
        <v>0</v>
      </c>
      <c r="G53" s="53">
        <f>IF(日別集計!V53="","",日別集計!V53)</f>
        <v>0</v>
      </c>
      <c r="H53" s="53">
        <f>IF(日別集計!W53="","",日別集計!W53)</f>
        <v>0</v>
      </c>
      <c r="I53" s="53">
        <f>IF(日別集計!X53="","",日別集計!X53)</f>
        <v>0</v>
      </c>
      <c r="J53" s="53">
        <f>IF(日別集計!Y53="","",日別集計!Y53)</f>
        <v>0</v>
      </c>
      <c r="K53" s="53">
        <f>IF(日別集計!Z53="","",日別集計!Z53)</f>
        <v>0</v>
      </c>
      <c r="L53" s="53">
        <f>IF(日別集計!AA53="","",日別集計!AA53)</f>
        <v>0</v>
      </c>
      <c r="M53" s="53">
        <f>IF(日別集計!AB53="","",日別集計!AB53)</f>
        <v>0</v>
      </c>
      <c r="N53" s="53">
        <f>IF(日別集計!AC53="","",日別集計!AC53)</f>
        <v>0</v>
      </c>
      <c r="O53" s="53">
        <f>IF(日別集計!AD53="","",日別集計!AD53)</f>
        <v>13</v>
      </c>
      <c r="P53" s="53">
        <f>IF(日別集計!AE53="","",日別集計!AE53)</f>
        <v>0</v>
      </c>
      <c r="Q53" s="53">
        <f>IF(日別集計!AF53="","",日別集計!AF53)</f>
        <v>13</v>
      </c>
      <c r="R53" s="58" t="str">
        <f>IF(日別集計!AG53="","",日別集計!AG53)</f>
        <v/>
      </c>
    </row>
    <row r="54" spans="1:18" ht="16.5" x14ac:dyDescent="0.3">
      <c r="A54" s="48">
        <f>IF(日別集計!A54="","",日別集計!A54)</f>
        <v>46181</v>
      </c>
      <c r="B54" s="49" t="str">
        <f>IF(日別集計!B54="","",日別集計!B54)</f>
        <v>月</v>
      </c>
      <c r="C54" s="50">
        <f>IF(日別集計!R54="","",日別集計!R54)</f>
        <v>0</v>
      </c>
      <c r="D54" s="50">
        <f>IF(日別集計!S54="","",日別集計!S54)</f>
        <v>7</v>
      </c>
      <c r="E54" s="50">
        <f>IF(日別集計!T54="","",日別集計!T54)</f>
        <v>6</v>
      </c>
      <c r="F54" s="50">
        <f>IF(日別集計!U54="","",日別集計!U54)</f>
        <v>0</v>
      </c>
      <c r="G54" s="50">
        <f>IF(日別集計!V54="","",日別集計!V54)</f>
        <v>0</v>
      </c>
      <c r="H54" s="50">
        <f>IF(日別集計!W54="","",日別集計!W54)</f>
        <v>0</v>
      </c>
      <c r="I54" s="50">
        <f>IF(日別集計!X54="","",日別集計!X54)</f>
        <v>0</v>
      </c>
      <c r="J54" s="50">
        <f>IF(日別集計!Y54="","",日別集計!Y54)</f>
        <v>0</v>
      </c>
      <c r="K54" s="50">
        <f>IF(日別集計!Z54="","",日別集計!Z54)</f>
        <v>0</v>
      </c>
      <c r="L54" s="50">
        <f>IF(日別集計!AA54="","",日別集計!AA54)</f>
        <v>0</v>
      </c>
      <c r="M54" s="50">
        <f>IF(日別集計!AB54="","",日別集計!AB54)</f>
        <v>0</v>
      </c>
      <c r="N54" s="50">
        <f>IF(日別集計!AC54="","",日別集計!AC54)</f>
        <v>0</v>
      </c>
      <c r="O54" s="50">
        <f>IF(日別集計!AD54="","",日別集計!AD54)</f>
        <v>13</v>
      </c>
      <c r="P54" s="50">
        <f>IF(日別集計!AE54="","",日別集計!AE54)</f>
        <v>0</v>
      </c>
      <c r="Q54" s="50">
        <f>IF(日別集計!AF54="","",日別集計!AF54)</f>
        <v>13</v>
      </c>
      <c r="R54" s="57" t="str">
        <f>IF(日別集計!AG54="","",日別集計!AG54)</f>
        <v/>
      </c>
    </row>
    <row r="55" spans="1:18" ht="16.5" x14ac:dyDescent="0.3">
      <c r="A55" s="48">
        <f>IF(日別集計!A55="","",日別集計!A55)</f>
        <v>46182</v>
      </c>
      <c r="B55" s="49" t="str">
        <f>IF(日別集計!B55="","",日別集計!B55)</f>
        <v>火</v>
      </c>
      <c r="C55" s="50">
        <f>IF(日別集計!R55="","",日別集計!R55)</f>
        <v>0</v>
      </c>
      <c r="D55" s="50">
        <f>IF(日別集計!S55="","",日別集計!S55)</f>
        <v>7</v>
      </c>
      <c r="E55" s="50">
        <f>IF(日別集計!T55="","",日別集計!T55)</f>
        <v>6</v>
      </c>
      <c r="F55" s="50">
        <f>IF(日別集計!U55="","",日別集計!U55)</f>
        <v>0</v>
      </c>
      <c r="G55" s="50">
        <f>IF(日別集計!V55="","",日別集計!V55)</f>
        <v>0</v>
      </c>
      <c r="H55" s="50">
        <f>IF(日別集計!W55="","",日別集計!W55)</f>
        <v>0</v>
      </c>
      <c r="I55" s="50">
        <f>IF(日別集計!X55="","",日別集計!X55)</f>
        <v>0</v>
      </c>
      <c r="J55" s="50">
        <f>IF(日別集計!Y55="","",日別集計!Y55)</f>
        <v>0</v>
      </c>
      <c r="K55" s="50">
        <f>IF(日別集計!Z55="","",日別集計!Z55)</f>
        <v>0</v>
      </c>
      <c r="L55" s="50">
        <f>IF(日別集計!AA55="","",日別集計!AA55)</f>
        <v>0</v>
      </c>
      <c r="M55" s="50">
        <f>IF(日別集計!AB55="","",日別集計!AB55)</f>
        <v>0</v>
      </c>
      <c r="N55" s="50">
        <f>IF(日別集計!AC55="","",日別集計!AC55)</f>
        <v>0</v>
      </c>
      <c r="O55" s="50">
        <f>IF(日別集計!AD55="","",日別集計!AD55)</f>
        <v>13</v>
      </c>
      <c r="P55" s="50">
        <f>IF(日別集計!AE55="","",日別集計!AE55)</f>
        <v>0</v>
      </c>
      <c r="Q55" s="50">
        <f>IF(日別集計!AF55="","",日別集計!AF55)</f>
        <v>13</v>
      </c>
      <c r="R55" s="57" t="str">
        <f>IF(日別集計!AG55="","",日別集計!AG55)</f>
        <v/>
      </c>
    </row>
    <row r="56" spans="1:18" ht="16.5" x14ac:dyDescent="0.3">
      <c r="A56" s="48">
        <f>IF(日別集計!A56="","",日別集計!A56)</f>
        <v>46183</v>
      </c>
      <c r="B56" s="49" t="str">
        <f>IF(日別集計!B56="","",日別集計!B56)</f>
        <v>水</v>
      </c>
      <c r="C56" s="50">
        <f>IF(日別集計!R56="","",日別集計!R56)</f>
        <v>0</v>
      </c>
      <c r="D56" s="50">
        <f>IF(日別集計!S56="","",日別集計!S56)</f>
        <v>7</v>
      </c>
      <c r="E56" s="50">
        <f>IF(日別集計!T56="","",日別集計!T56)</f>
        <v>6</v>
      </c>
      <c r="F56" s="50">
        <f>IF(日別集計!U56="","",日別集計!U56)</f>
        <v>0</v>
      </c>
      <c r="G56" s="50">
        <f>IF(日別集計!V56="","",日別集計!V56)</f>
        <v>0</v>
      </c>
      <c r="H56" s="50">
        <f>IF(日別集計!W56="","",日別集計!W56)</f>
        <v>0</v>
      </c>
      <c r="I56" s="50">
        <f>IF(日別集計!X56="","",日別集計!X56)</f>
        <v>0</v>
      </c>
      <c r="J56" s="50">
        <f>IF(日別集計!Y56="","",日別集計!Y56)</f>
        <v>0</v>
      </c>
      <c r="K56" s="50">
        <f>IF(日別集計!Z56="","",日別集計!Z56)</f>
        <v>0</v>
      </c>
      <c r="L56" s="50">
        <f>IF(日別集計!AA56="","",日別集計!AA56)</f>
        <v>0</v>
      </c>
      <c r="M56" s="50">
        <f>IF(日別集計!AB56="","",日別集計!AB56)</f>
        <v>0</v>
      </c>
      <c r="N56" s="50">
        <f>IF(日別集計!AC56="","",日別集計!AC56)</f>
        <v>0</v>
      </c>
      <c r="O56" s="50">
        <f>IF(日別集計!AD56="","",日別集計!AD56)</f>
        <v>13</v>
      </c>
      <c r="P56" s="50">
        <f>IF(日別集計!AE56="","",日別集計!AE56)</f>
        <v>0</v>
      </c>
      <c r="Q56" s="50">
        <f>IF(日別集計!AF56="","",日別集計!AF56)</f>
        <v>13</v>
      </c>
      <c r="R56" s="57" t="str">
        <f>IF(日別集計!AG56="","",日別集計!AG56)</f>
        <v/>
      </c>
    </row>
    <row r="57" spans="1:18" ht="16.5" x14ac:dyDescent="0.3">
      <c r="A57" s="48">
        <f>IF(日別集計!A57="","",日別集計!A57)</f>
        <v>46184</v>
      </c>
      <c r="B57" s="49" t="str">
        <f>IF(日別集計!B57="","",日別集計!B57)</f>
        <v>木</v>
      </c>
      <c r="C57" s="50">
        <f>IF(日別集計!R57="","",日別集計!R57)</f>
        <v>0</v>
      </c>
      <c r="D57" s="50">
        <f>IF(日別集計!S57="","",日別集計!S57)</f>
        <v>7</v>
      </c>
      <c r="E57" s="50">
        <f>IF(日別集計!T57="","",日別集計!T57)</f>
        <v>6</v>
      </c>
      <c r="F57" s="50">
        <f>IF(日別集計!U57="","",日別集計!U57)</f>
        <v>0</v>
      </c>
      <c r="G57" s="50">
        <f>IF(日別集計!V57="","",日別集計!V57)</f>
        <v>0</v>
      </c>
      <c r="H57" s="50">
        <f>IF(日別集計!W57="","",日別集計!W57)</f>
        <v>0</v>
      </c>
      <c r="I57" s="50">
        <f>IF(日別集計!X57="","",日別集計!X57)</f>
        <v>0</v>
      </c>
      <c r="J57" s="50">
        <f>IF(日別集計!Y57="","",日別集計!Y57)</f>
        <v>0</v>
      </c>
      <c r="K57" s="50">
        <f>IF(日別集計!Z57="","",日別集計!Z57)</f>
        <v>0</v>
      </c>
      <c r="L57" s="50">
        <f>IF(日別集計!AA57="","",日別集計!AA57)</f>
        <v>0</v>
      </c>
      <c r="M57" s="50">
        <f>IF(日別集計!AB57="","",日別集計!AB57)</f>
        <v>0</v>
      </c>
      <c r="N57" s="50">
        <f>IF(日別集計!AC57="","",日別集計!AC57)</f>
        <v>0</v>
      </c>
      <c r="O57" s="50">
        <f>IF(日別集計!AD57="","",日別集計!AD57)</f>
        <v>13</v>
      </c>
      <c r="P57" s="50">
        <f>IF(日別集計!AE57="","",日別集計!AE57)</f>
        <v>0</v>
      </c>
      <c r="Q57" s="50">
        <f>IF(日別集計!AF57="","",日別集計!AF57)</f>
        <v>13</v>
      </c>
      <c r="R57" s="57" t="str">
        <f>IF(日別集計!AG57="","",日別集計!AG57)</f>
        <v/>
      </c>
    </row>
    <row r="58" spans="1:18" ht="16.5" x14ac:dyDescent="0.3">
      <c r="A58" s="48">
        <f>IF(日別集計!A58="","",日別集計!A58)</f>
        <v>46185</v>
      </c>
      <c r="B58" s="49" t="str">
        <f>IF(日別集計!B58="","",日別集計!B58)</f>
        <v>金</v>
      </c>
      <c r="C58" s="50">
        <f>IF(日別集計!R58="","",日別集計!R58)</f>
        <v>0</v>
      </c>
      <c r="D58" s="50">
        <f>IF(日別集計!S58="","",日別集計!S58)</f>
        <v>7</v>
      </c>
      <c r="E58" s="50">
        <f>IF(日別集計!T58="","",日別集計!T58)</f>
        <v>6</v>
      </c>
      <c r="F58" s="50">
        <f>IF(日別集計!U58="","",日別集計!U58)</f>
        <v>4</v>
      </c>
      <c r="G58" s="50">
        <f>IF(日別集計!V58="","",日別集計!V58)</f>
        <v>0</v>
      </c>
      <c r="H58" s="50">
        <f>IF(日別集計!W58="","",日別集計!W58)</f>
        <v>0</v>
      </c>
      <c r="I58" s="50">
        <f>IF(日別集計!X58="","",日別集計!X58)</f>
        <v>0</v>
      </c>
      <c r="J58" s="50">
        <f>IF(日別集計!Y58="","",日別集計!Y58)</f>
        <v>0</v>
      </c>
      <c r="K58" s="50">
        <f>IF(日別集計!Z58="","",日別集計!Z58)</f>
        <v>0</v>
      </c>
      <c r="L58" s="50">
        <f>IF(日別集計!AA58="","",日別集計!AA58)</f>
        <v>0</v>
      </c>
      <c r="M58" s="50">
        <f>IF(日別集計!AB58="","",日別集計!AB58)</f>
        <v>0</v>
      </c>
      <c r="N58" s="50">
        <f>IF(日別集計!AC58="","",日別集計!AC58)</f>
        <v>0</v>
      </c>
      <c r="O58" s="50">
        <f>IF(日別集計!AD58="","",日別集計!AD58)</f>
        <v>13</v>
      </c>
      <c r="P58" s="50">
        <f>IF(日別集計!AE58="","",日別集計!AE58)</f>
        <v>4</v>
      </c>
      <c r="Q58" s="50">
        <f>IF(日別集計!AF58="","",日別集計!AF58)</f>
        <v>17</v>
      </c>
      <c r="R58" s="57" t="str">
        <f>IF(日別集計!AG58="","",日別集計!AG58)</f>
        <v>資材搬入</v>
      </c>
    </row>
    <row r="59" spans="1:18" ht="16.5" x14ac:dyDescent="0.3">
      <c r="A59" s="51">
        <f>IF(日別集計!A59="","",日別集計!A59)</f>
        <v>46186</v>
      </c>
      <c r="B59" s="52" t="str">
        <f>IF(日別集計!B59="","",日別集計!B59)</f>
        <v>土</v>
      </c>
      <c r="C59" s="53">
        <f>IF(日別集計!R59="","",日別集計!R59)</f>
        <v>0</v>
      </c>
      <c r="D59" s="53">
        <f>IF(日別集計!S59="","",日別集計!S59)</f>
        <v>7</v>
      </c>
      <c r="E59" s="53">
        <f>IF(日別集計!T59="","",日別集計!T59)</f>
        <v>6</v>
      </c>
      <c r="F59" s="53">
        <f>IF(日別集計!U59="","",日別集計!U59)</f>
        <v>8</v>
      </c>
      <c r="G59" s="53">
        <f>IF(日別集計!V59="","",日別集計!V59)</f>
        <v>0</v>
      </c>
      <c r="H59" s="53">
        <f>IF(日別集計!W59="","",日別集計!W59)</f>
        <v>0</v>
      </c>
      <c r="I59" s="53">
        <f>IF(日別集計!X59="","",日別集計!X59)</f>
        <v>0</v>
      </c>
      <c r="J59" s="53">
        <f>IF(日別集計!Y59="","",日別集計!Y59)</f>
        <v>0</v>
      </c>
      <c r="K59" s="53">
        <f>IF(日別集計!Z59="","",日別集計!Z59)</f>
        <v>0</v>
      </c>
      <c r="L59" s="53">
        <f>IF(日別集計!AA59="","",日別集計!AA59)</f>
        <v>0</v>
      </c>
      <c r="M59" s="53">
        <f>IF(日別集計!AB59="","",日別集計!AB59)</f>
        <v>0</v>
      </c>
      <c r="N59" s="53">
        <f>IF(日別集計!AC59="","",日別集計!AC59)</f>
        <v>0</v>
      </c>
      <c r="O59" s="53">
        <f>IF(日別集計!AD59="","",日別集計!AD59)</f>
        <v>13</v>
      </c>
      <c r="P59" s="53">
        <f>IF(日別集計!AE59="","",日別集計!AE59)</f>
        <v>8</v>
      </c>
      <c r="Q59" s="53">
        <f>IF(日別集計!AF59="","",日別集計!AF59)</f>
        <v>21</v>
      </c>
      <c r="R59" s="58" t="str">
        <f>IF(日別集計!AG59="","",日別集計!AG59)</f>
        <v>資材搬入</v>
      </c>
    </row>
    <row r="60" spans="1:18" ht="16.5" x14ac:dyDescent="0.3">
      <c r="A60" s="51">
        <f>IF(日別集計!A60="","",日別集計!A60)</f>
        <v>46187</v>
      </c>
      <c r="B60" s="52" t="str">
        <f>IF(日別集計!B60="","",日別集計!B60)</f>
        <v>日</v>
      </c>
      <c r="C60" s="53">
        <f>IF(日別集計!R60="","",日別集計!R60)</f>
        <v>0</v>
      </c>
      <c r="D60" s="53">
        <f>IF(日別集計!S60="","",日別集計!S60)</f>
        <v>7</v>
      </c>
      <c r="E60" s="53">
        <f>IF(日別集計!T60="","",日別集計!T60)</f>
        <v>6</v>
      </c>
      <c r="F60" s="53">
        <f>IF(日別集計!U60="","",日別集計!U60)</f>
        <v>8</v>
      </c>
      <c r="G60" s="53">
        <f>IF(日別集計!V60="","",日別集計!V60)</f>
        <v>0</v>
      </c>
      <c r="H60" s="53">
        <f>IF(日別集計!W60="","",日別集計!W60)</f>
        <v>0</v>
      </c>
      <c r="I60" s="53">
        <f>IF(日別集計!X60="","",日別集計!X60)</f>
        <v>0</v>
      </c>
      <c r="J60" s="53">
        <f>IF(日別集計!Y60="","",日別集計!Y60)</f>
        <v>0</v>
      </c>
      <c r="K60" s="53">
        <f>IF(日別集計!Z60="","",日別集計!Z60)</f>
        <v>0</v>
      </c>
      <c r="L60" s="53">
        <f>IF(日別集計!AA60="","",日別集計!AA60)</f>
        <v>0</v>
      </c>
      <c r="M60" s="53">
        <f>IF(日別集計!AB60="","",日別集計!AB60)</f>
        <v>0</v>
      </c>
      <c r="N60" s="53">
        <f>IF(日別集計!AC60="","",日別集計!AC60)</f>
        <v>0</v>
      </c>
      <c r="O60" s="53">
        <f>IF(日別集計!AD60="","",日別集計!AD60)</f>
        <v>13</v>
      </c>
      <c r="P60" s="53">
        <f>IF(日別集計!AE60="","",日別集計!AE60)</f>
        <v>8</v>
      </c>
      <c r="Q60" s="53">
        <f>IF(日別集計!AF60="","",日別集計!AF60)</f>
        <v>21</v>
      </c>
      <c r="R60" s="58" t="str">
        <f>IF(日別集計!AG60="","",日別集計!AG60)</f>
        <v/>
      </c>
    </row>
    <row r="61" spans="1:18" ht="16.5" x14ac:dyDescent="0.3">
      <c r="A61" s="48">
        <f>IF(日別集計!A61="","",日別集計!A61)</f>
        <v>46188</v>
      </c>
      <c r="B61" s="49" t="str">
        <f>IF(日別集計!B61="","",日別集計!B61)</f>
        <v>月</v>
      </c>
      <c r="C61" s="50">
        <f>IF(日別集計!R61="","",日別集計!R61)</f>
        <v>0</v>
      </c>
      <c r="D61" s="50">
        <f>IF(日別集計!S61="","",日別集計!S61)</f>
        <v>7</v>
      </c>
      <c r="E61" s="50">
        <f>IF(日別集計!T61="","",日別集計!T61)</f>
        <v>6</v>
      </c>
      <c r="F61" s="50">
        <f>IF(日別集計!U61="","",日別集計!U61)</f>
        <v>12</v>
      </c>
      <c r="G61" s="50">
        <f>IF(日別集計!V61="","",日別集計!V61)</f>
        <v>0</v>
      </c>
      <c r="H61" s="50">
        <f>IF(日別集計!W61="","",日別集計!W61)</f>
        <v>0</v>
      </c>
      <c r="I61" s="50">
        <f>IF(日別集計!X61="","",日別集計!X61)</f>
        <v>0</v>
      </c>
      <c r="J61" s="50">
        <f>IF(日別集計!Y61="","",日別集計!Y61)</f>
        <v>0</v>
      </c>
      <c r="K61" s="50">
        <f>IF(日別集計!Z61="","",日別集計!Z61)</f>
        <v>0</v>
      </c>
      <c r="L61" s="50">
        <f>IF(日別集計!AA61="","",日別集計!AA61)</f>
        <v>0</v>
      </c>
      <c r="M61" s="50">
        <f>IF(日別集計!AB61="","",日別集計!AB61)</f>
        <v>0</v>
      </c>
      <c r="N61" s="50">
        <f>IF(日別集計!AC61="","",日別集計!AC61)</f>
        <v>0</v>
      </c>
      <c r="O61" s="50">
        <f>IF(日別集計!AD61="","",日別集計!AD61)</f>
        <v>13</v>
      </c>
      <c r="P61" s="50">
        <f>IF(日別集計!AE61="","",日別集計!AE61)</f>
        <v>12</v>
      </c>
      <c r="Q61" s="50">
        <f>IF(日別集計!AF61="","",日別集計!AF61)</f>
        <v>25</v>
      </c>
      <c r="R61" s="57" t="str">
        <f>IF(日別集計!AG61="","",日別集計!AG61)</f>
        <v>地盤改良工事 作業開始</v>
      </c>
    </row>
    <row r="62" spans="1:18" ht="16.5" x14ac:dyDescent="0.3">
      <c r="A62" s="48">
        <f>IF(日別集計!A62="","",日別集計!A62)</f>
        <v>46189</v>
      </c>
      <c r="B62" s="49" t="str">
        <f>IF(日別集計!B62="","",日別集計!B62)</f>
        <v>火</v>
      </c>
      <c r="C62" s="50">
        <f>IF(日別集計!R62="","",日別集計!R62)</f>
        <v>0</v>
      </c>
      <c r="D62" s="50">
        <f>IF(日別集計!S62="","",日別集計!S62)</f>
        <v>7</v>
      </c>
      <c r="E62" s="50">
        <f>IF(日別集計!T62="","",日別集計!T62)</f>
        <v>6</v>
      </c>
      <c r="F62" s="50">
        <f>IF(日別集計!U62="","",日別集計!U62)</f>
        <v>15</v>
      </c>
      <c r="G62" s="50">
        <f>IF(日別集計!V62="","",日別集計!V62)</f>
        <v>0</v>
      </c>
      <c r="H62" s="50">
        <f>IF(日別集計!W62="","",日別集計!W62)</f>
        <v>0</v>
      </c>
      <c r="I62" s="50">
        <f>IF(日別集計!X62="","",日別集計!X62)</f>
        <v>0</v>
      </c>
      <c r="J62" s="50">
        <f>IF(日別集計!Y62="","",日別集計!Y62)</f>
        <v>0</v>
      </c>
      <c r="K62" s="50">
        <f>IF(日別集計!Z62="","",日別集計!Z62)</f>
        <v>0</v>
      </c>
      <c r="L62" s="50">
        <f>IF(日別集計!AA62="","",日別集計!AA62)</f>
        <v>0</v>
      </c>
      <c r="M62" s="50">
        <f>IF(日別集計!AB62="","",日別集計!AB62)</f>
        <v>0</v>
      </c>
      <c r="N62" s="50">
        <f>IF(日別集計!AC62="","",日別集計!AC62)</f>
        <v>0</v>
      </c>
      <c r="O62" s="50">
        <f>IF(日別集計!AD62="","",日別集計!AD62)</f>
        <v>13</v>
      </c>
      <c r="P62" s="50">
        <f>IF(日別集計!AE62="","",日別集計!AE62)</f>
        <v>15</v>
      </c>
      <c r="Q62" s="50">
        <f>IF(日別集計!AF62="","",日別集計!AF62)</f>
        <v>28</v>
      </c>
      <c r="R62" s="57" t="str">
        <f>IF(日別集計!AG62="","",日別集計!AG62)</f>
        <v>地盤改良（雨のため半日）</v>
      </c>
    </row>
    <row r="63" spans="1:18" ht="16.5" x14ac:dyDescent="0.3">
      <c r="A63" s="48">
        <f>IF(日別集計!A63="","",日別集計!A63)</f>
        <v>46190</v>
      </c>
      <c r="B63" s="49" t="str">
        <f>IF(日別集計!B63="","",日別集計!B63)</f>
        <v>水</v>
      </c>
      <c r="C63" s="50">
        <f>IF(日別集計!R63="","",日別集計!R63)</f>
        <v>0</v>
      </c>
      <c r="D63" s="50">
        <f>IF(日別集計!S63="","",日別集計!S63)</f>
        <v>7</v>
      </c>
      <c r="E63" s="50">
        <f>IF(日別集計!T63="","",日別集計!T63)</f>
        <v>6</v>
      </c>
      <c r="F63" s="50">
        <f>IF(日別集計!U63="","",日別集計!U63)</f>
        <v>18</v>
      </c>
      <c r="G63" s="50">
        <f>IF(日別集計!V63="","",日別集計!V63)</f>
        <v>0</v>
      </c>
      <c r="H63" s="50">
        <f>IF(日別集計!W63="","",日別集計!W63)</f>
        <v>0</v>
      </c>
      <c r="I63" s="50">
        <f>IF(日別集計!X63="","",日別集計!X63)</f>
        <v>0</v>
      </c>
      <c r="J63" s="50">
        <f>IF(日別集計!Y63="","",日別集計!Y63)</f>
        <v>0</v>
      </c>
      <c r="K63" s="50">
        <f>IF(日別集計!Z63="","",日別集計!Z63)</f>
        <v>0</v>
      </c>
      <c r="L63" s="50">
        <f>IF(日別集計!AA63="","",日別集計!AA63)</f>
        <v>0</v>
      </c>
      <c r="M63" s="50">
        <f>IF(日別集計!AB63="","",日別集計!AB63)</f>
        <v>0</v>
      </c>
      <c r="N63" s="50">
        <f>IF(日別集計!AC63="","",日別集計!AC63)</f>
        <v>0</v>
      </c>
      <c r="O63" s="50">
        <f>IF(日別集計!AD63="","",日別集計!AD63)</f>
        <v>13</v>
      </c>
      <c r="P63" s="50">
        <f>IF(日別集計!AE63="","",日別集計!AE63)</f>
        <v>18</v>
      </c>
      <c r="Q63" s="50">
        <f>IF(日別集計!AF63="","",日別集計!AF63)</f>
        <v>31</v>
      </c>
      <c r="R63" s="57" t="str">
        <f>IF(日別集計!AG63="","",日別集計!AG63)</f>
        <v>地盤改良作業</v>
      </c>
    </row>
    <row r="64" spans="1:18" ht="16.5" x14ac:dyDescent="0.3">
      <c r="A64" s="48">
        <f>IF(日別集計!A64="","",日別集計!A64)</f>
        <v>46191</v>
      </c>
      <c r="B64" s="49" t="str">
        <f>IF(日別集計!B64="","",日別集計!B64)</f>
        <v>木</v>
      </c>
      <c r="C64" s="50">
        <f>IF(日別集計!R64="","",日別集計!R64)</f>
        <v>0</v>
      </c>
      <c r="D64" s="50">
        <f>IF(日別集計!S64="","",日別集計!S64)</f>
        <v>7</v>
      </c>
      <c r="E64" s="50">
        <f>IF(日別集計!T64="","",日別集計!T64)</f>
        <v>6</v>
      </c>
      <c r="F64" s="50">
        <f>IF(日別集計!U64="","",日別集計!U64)</f>
        <v>21</v>
      </c>
      <c r="G64" s="50">
        <f>IF(日別集計!V64="","",日別集計!V64)</f>
        <v>0</v>
      </c>
      <c r="H64" s="50">
        <f>IF(日別集計!W64="","",日別集計!W64)</f>
        <v>0</v>
      </c>
      <c r="I64" s="50">
        <f>IF(日別集計!X64="","",日別集計!X64)</f>
        <v>0</v>
      </c>
      <c r="J64" s="50">
        <f>IF(日別集計!Y64="","",日別集計!Y64)</f>
        <v>0</v>
      </c>
      <c r="K64" s="50">
        <f>IF(日別集計!Z64="","",日別集計!Z64)</f>
        <v>0</v>
      </c>
      <c r="L64" s="50">
        <f>IF(日別集計!AA64="","",日別集計!AA64)</f>
        <v>0</v>
      </c>
      <c r="M64" s="50">
        <f>IF(日別集計!AB64="","",日別集計!AB64)</f>
        <v>0</v>
      </c>
      <c r="N64" s="50">
        <f>IF(日別集計!AC64="","",日別集計!AC64)</f>
        <v>0</v>
      </c>
      <c r="O64" s="50">
        <f>IF(日別集計!AD64="","",日別集計!AD64)</f>
        <v>13</v>
      </c>
      <c r="P64" s="50">
        <f>IF(日別集計!AE64="","",日別集計!AE64)</f>
        <v>21</v>
      </c>
      <c r="Q64" s="50">
        <f>IF(日別集計!AF64="","",日別集計!AF64)</f>
        <v>34</v>
      </c>
      <c r="R64" s="57" t="str">
        <f>IF(日別集計!AG64="","",日別集計!AG64)</f>
        <v>地盤改良作業</v>
      </c>
    </row>
    <row r="65" spans="1:18" ht="16.5" x14ac:dyDescent="0.3">
      <c r="A65" s="48">
        <f>IF(日別集計!A65="","",日別集計!A65)</f>
        <v>46192</v>
      </c>
      <c r="B65" s="49" t="str">
        <f>IF(日別集計!B65="","",日別集計!B65)</f>
        <v>金</v>
      </c>
      <c r="C65" s="50">
        <f>IF(日別集計!R65="","",日別集計!R65)</f>
        <v>0</v>
      </c>
      <c r="D65" s="50">
        <f>IF(日別集計!S65="","",日別集計!S65)</f>
        <v>7</v>
      </c>
      <c r="E65" s="50">
        <f>IF(日別集計!T65="","",日別集計!T65)</f>
        <v>6</v>
      </c>
      <c r="F65" s="50">
        <f>IF(日別集計!U65="","",日別集計!U65)</f>
        <v>24</v>
      </c>
      <c r="G65" s="50">
        <f>IF(日別集計!V65="","",日別集計!V65)</f>
        <v>0</v>
      </c>
      <c r="H65" s="50">
        <f>IF(日別集計!W65="","",日別集計!W65)</f>
        <v>0</v>
      </c>
      <c r="I65" s="50">
        <f>IF(日別集計!X65="","",日別集計!X65)</f>
        <v>0</v>
      </c>
      <c r="J65" s="50">
        <f>IF(日別集計!Y65="","",日別集計!Y65)</f>
        <v>0</v>
      </c>
      <c r="K65" s="50">
        <f>IF(日別集計!Z65="","",日別集計!Z65)</f>
        <v>0</v>
      </c>
      <c r="L65" s="50">
        <f>IF(日別集計!AA65="","",日別集計!AA65)</f>
        <v>0</v>
      </c>
      <c r="M65" s="50">
        <f>IF(日別集計!AB65="","",日別集計!AB65)</f>
        <v>0</v>
      </c>
      <c r="N65" s="50">
        <f>IF(日別集計!AC65="","",日別集計!AC65)</f>
        <v>0</v>
      </c>
      <c r="O65" s="50">
        <f>IF(日別集計!AD65="","",日別集計!AD65)</f>
        <v>13</v>
      </c>
      <c r="P65" s="50">
        <f>IF(日別集計!AE65="","",日別集計!AE65)</f>
        <v>24</v>
      </c>
      <c r="Q65" s="50">
        <f>IF(日別集計!AF65="","",日別集計!AF65)</f>
        <v>37</v>
      </c>
      <c r="R65" s="57" t="str">
        <f>IF(日別集計!AG65="","",日別集計!AG65)</f>
        <v>地盤改良作業（この日で作業終了）</v>
      </c>
    </row>
    <row r="66" spans="1:18" ht="16.5" x14ac:dyDescent="0.3">
      <c r="A66" s="51">
        <f>IF(日別集計!A66="","",日別集計!A66)</f>
        <v>46193</v>
      </c>
      <c r="B66" s="52" t="str">
        <f>IF(日別集計!B66="","",日別集計!B66)</f>
        <v>土</v>
      </c>
      <c r="C66" s="53">
        <f>IF(日別集計!R66="","",日別集計!R66)</f>
        <v>0</v>
      </c>
      <c r="D66" s="53">
        <f>IF(日別集計!S66="","",日別集計!S66)</f>
        <v>7</v>
      </c>
      <c r="E66" s="53">
        <f>IF(日別集計!T66="","",日別集計!T66)</f>
        <v>6</v>
      </c>
      <c r="F66" s="53">
        <f>IF(日別集計!U66="","",日別集計!U66)</f>
        <v>24</v>
      </c>
      <c r="G66" s="53">
        <f>IF(日別集計!V66="","",日別集計!V66)</f>
        <v>0</v>
      </c>
      <c r="H66" s="53">
        <f>IF(日別集計!W66="","",日別集計!W66)</f>
        <v>0</v>
      </c>
      <c r="I66" s="53">
        <f>IF(日別集計!X66="","",日別集計!X66)</f>
        <v>0</v>
      </c>
      <c r="J66" s="53">
        <f>IF(日別集計!Y66="","",日別集計!Y66)</f>
        <v>0</v>
      </c>
      <c r="K66" s="53">
        <f>IF(日別集計!Z66="","",日別集計!Z66)</f>
        <v>0</v>
      </c>
      <c r="L66" s="53">
        <f>IF(日別集計!AA66="","",日別集計!AA66)</f>
        <v>0</v>
      </c>
      <c r="M66" s="53">
        <f>IF(日別集計!AB66="","",日別集計!AB66)</f>
        <v>0</v>
      </c>
      <c r="N66" s="53">
        <f>IF(日別集計!AC66="","",日別集計!AC66)</f>
        <v>0</v>
      </c>
      <c r="O66" s="53">
        <f>IF(日別集計!AD66="","",日別集計!AD66)</f>
        <v>13</v>
      </c>
      <c r="P66" s="53">
        <f>IF(日別集計!AE66="","",日別集計!AE66)</f>
        <v>24</v>
      </c>
      <c r="Q66" s="53">
        <f>IF(日別集計!AF66="","",日別集計!AF66)</f>
        <v>37</v>
      </c>
      <c r="R66" s="58" t="str">
        <f>IF(日別集計!AG66="","",日別集計!AG66)</f>
        <v/>
      </c>
    </row>
    <row r="67" spans="1:18" ht="16.5" x14ac:dyDescent="0.3">
      <c r="A67" s="51">
        <f>IF(日別集計!A67="","",日別集計!A67)</f>
        <v>46194</v>
      </c>
      <c r="B67" s="52" t="str">
        <f>IF(日別集計!B67="","",日別集計!B67)</f>
        <v>日</v>
      </c>
      <c r="C67" s="53">
        <f>IF(日別集計!R67="","",日別集計!R67)</f>
        <v>0</v>
      </c>
      <c r="D67" s="53">
        <f>IF(日別集計!S67="","",日別集計!S67)</f>
        <v>7</v>
      </c>
      <c r="E67" s="53">
        <f>IF(日別集計!T67="","",日別集計!T67)</f>
        <v>6</v>
      </c>
      <c r="F67" s="53">
        <f>IF(日別集計!U67="","",日別集計!U67)</f>
        <v>24</v>
      </c>
      <c r="G67" s="53">
        <f>IF(日別集計!V67="","",日別集計!V67)</f>
        <v>0</v>
      </c>
      <c r="H67" s="53">
        <f>IF(日別集計!W67="","",日別集計!W67)</f>
        <v>0</v>
      </c>
      <c r="I67" s="53">
        <f>IF(日別集計!X67="","",日別集計!X67)</f>
        <v>0</v>
      </c>
      <c r="J67" s="53">
        <f>IF(日別集計!Y67="","",日別集計!Y67)</f>
        <v>0</v>
      </c>
      <c r="K67" s="53">
        <f>IF(日別集計!Z67="","",日別集計!Z67)</f>
        <v>0</v>
      </c>
      <c r="L67" s="53">
        <f>IF(日別集計!AA67="","",日別集計!AA67)</f>
        <v>0</v>
      </c>
      <c r="M67" s="53">
        <f>IF(日別集計!AB67="","",日別集計!AB67)</f>
        <v>0</v>
      </c>
      <c r="N67" s="53">
        <f>IF(日別集計!AC67="","",日別集計!AC67)</f>
        <v>0</v>
      </c>
      <c r="O67" s="53">
        <f>IF(日別集計!AD67="","",日別集計!AD67)</f>
        <v>13</v>
      </c>
      <c r="P67" s="53">
        <f>IF(日別集計!AE67="","",日別集計!AE67)</f>
        <v>24</v>
      </c>
      <c r="Q67" s="53">
        <f>IF(日別集計!AF67="","",日別集計!AF67)</f>
        <v>37</v>
      </c>
      <c r="R67" s="58" t="str">
        <f>IF(日別集計!AG67="","",日別集計!AG67)</f>
        <v/>
      </c>
    </row>
    <row r="68" spans="1:18" ht="16.5" x14ac:dyDescent="0.3">
      <c r="A68" s="48">
        <f>IF(日別集計!A68="","",日別集計!A68)</f>
        <v>46195</v>
      </c>
      <c r="B68" s="49" t="str">
        <f>IF(日別集計!B68="","",日別集計!B68)</f>
        <v>月</v>
      </c>
      <c r="C68" s="50">
        <f>IF(日別集計!R68="","",日別集計!R68)</f>
        <v>0</v>
      </c>
      <c r="D68" s="50">
        <f>IF(日別集計!S68="","",日別集計!S68)</f>
        <v>7</v>
      </c>
      <c r="E68" s="50">
        <f>IF(日別集計!T68="","",日別集計!T68)</f>
        <v>6</v>
      </c>
      <c r="F68" s="50">
        <f>IF(日別集計!U68="","",日別集計!U68)</f>
        <v>27</v>
      </c>
      <c r="G68" s="50">
        <f>IF(日別集計!V68="","",日別集計!V68)</f>
        <v>0</v>
      </c>
      <c r="H68" s="50">
        <f>IF(日別集計!W68="","",日別集計!W68)</f>
        <v>0</v>
      </c>
      <c r="I68" s="50">
        <f>IF(日別集計!X68="","",日別集計!X68)</f>
        <v>0</v>
      </c>
      <c r="J68" s="50">
        <f>IF(日別集計!Y68="","",日別集計!Y68)</f>
        <v>0</v>
      </c>
      <c r="K68" s="50">
        <f>IF(日別集計!Z68="","",日別集計!Z68)</f>
        <v>0</v>
      </c>
      <c r="L68" s="50">
        <f>IF(日別集計!AA68="","",日別集計!AA68)</f>
        <v>0</v>
      </c>
      <c r="M68" s="50">
        <f>IF(日別集計!AB68="","",日別集計!AB68)</f>
        <v>0</v>
      </c>
      <c r="N68" s="50">
        <f>IF(日別集計!AC68="","",日別集計!AC68)</f>
        <v>0</v>
      </c>
      <c r="O68" s="50">
        <f>IF(日別集計!AD68="","",日別集計!AD68)</f>
        <v>13</v>
      </c>
      <c r="P68" s="50">
        <f>IF(日別集計!AE68="","",日別集計!AE68)</f>
        <v>27</v>
      </c>
      <c r="Q68" s="50">
        <f>IF(日別集計!AF68="","",日別集計!AF68)</f>
        <v>40</v>
      </c>
      <c r="R68" s="57" t="str">
        <f>IF(日別集計!AG68="","",日別集計!AG68)</f>
        <v>地盤改良機材 解体片付け</v>
      </c>
    </row>
    <row r="69" spans="1:18" ht="16.5" x14ac:dyDescent="0.3">
      <c r="A69" s="48">
        <f>IF(日別集計!A69="","",日別集計!A69)</f>
        <v>46196</v>
      </c>
      <c r="B69" s="49" t="str">
        <f>IF(日別集計!B69="","",日別集計!B69)</f>
        <v>火</v>
      </c>
      <c r="C69" s="50">
        <f>IF(日別集計!R69="","",日別集計!R69)</f>
        <v>0</v>
      </c>
      <c r="D69" s="50">
        <f>IF(日別集計!S69="","",日別集計!S69)</f>
        <v>7</v>
      </c>
      <c r="E69" s="50">
        <f>IF(日別集計!T69="","",日別集計!T69)</f>
        <v>6</v>
      </c>
      <c r="F69" s="50">
        <f>IF(日別集計!U69="","",日別集計!U69)</f>
        <v>30</v>
      </c>
      <c r="G69" s="50">
        <f>IF(日別集計!V69="","",日別集計!V69)</f>
        <v>0</v>
      </c>
      <c r="H69" s="50">
        <f>IF(日別集計!W69="","",日別集計!W69)</f>
        <v>0</v>
      </c>
      <c r="I69" s="50">
        <f>IF(日別集計!X69="","",日別集計!X69)</f>
        <v>0</v>
      </c>
      <c r="J69" s="50">
        <f>IF(日別集計!Y69="","",日別集計!Y69)</f>
        <v>0</v>
      </c>
      <c r="K69" s="50">
        <f>IF(日別集計!Z69="","",日別集計!Z69)</f>
        <v>0</v>
      </c>
      <c r="L69" s="50">
        <f>IF(日別集計!AA69="","",日別集計!AA69)</f>
        <v>0</v>
      </c>
      <c r="M69" s="50">
        <f>IF(日別集計!AB69="","",日別集計!AB69)</f>
        <v>0</v>
      </c>
      <c r="N69" s="50">
        <f>IF(日別集計!AC69="","",日別集計!AC69)</f>
        <v>0</v>
      </c>
      <c r="O69" s="50">
        <f>IF(日別集計!AD69="","",日別集計!AD69)</f>
        <v>13</v>
      </c>
      <c r="P69" s="50">
        <f>IF(日別集計!AE69="","",日別集計!AE69)</f>
        <v>30</v>
      </c>
      <c r="Q69" s="50">
        <f>IF(日別集計!AF69="","",日別集計!AF69)</f>
        <v>43</v>
      </c>
      <c r="R69" s="57" t="str">
        <f>IF(日別集計!AG69="","",日別集計!AG69)</f>
        <v>地盤改良機材 解体片付け（全作業終了）</v>
      </c>
    </row>
    <row r="70" spans="1:18" ht="16.5" x14ac:dyDescent="0.3">
      <c r="A70" s="48">
        <f>IF(日別集計!A70="","",日別集計!A70)</f>
        <v>46197</v>
      </c>
      <c r="B70" s="49" t="str">
        <f>IF(日別集計!B70="","",日別集計!B70)</f>
        <v>水</v>
      </c>
      <c r="C70" s="50">
        <f>IF(日別集計!R70="","",日別集計!R70)</f>
        <v>0</v>
      </c>
      <c r="D70" s="50">
        <f>IF(日別集計!S70="","",日別集計!S70)</f>
        <v>7</v>
      </c>
      <c r="E70" s="50">
        <f>IF(日別集計!T70="","",日別集計!T70)</f>
        <v>6</v>
      </c>
      <c r="F70" s="50">
        <f>IF(日別集計!U70="","",日別集計!U70)</f>
        <v>30</v>
      </c>
      <c r="G70" s="50">
        <f>IF(日別集計!V70="","",日別集計!V70)</f>
        <v>3</v>
      </c>
      <c r="H70" s="50">
        <f>IF(日別集計!W70="","",日別集計!W70)</f>
        <v>0</v>
      </c>
      <c r="I70" s="50">
        <f>IF(日別集計!X70="","",日別集計!X70)</f>
        <v>0</v>
      </c>
      <c r="J70" s="50">
        <f>IF(日別集計!Y70="","",日別集計!Y70)</f>
        <v>0</v>
      </c>
      <c r="K70" s="50">
        <f>IF(日別集計!Z70="","",日別集計!Z70)</f>
        <v>0</v>
      </c>
      <c r="L70" s="50">
        <f>IF(日別集計!AA70="","",日別集計!AA70)</f>
        <v>0</v>
      </c>
      <c r="M70" s="50">
        <f>IF(日別集計!AB70="","",日別集計!AB70)</f>
        <v>0</v>
      </c>
      <c r="N70" s="50">
        <f>IF(日別集計!AC70="","",日別集計!AC70)</f>
        <v>0</v>
      </c>
      <c r="O70" s="50">
        <f>IF(日別集計!AD70="","",日別集計!AD70)</f>
        <v>16</v>
      </c>
      <c r="P70" s="50">
        <f>IF(日別集計!AE70="","",日別集計!AE70)</f>
        <v>30</v>
      </c>
      <c r="Q70" s="50">
        <f>IF(日別集計!AF70="","",日別集計!AF70)</f>
        <v>46</v>
      </c>
      <c r="R70" s="57" t="str">
        <f>IF(日別集計!AG70="","",日別集計!AG70)</f>
        <v>掘削作業開始（掘削前整地）、建物位置出し</v>
      </c>
    </row>
    <row r="71" spans="1:18" ht="16.5" x14ac:dyDescent="0.3">
      <c r="A71" s="48">
        <f>IF(日別集計!A71="","",日別集計!A71)</f>
        <v>46198</v>
      </c>
      <c r="B71" s="49" t="str">
        <f>IF(日別集計!B71="","",日別集計!B71)</f>
        <v>木</v>
      </c>
      <c r="C71" s="50">
        <f>IF(日別集計!R71="","",日別集計!R71)</f>
        <v>0</v>
      </c>
      <c r="D71" s="50">
        <f>IF(日別集計!S71="","",日別集計!S71)</f>
        <v>7</v>
      </c>
      <c r="E71" s="50">
        <f>IF(日別集計!T71="","",日別集計!T71)</f>
        <v>6</v>
      </c>
      <c r="F71" s="50">
        <f>IF(日別集計!U71="","",日別集計!U71)</f>
        <v>30</v>
      </c>
      <c r="G71" s="50">
        <f>IF(日別集計!V71="","",日別集計!V71)</f>
        <v>6</v>
      </c>
      <c r="H71" s="50">
        <f>IF(日別集計!W71="","",日別集計!W71)</f>
        <v>0</v>
      </c>
      <c r="I71" s="50">
        <f>IF(日別集計!X71="","",日別集計!X71)</f>
        <v>0</v>
      </c>
      <c r="J71" s="50">
        <f>IF(日別集計!Y71="","",日別集計!Y71)</f>
        <v>0</v>
      </c>
      <c r="K71" s="50">
        <f>IF(日別集計!Z71="","",日別集計!Z71)</f>
        <v>0</v>
      </c>
      <c r="L71" s="50">
        <f>IF(日別集計!AA71="","",日別集計!AA71)</f>
        <v>0</v>
      </c>
      <c r="M71" s="50">
        <f>IF(日別集計!AB71="","",日別集計!AB71)</f>
        <v>0</v>
      </c>
      <c r="N71" s="50">
        <f>IF(日別集計!AC71="","",日別集計!AC71)</f>
        <v>0</v>
      </c>
      <c r="O71" s="50">
        <f>IF(日別集計!AD71="","",日別集計!AD71)</f>
        <v>19</v>
      </c>
      <c r="P71" s="50">
        <f>IF(日別集計!AE71="","",日別集計!AE71)</f>
        <v>30</v>
      </c>
      <c r="Q71" s="50">
        <f>IF(日別集計!AF71="","",日別集計!AF71)</f>
        <v>49</v>
      </c>
      <c r="R71" s="57" t="str">
        <f>IF(日別集計!AG71="","",日別集計!AG71)</f>
        <v>基礎掘削作業</v>
      </c>
    </row>
    <row r="72" spans="1:18" ht="16.5" x14ac:dyDescent="0.3">
      <c r="A72" s="48">
        <f>IF(日別集計!A72="","",日別集計!A72)</f>
        <v>46199</v>
      </c>
      <c r="B72" s="49" t="str">
        <f>IF(日別集計!B72="","",日別集計!B72)</f>
        <v>金</v>
      </c>
      <c r="C72" s="50">
        <f>IF(日別集計!R72="","",日別集計!R72)</f>
        <v>0</v>
      </c>
      <c r="D72" s="50">
        <f>IF(日別集計!S72="","",日別集計!S72)</f>
        <v>7</v>
      </c>
      <c r="E72" s="50">
        <f>IF(日別集計!T72="","",日別集計!T72)</f>
        <v>6</v>
      </c>
      <c r="F72" s="50">
        <f>IF(日別集計!U72="","",日別集計!U72)</f>
        <v>30</v>
      </c>
      <c r="G72" s="50">
        <f>IF(日別集計!V72="","",日別集計!V72)</f>
        <v>8</v>
      </c>
      <c r="H72" s="50">
        <f>IF(日別集計!W72="","",日別集計!W72)</f>
        <v>0</v>
      </c>
      <c r="I72" s="50">
        <f>IF(日別集計!X72="","",日別集計!X72)</f>
        <v>0</v>
      </c>
      <c r="J72" s="50">
        <f>IF(日別集計!Y72="","",日別集計!Y72)</f>
        <v>0</v>
      </c>
      <c r="K72" s="50">
        <f>IF(日別集計!Z72="","",日別集計!Z72)</f>
        <v>0</v>
      </c>
      <c r="L72" s="50">
        <f>IF(日別集計!AA72="","",日別集計!AA72)</f>
        <v>0</v>
      </c>
      <c r="M72" s="50">
        <f>IF(日別集計!AB72="","",日別集計!AB72)</f>
        <v>0</v>
      </c>
      <c r="N72" s="50">
        <f>IF(日別集計!AC72="","",日別集計!AC72)</f>
        <v>0</v>
      </c>
      <c r="O72" s="50">
        <f>IF(日別集計!AD72="","",日別集計!AD72)</f>
        <v>21</v>
      </c>
      <c r="P72" s="50">
        <f>IF(日別集計!AE72="","",日別集計!AE72)</f>
        <v>30</v>
      </c>
      <c r="Q72" s="50">
        <f>IF(日別集計!AF72="","",日別集計!AF72)</f>
        <v>51</v>
      </c>
      <c r="R72" s="57" t="str">
        <f>IF(日別集計!AG72="","",日別集計!AG72)</f>
        <v>基礎掘削作業</v>
      </c>
    </row>
    <row r="73" spans="1:18" ht="16.5" x14ac:dyDescent="0.3">
      <c r="A73" s="51">
        <f>IF(日別集計!A73="","",日別集計!A73)</f>
        <v>46200</v>
      </c>
      <c r="B73" s="52" t="str">
        <f>IF(日別集計!B73="","",日別集計!B73)</f>
        <v>土</v>
      </c>
      <c r="C73" s="53">
        <f>IF(日別集計!R73="","",日別集計!R73)</f>
        <v>0</v>
      </c>
      <c r="D73" s="53">
        <f>IF(日別集計!S73="","",日別集計!S73)</f>
        <v>7</v>
      </c>
      <c r="E73" s="53">
        <f>IF(日別集計!T73="","",日別集計!T73)</f>
        <v>6</v>
      </c>
      <c r="F73" s="53">
        <f>IF(日別集計!U73="","",日別集計!U73)</f>
        <v>30</v>
      </c>
      <c r="G73" s="53">
        <f>IF(日別集計!V73="","",日別集計!V73)</f>
        <v>8</v>
      </c>
      <c r="H73" s="53">
        <f>IF(日別集計!W73="","",日別集計!W73)</f>
        <v>0</v>
      </c>
      <c r="I73" s="53">
        <f>IF(日別集計!X73="","",日別集計!X73)</f>
        <v>0</v>
      </c>
      <c r="J73" s="53">
        <f>IF(日別集計!Y73="","",日別集計!Y73)</f>
        <v>0</v>
      </c>
      <c r="K73" s="53">
        <f>IF(日別集計!Z73="","",日別集計!Z73)</f>
        <v>0</v>
      </c>
      <c r="L73" s="53">
        <f>IF(日別集計!AA73="","",日別集計!AA73)</f>
        <v>0</v>
      </c>
      <c r="M73" s="53">
        <f>IF(日別集計!AB73="","",日別集計!AB73)</f>
        <v>0</v>
      </c>
      <c r="N73" s="53">
        <f>IF(日別集計!AC73="","",日別集計!AC73)</f>
        <v>0</v>
      </c>
      <c r="O73" s="53">
        <f>IF(日別集計!AD73="","",日別集計!AD73)</f>
        <v>21</v>
      </c>
      <c r="P73" s="53">
        <f>IF(日別集計!AE73="","",日別集計!AE73)</f>
        <v>30</v>
      </c>
      <c r="Q73" s="53">
        <f>IF(日別集計!AF73="","",日別集計!AF73)</f>
        <v>51</v>
      </c>
      <c r="R73" s="58" t="str">
        <f>IF(日別集計!AG73="","",日別集計!AG73)</f>
        <v>台風のため作業中断（6/26〜28）</v>
      </c>
    </row>
    <row r="74" spans="1:18" ht="16.5" x14ac:dyDescent="0.3">
      <c r="A74" s="51">
        <f>IF(日別集計!A74="","",日別集計!A74)</f>
        <v>46201</v>
      </c>
      <c r="B74" s="52" t="str">
        <f>IF(日別集計!B74="","",日別集計!B74)</f>
        <v>日</v>
      </c>
      <c r="C74" s="53">
        <f>IF(日別集計!R74="","",日別集計!R74)</f>
        <v>0</v>
      </c>
      <c r="D74" s="53">
        <f>IF(日別集計!S74="","",日別集計!S74)</f>
        <v>7</v>
      </c>
      <c r="E74" s="53">
        <f>IF(日別集計!T74="","",日別集計!T74)</f>
        <v>6</v>
      </c>
      <c r="F74" s="53">
        <f>IF(日別集計!U74="","",日別集計!U74)</f>
        <v>30</v>
      </c>
      <c r="G74" s="53">
        <f>IF(日別集計!V74="","",日別集計!V74)</f>
        <v>8</v>
      </c>
      <c r="H74" s="53">
        <f>IF(日別集計!W74="","",日別集計!W74)</f>
        <v>0</v>
      </c>
      <c r="I74" s="53">
        <f>IF(日別集計!X74="","",日別集計!X74)</f>
        <v>0</v>
      </c>
      <c r="J74" s="53">
        <f>IF(日別集計!Y74="","",日別集計!Y74)</f>
        <v>0</v>
      </c>
      <c r="K74" s="53">
        <f>IF(日別集計!Z74="","",日別集計!Z74)</f>
        <v>0</v>
      </c>
      <c r="L74" s="53">
        <f>IF(日別集計!AA74="","",日別集計!AA74)</f>
        <v>0</v>
      </c>
      <c r="M74" s="53">
        <f>IF(日別集計!AB74="","",日別集計!AB74)</f>
        <v>0</v>
      </c>
      <c r="N74" s="53">
        <f>IF(日別集計!AC74="","",日別集計!AC74)</f>
        <v>0</v>
      </c>
      <c r="O74" s="53">
        <f>IF(日別集計!AD74="","",日別集計!AD74)</f>
        <v>21</v>
      </c>
      <c r="P74" s="53">
        <f>IF(日別集計!AE74="","",日別集計!AE74)</f>
        <v>30</v>
      </c>
      <c r="Q74" s="53">
        <f>IF(日別集計!AF74="","",日別集計!AF74)</f>
        <v>51</v>
      </c>
      <c r="R74" s="58" t="str">
        <f>IF(日別集計!AG74="","",日別集計!AG74)</f>
        <v>台風のため作業中断</v>
      </c>
    </row>
    <row r="75" spans="1:18" ht="16.5" x14ac:dyDescent="0.3">
      <c r="A75" s="48">
        <f>IF(日別集計!A75="","",日別集計!A75)</f>
        <v>46202</v>
      </c>
      <c r="B75" s="49" t="str">
        <f>IF(日別集計!B75="","",日別集計!B75)</f>
        <v>月</v>
      </c>
      <c r="C75" s="50">
        <f>IF(日別集計!R75="","",日別集計!R75)</f>
        <v>0</v>
      </c>
      <c r="D75" s="50">
        <f>IF(日別集計!S75="","",日別集計!S75)</f>
        <v>7</v>
      </c>
      <c r="E75" s="50">
        <f>IF(日別集計!T75="","",日別集計!T75)</f>
        <v>6</v>
      </c>
      <c r="F75" s="50">
        <f>IF(日別集計!U75="","",日別集計!U75)</f>
        <v>30</v>
      </c>
      <c r="G75" s="50">
        <f>IF(日別集計!V75="","",日別集計!V75)</f>
        <v>12</v>
      </c>
      <c r="H75" s="50">
        <f>IF(日別集計!W75="","",日別集計!W75)</f>
        <v>0</v>
      </c>
      <c r="I75" s="50">
        <f>IF(日別集計!X75="","",日別集計!X75)</f>
        <v>0</v>
      </c>
      <c r="J75" s="50">
        <f>IF(日別集計!Y75="","",日別集計!Y75)</f>
        <v>0</v>
      </c>
      <c r="K75" s="50">
        <f>IF(日別集計!Z75="","",日別集計!Z75)</f>
        <v>0</v>
      </c>
      <c r="L75" s="50">
        <f>IF(日別集計!AA75="","",日別集計!AA75)</f>
        <v>0</v>
      </c>
      <c r="M75" s="50">
        <f>IF(日別集計!AB75="","",日別集計!AB75)</f>
        <v>0</v>
      </c>
      <c r="N75" s="50">
        <f>IF(日別集計!AC75="","",日別集計!AC75)</f>
        <v>0</v>
      </c>
      <c r="O75" s="50">
        <f>IF(日別集計!AD75="","",日別集計!AD75)</f>
        <v>25</v>
      </c>
      <c r="P75" s="50">
        <f>IF(日別集計!AE75="","",日別集計!AE75)</f>
        <v>30</v>
      </c>
      <c r="Q75" s="50">
        <f>IF(日別集計!AF75="","",日別集計!AF75)</f>
        <v>55</v>
      </c>
      <c r="R75" s="57" t="str">
        <f>IF(日別集計!AG75="","",日別集計!AG75)</f>
        <v>残りの掘削、白蟻防除散布・土壌処理、土間防湿ポリシート敷込み、捨てコン打設2m3</v>
      </c>
    </row>
    <row r="76" spans="1:18" ht="16.5" x14ac:dyDescent="0.3">
      <c r="A76" s="48">
        <f>IF(日別集計!A76="","",日別集計!A76)</f>
        <v>46203</v>
      </c>
      <c r="B76" s="49" t="str">
        <f>IF(日別集計!B76="","",日別集計!B76)</f>
        <v>火</v>
      </c>
      <c r="C76" s="50">
        <f>IF(日別集計!R76="","",日別集計!R76)</f>
        <v>0</v>
      </c>
      <c r="D76" s="50">
        <f>IF(日別集計!S76="","",日別集計!S76)</f>
        <v>7</v>
      </c>
      <c r="E76" s="50">
        <f>IF(日別集計!T76="","",日別集計!T76)</f>
        <v>6</v>
      </c>
      <c r="F76" s="50">
        <f>IF(日別集計!U76="","",日別集計!U76)</f>
        <v>30</v>
      </c>
      <c r="G76" s="50">
        <f>IF(日別集計!V76="","",日別集計!V76)</f>
        <v>15</v>
      </c>
      <c r="H76" s="50">
        <f>IF(日別集計!W76="","",日別集計!W76)</f>
        <v>0</v>
      </c>
      <c r="I76" s="50">
        <f>IF(日別集計!X76="","",日別集計!X76)</f>
        <v>0</v>
      </c>
      <c r="J76" s="50">
        <f>IF(日別集計!Y76="","",日別集計!Y76)</f>
        <v>0</v>
      </c>
      <c r="K76" s="50">
        <f>IF(日別集計!Z76="","",日別集計!Z76)</f>
        <v>0</v>
      </c>
      <c r="L76" s="50">
        <f>IF(日別集計!AA76="","",日別集計!AA76)</f>
        <v>0</v>
      </c>
      <c r="M76" s="50">
        <f>IF(日別集計!AB76="","",日別集計!AB76)</f>
        <v>0</v>
      </c>
      <c r="N76" s="50">
        <f>IF(日別集計!AC76="","",日別集計!AC76)</f>
        <v>0</v>
      </c>
      <c r="O76" s="50">
        <f>IF(日別集計!AD76="","",日別集計!AD76)</f>
        <v>28</v>
      </c>
      <c r="P76" s="50">
        <f>IF(日別集計!AE76="","",日別集計!AE76)</f>
        <v>30</v>
      </c>
      <c r="Q76" s="50">
        <f>IF(日別集計!AF76="","",日別集計!AF76)</f>
        <v>58</v>
      </c>
      <c r="R76" s="57" t="str">
        <f>IF(日別集計!AG76="","",日別集計!AG76)</f>
        <v>基礎建物位置墨出し、基礎外回り型枠組</v>
      </c>
    </row>
    <row r="77" spans="1:18" ht="16.5" x14ac:dyDescent="0.3">
      <c r="A77" s="48">
        <f>IF(日別集計!A77="","",日別集計!A77)</f>
        <v>46204</v>
      </c>
      <c r="B77" s="49" t="str">
        <f>IF(日別集計!B77="","",日別集計!B77)</f>
        <v>水</v>
      </c>
      <c r="C77" s="50">
        <f>IF(日別集計!R77="","",日別集計!R77)</f>
        <v>0</v>
      </c>
      <c r="D77" s="50">
        <f>IF(日別集計!S77="","",日別集計!S77)</f>
        <v>7</v>
      </c>
      <c r="E77" s="50">
        <f>IF(日別集計!T77="","",日別集計!T77)</f>
        <v>6</v>
      </c>
      <c r="F77" s="50">
        <f>IF(日別集計!U77="","",日別集計!U77)</f>
        <v>30</v>
      </c>
      <c r="G77" s="50">
        <f>IF(日別集計!V77="","",日別集計!V77)</f>
        <v>19</v>
      </c>
      <c r="H77" s="50">
        <f>IF(日別集計!W77="","",日別集計!W77)</f>
        <v>0</v>
      </c>
      <c r="I77" s="50">
        <f>IF(日別集計!X77="","",日別集計!X77)</f>
        <v>0</v>
      </c>
      <c r="J77" s="50">
        <f>IF(日別集計!Y77="","",日別集計!Y77)</f>
        <v>0</v>
      </c>
      <c r="K77" s="50">
        <f>IF(日別集計!Z77="","",日別集計!Z77)</f>
        <v>0</v>
      </c>
      <c r="L77" s="50">
        <f>IF(日別集計!AA77="","",日別集計!AA77)</f>
        <v>0</v>
      </c>
      <c r="M77" s="50">
        <f>IF(日別集計!AB77="","",日別集計!AB77)</f>
        <v>0</v>
      </c>
      <c r="N77" s="50">
        <f>IF(日別集計!AC77="","",日別集計!AC77)</f>
        <v>0</v>
      </c>
      <c r="O77" s="50">
        <f>IF(日別集計!AD77="","",日別集計!AD77)</f>
        <v>30</v>
      </c>
      <c r="P77" s="50">
        <f>IF(日別集計!AE77="","",日別集計!AE77)</f>
        <v>32</v>
      </c>
      <c r="Q77" s="50">
        <f>IF(日別集計!AF77="","",日別集計!AF77)</f>
        <v>62</v>
      </c>
      <c r="R77" s="57" t="str">
        <f>IF(日別集計!AG77="","",日別集計!AG77)</f>
        <v>基礎底盤型枠組</v>
      </c>
    </row>
    <row r="78" spans="1:18" ht="16.5" x14ac:dyDescent="0.3">
      <c r="A78" s="48">
        <f>IF(日別集計!A78="","",日別集計!A78)</f>
        <v>46205</v>
      </c>
      <c r="B78" s="49" t="str">
        <f>IF(日別集計!B78="","",日別集計!B78)</f>
        <v>木</v>
      </c>
      <c r="C78" s="50">
        <f>IF(日別集計!R78="","",日別集計!R78)</f>
        <v>0</v>
      </c>
      <c r="D78" s="50">
        <f>IF(日別集計!S78="","",日別集計!S78)</f>
        <v>7</v>
      </c>
      <c r="E78" s="50">
        <f>IF(日別集計!T78="","",日別集計!T78)</f>
        <v>6</v>
      </c>
      <c r="F78" s="50">
        <f>IF(日別集計!U78="","",日別集計!U78)</f>
        <v>30</v>
      </c>
      <c r="G78" s="50">
        <f>IF(日別集計!V78="","",日別集計!V78)</f>
        <v>21</v>
      </c>
      <c r="H78" s="50">
        <f>IF(日別集計!W78="","",日別集計!W78)</f>
        <v>0</v>
      </c>
      <c r="I78" s="50">
        <f>IF(日別集計!X78="","",日別集計!X78)</f>
        <v>0</v>
      </c>
      <c r="J78" s="50">
        <f>IF(日別集計!Y78="","",日別集計!Y78)</f>
        <v>0</v>
      </c>
      <c r="K78" s="50">
        <f>IF(日別集計!Z78="","",日別集計!Z78)</f>
        <v>0</v>
      </c>
      <c r="L78" s="50">
        <f>IF(日別集計!AA78="","",日別集計!AA78)</f>
        <v>0</v>
      </c>
      <c r="M78" s="50">
        <f>IF(日別集計!AB78="","",日別集計!AB78)</f>
        <v>0</v>
      </c>
      <c r="N78" s="50">
        <f>IF(日別集計!AC78="","",日別集計!AC78)</f>
        <v>0</v>
      </c>
      <c r="O78" s="50">
        <f>IF(日別集計!AD78="","",日別集計!AD78)</f>
        <v>32</v>
      </c>
      <c r="P78" s="50">
        <f>IF(日別集計!AE78="","",日別集計!AE78)</f>
        <v>32</v>
      </c>
      <c r="Q78" s="50">
        <f>IF(日別集計!AF78="","",日別集計!AF78)</f>
        <v>64</v>
      </c>
      <c r="R78" s="57" t="str">
        <f>IF(日別集計!AG78="","",日別集計!AG78)</f>
        <v>底盤型枠組</v>
      </c>
    </row>
    <row r="79" spans="1:18" ht="16.5" x14ac:dyDescent="0.3">
      <c r="A79" s="48">
        <f>IF(日別集計!A79="","",日別集計!A79)</f>
        <v>46206</v>
      </c>
      <c r="B79" s="49" t="str">
        <f>IF(日別集計!B79="","",日別集計!B79)</f>
        <v>金</v>
      </c>
      <c r="C79" s="50">
        <f>IF(日別集計!R79="","",日別集計!R79)</f>
        <v>0</v>
      </c>
      <c r="D79" s="50">
        <f>IF(日別集計!S79="","",日別集計!S79)</f>
        <v>7</v>
      </c>
      <c r="E79" s="50">
        <f>IF(日別集計!T79="","",日別集計!T79)</f>
        <v>6</v>
      </c>
      <c r="F79" s="50">
        <f>IF(日別集計!U79="","",日別集計!U79)</f>
        <v>30</v>
      </c>
      <c r="G79" s="50">
        <f>IF(日別集計!V79="","",日別集計!V79)</f>
        <v>27</v>
      </c>
      <c r="H79" s="50">
        <f>IF(日別集計!W79="","",日別集計!W79)</f>
        <v>0</v>
      </c>
      <c r="I79" s="50">
        <f>IF(日別集計!X79="","",日別集計!X79)</f>
        <v>0</v>
      </c>
      <c r="J79" s="50">
        <f>IF(日別集計!Y79="","",日別集計!Y79)</f>
        <v>0</v>
      </c>
      <c r="K79" s="50">
        <f>IF(日別集計!Z79="","",日別集計!Z79)</f>
        <v>0</v>
      </c>
      <c r="L79" s="50">
        <f>IF(日別集計!AA79="","",日別集計!AA79)</f>
        <v>0</v>
      </c>
      <c r="M79" s="50">
        <f>IF(日別集計!AB79="","",日別集計!AB79)</f>
        <v>0</v>
      </c>
      <c r="N79" s="50">
        <f>IF(日別集計!AC79="","",日別集計!AC79)</f>
        <v>0</v>
      </c>
      <c r="O79" s="50">
        <f>IF(日別集計!AD79="","",日別集計!AD79)</f>
        <v>35</v>
      </c>
      <c r="P79" s="50">
        <f>IF(日別集計!AE79="","",日別集計!AE79)</f>
        <v>35</v>
      </c>
      <c r="Q79" s="50">
        <f>IF(日別集計!AF79="","",日別集計!AF79)</f>
        <v>70</v>
      </c>
      <c r="R79" s="57" t="str">
        <f>IF(日別集計!AG79="","",日別集計!AG79)</f>
        <v>基礎底盤打設（生コン24m3）</v>
      </c>
    </row>
    <row r="80" spans="1:18" ht="16.5" x14ac:dyDescent="0.3">
      <c r="A80" s="51">
        <f>IF(日別集計!A80="","",日別集計!A80)</f>
        <v>46207</v>
      </c>
      <c r="B80" s="52" t="str">
        <f>IF(日別集計!B80="","",日別集計!B80)</f>
        <v>土</v>
      </c>
      <c r="C80" s="53">
        <f>IF(日別集計!R80="","",日別集計!R80)</f>
        <v>0</v>
      </c>
      <c r="D80" s="53">
        <f>IF(日別集計!S80="","",日別集計!S80)</f>
        <v>7</v>
      </c>
      <c r="E80" s="53">
        <f>IF(日別集計!T80="","",日別集計!T80)</f>
        <v>6</v>
      </c>
      <c r="F80" s="53">
        <f>IF(日別集計!U80="","",日別集計!U80)</f>
        <v>30</v>
      </c>
      <c r="G80" s="53">
        <f>IF(日別集計!V80="","",日別集計!V80)</f>
        <v>32</v>
      </c>
      <c r="H80" s="53">
        <f>IF(日別集計!W80="","",日別集計!W80)</f>
        <v>0</v>
      </c>
      <c r="I80" s="53">
        <f>IF(日別集計!X80="","",日別集計!X80)</f>
        <v>0</v>
      </c>
      <c r="J80" s="53">
        <f>IF(日別集計!Y80="","",日別集計!Y80)</f>
        <v>0</v>
      </c>
      <c r="K80" s="53">
        <f>IF(日別集計!Z80="","",日別集計!Z80)</f>
        <v>0</v>
      </c>
      <c r="L80" s="53">
        <f>IF(日別集計!AA80="","",日別集計!AA80)</f>
        <v>0</v>
      </c>
      <c r="M80" s="53">
        <f>IF(日別集計!AB80="","",日別集計!AB80)</f>
        <v>0</v>
      </c>
      <c r="N80" s="53">
        <f>IF(日別集計!AC80="","",日別集計!AC80)</f>
        <v>0</v>
      </c>
      <c r="O80" s="53">
        <f>IF(日別集計!AD80="","",日別集計!AD80)</f>
        <v>40</v>
      </c>
      <c r="P80" s="53">
        <f>IF(日別集計!AE80="","",日別集計!AE80)</f>
        <v>35</v>
      </c>
      <c r="Q80" s="53">
        <f>IF(日別集計!AF80="","",日別集計!AF80)</f>
        <v>75</v>
      </c>
      <c r="R80" s="58" t="str">
        <f>IF(日別集計!AG80="","",日別集計!AG80)</f>
        <v>基礎墨出し及び型枠組</v>
      </c>
    </row>
    <row r="81" spans="1:18" ht="16.5" x14ac:dyDescent="0.3">
      <c r="A81" s="51">
        <f>IF(日別集計!A81="","",日別集計!A81)</f>
        <v>46208</v>
      </c>
      <c r="B81" s="52" t="str">
        <f>IF(日別集計!B81="","",日別集計!B81)</f>
        <v>日</v>
      </c>
      <c r="C81" s="53">
        <f>IF(日別集計!R81="","",日別集計!R81)</f>
        <v>0</v>
      </c>
      <c r="D81" s="53">
        <f>IF(日別集計!S81="","",日別集計!S81)</f>
        <v>7</v>
      </c>
      <c r="E81" s="53">
        <f>IF(日別集計!T81="","",日別集計!T81)</f>
        <v>6</v>
      </c>
      <c r="F81" s="53">
        <f>IF(日別集計!U81="","",日別集計!U81)</f>
        <v>30</v>
      </c>
      <c r="G81" s="53">
        <f>IF(日別集計!V81="","",日別集計!V81)</f>
        <v>32</v>
      </c>
      <c r="H81" s="53">
        <f>IF(日別集計!W81="","",日別集計!W81)</f>
        <v>0</v>
      </c>
      <c r="I81" s="53">
        <f>IF(日別集計!X81="","",日別集計!X81)</f>
        <v>0</v>
      </c>
      <c r="J81" s="53">
        <f>IF(日別集計!Y81="","",日別集計!Y81)</f>
        <v>0</v>
      </c>
      <c r="K81" s="53">
        <f>IF(日別集計!Z81="","",日別集計!Z81)</f>
        <v>0</v>
      </c>
      <c r="L81" s="53">
        <f>IF(日別集計!AA81="","",日別集計!AA81)</f>
        <v>0</v>
      </c>
      <c r="M81" s="53">
        <f>IF(日別集計!AB81="","",日別集計!AB81)</f>
        <v>0</v>
      </c>
      <c r="N81" s="53">
        <f>IF(日別集計!AC81="","",日別集計!AC81)</f>
        <v>0</v>
      </c>
      <c r="O81" s="53">
        <f>IF(日別集計!AD81="","",日別集計!AD81)</f>
        <v>40</v>
      </c>
      <c r="P81" s="53">
        <f>IF(日別集計!AE81="","",日別集計!AE81)</f>
        <v>35</v>
      </c>
      <c r="Q81" s="53">
        <f>IF(日別集計!AF81="","",日別集計!AF81)</f>
        <v>75</v>
      </c>
      <c r="R81" s="58" t="str">
        <f>IF(日別集計!AG81="","",日別集計!AG81)</f>
        <v/>
      </c>
    </row>
    <row r="82" spans="1:18" ht="16.5" x14ac:dyDescent="0.3">
      <c r="A82" s="48">
        <f>IF(日別集計!A82="","",日別集計!A82)</f>
        <v>46209</v>
      </c>
      <c r="B82" s="49" t="str">
        <f>IF(日別集計!B82="","",日別集計!B82)</f>
        <v>月</v>
      </c>
      <c r="C82" s="50">
        <f>IF(日別集計!R82="","",日別集計!R82)</f>
        <v>0</v>
      </c>
      <c r="D82" s="50">
        <f>IF(日別集計!S82="","",日別集計!S82)</f>
        <v>7</v>
      </c>
      <c r="E82" s="50">
        <f>IF(日別集計!T82="","",日別集計!T82)</f>
        <v>6</v>
      </c>
      <c r="F82" s="50">
        <f>IF(日別集計!U82="","",日別集計!U82)</f>
        <v>30</v>
      </c>
      <c r="G82" s="50">
        <f>IF(日別集計!V82="","",日別集計!V82)</f>
        <v>36</v>
      </c>
      <c r="H82" s="50">
        <f>IF(日別集計!W82="","",日別集計!W82)</f>
        <v>0</v>
      </c>
      <c r="I82" s="50">
        <f>IF(日別集計!X82="","",日別集計!X82)</f>
        <v>0</v>
      </c>
      <c r="J82" s="50">
        <f>IF(日別集計!Y82="","",日別集計!Y82)</f>
        <v>0</v>
      </c>
      <c r="K82" s="50">
        <f>IF(日別集計!Z82="","",日別集計!Z82)</f>
        <v>0</v>
      </c>
      <c r="L82" s="50">
        <f>IF(日別集計!AA82="","",日別集計!AA82)</f>
        <v>0</v>
      </c>
      <c r="M82" s="50">
        <f>IF(日別集計!AB82="","",日別集計!AB82)</f>
        <v>0</v>
      </c>
      <c r="N82" s="50">
        <f>IF(日別集計!AC82="","",日別集計!AC82)</f>
        <v>0</v>
      </c>
      <c r="O82" s="50">
        <f>IF(日別集計!AD82="","",日別集計!AD82)</f>
        <v>44</v>
      </c>
      <c r="P82" s="50">
        <f>IF(日別集計!AE82="","",日別集計!AE82)</f>
        <v>35</v>
      </c>
      <c r="Q82" s="50">
        <f>IF(日別集計!AF82="","",日別集計!AF82)</f>
        <v>79</v>
      </c>
      <c r="R82" s="57" t="str">
        <f>IF(日別集計!AG82="","",日別集計!AG82)</f>
        <v>基礎型枠組</v>
      </c>
    </row>
    <row r="83" spans="1:18" ht="16.5" x14ac:dyDescent="0.3">
      <c r="A83" s="48">
        <f>IF(日別集計!A83="","",日別集計!A83)</f>
        <v>46210</v>
      </c>
      <c r="B83" s="49" t="str">
        <f>IF(日別集計!B83="","",日別集計!B83)</f>
        <v>火</v>
      </c>
      <c r="C83" s="50">
        <f>IF(日別集計!R83="","",日別集計!R83)</f>
        <v>0</v>
      </c>
      <c r="D83" s="50">
        <f>IF(日別集計!S83="","",日別集計!S83)</f>
        <v>7</v>
      </c>
      <c r="E83" s="50">
        <f>IF(日別集計!T83="","",日別集計!T83)</f>
        <v>6</v>
      </c>
      <c r="F83" s="50">
        <f>IF(日別集計!U83="","",日別集計!U83)</f>
        <v>30</v>
      </c>
      <c r="G83" s="50">
        <f>IF(日別集計!V83="","",日別集計!V83)</f>
        <v>41</v>
      </c>
      <c r="H83" s="50">
        <f>IF(日別集計!W83="","",日別集計!W83)</f>
        <v>0</v>
      </c>
      <c r="I83" s="50">
        <f>IF(日別集計!X83="","",日別集計!X83)</f>
        <v>0</v>
      </c>
      <c r="J83" s="50">
        <f>IF(日別集計!Y83="","",日別集計!Y83)</f>
        <v>0</v>
      </c>
      <c r="K83" s="50">
        <f>IF(日別集計!Z83="","",日別集計!Z83)</f>
        <v>0</v>
      </c>
      <c r="L83" s="50">
        <f>IF(日別集計!AA83="","",日別集計!AA83)</f>
        <v>0</v>
      </c>
      <c r="M83" s="50">
        <f>IF(日別集計!AB83="","",日別集計!AB83)</f>
        <v>0</v>
      </c>
      <c r="N83" s="50">
        <f>IF(日別集計!AC83="","",日別集計!AC83)</f>
        <v>0</v>
      </c>
      <c r="O83" s="50">
        <f>IF(日別集計!AD83="","",日別集計!AD83)</f>
        <v>49</v>
      </c>
      <c r="P83" s="50">
        <f>IF(日別集計!AE83="","",日別集計!AE83)</f>
        <v>35</v>
      </c>
      <c r="Q83" s="50">
        <f>IF(日別集計!AF83="","",日別集計!AF83)</f>
        <v>84</v>
      </c>
      <c r="R83" s="57" t="str">
        <f>IF(日別集計!AG83="","",日別集計!AG83)</f>
        <v>型枠組</v>
      </c>
    </row>
    <row r="84" spans="1:18" ht="16.5" x14ac:dyDescent="0.3">
      <c r="A84" s="48">
        <f>IF(日別集計!A84="","",日別集計!A84)</f>
        <v>46211</v>
      </c>
      <c r="B84" s="49" t="str">
        <f>IF(日別集計!B84="","",日別集計!B84)</f>
        <v>水</v>
      </c>
      <c r="C84" s="50">
        <f>IF(日別集計!R84="","",日別集計!R84)</f>
        <v>0</v>
      </c>
      <c r="D84" s="50">
        <f>IF(日別集計!S84="","",日別集計!S84)</f>
        <v>7</v>
      </c>
      <c r="E84" s="50">
        <f>IF(日別集計!T84="","",日別集計!T84)</f>
        <v>6</v>
      </c>
      <c r="F84" s="50">
        <f>IF(日別集計!U84="","",日別集計!U84)</f>
        <v>30</v>
      </c>
      <c r="G84" s="50">
        <f>IF(日別集計!V84="","",日別集計!V84)</f>
        <v>46</v>
      </c>
      <c r="H84" s="50">
        <f>IF(日別集計!W84="","",日別集計!W84)</f>
        <v>0</v>
      </c>
      <c r="I84" s="50">
        <f>IF(日別集計!X84="","",日別集計!X84)</f>
        <v>0</v>
      </c>
      <c r="J84" s="50">
        <f>IF(日別集計!Y84="","",日別集計!Y84)</f>
        <v>0</v>
      </c>
      <c r="K84" s="50">
        <f>IF(日別集計!Z84="","",日別集計!Z84)</f>
        <v>0</v>
      </c>
      <c r="L84" s="50">
        <f>IF(日別集計!AA84="","",日別集計!AA84)</f>
        <v>0</v>
      </c>
      <c r="M84" s="50">
        <f>IF(日別集計!AB84="","",日別集計!AB84)</f>
        <v>0</v>
      </c>
      <c r="N84" s="50">
        <f>IF(日別集計!AC84="","",日別集計!AC84)</f>
        <v>0</v>
      </c>
      <c r="O84" s="50">
        <f>IF(日別集計!AD84="","",日別集計!AD84)</f>
        <v>53</v>
      </c>
      <c r="P84" s="50">
        <f>IF(日別集計!AE84="","",日別集計!AE84)</f>
        <v>36</v>
      </c>
      <c r="Q84" s="50">
        <f>IF(日別集計!AF84="","",日別集計!AF84)</f>
        <v>89</v>
      </c>
      <c r="R84" s="57" t="str">
        <f>IF(日別集計!AG84="","",日別集計!AG84)</f>
        <v>基礎コンクリート打設（生コン車1台 4m3）</v>
      </c>
    </row>
    <row r="85" spans="1:18" ht="16.5" x14ac:dyDescent="0.3">
      <c r="A85" s="48">
        <f>IF(日別集計!A85="","",日別集計!A85)</f>
        <v>46212</v>
      </c>
      <c r="B85" s="49" t="str">
        <f>IF(日別集計!B85="","",日別集計!B85)</f>
        <v>木</v>
      </c>
      <c r="C85" s="50">
        <f>IF(日別集計!R85="","",日別集計!R85)</f>
        <v>0</v>
      </c>
      <c r="D85" s="50">
        <f>IF(日別集計!S85="","",日別集計!S85)</f>
        <v>7</v>
      </c>
      <c r="E85" s="50">
        <f>IF(日別集計!T85="","",日別集計!T85)</f>
        <v>6</v>
      </c>
      <c r="F85" s="50">
        <f>IF(日別集計!U85="","",日別集計!U85)</f>
        <v>30</v>
      </c>
      <c r="G85" s="50">
        <f>IF(日別集計!V85="","",日別集計!V85)</f>
        <v>46</v>
      </c>
      <c r="H85" s="50">
        <f>IF(日別集計!W85="","",日別集計!W85)</f>
        <v>0</v>
      </c>
      <c r="I85" s="50">
        <f>IF(日別集計!X85="","",日別集計!X85)</f>
        <v>0</v>
      </c>
      <c r="J85" s="50">
        <f>IF(日別集計!Y85="","",日別集計!Y85)</f>
        <v>0</v>
      </c>
      <c r="K85" s="50">
        <f>IF(日別集計!Z85="","",日別集計!Z85)</f>
        <v>0</v>
      </c>
      <c r="L85" s="50">
        <f>IF(日別集計!AA85="","",日別集計!AA85)</f>
        <v>0</v>
      </c>
      <c r="M85" s="50">
        <f>IF(日別集計!AB85="","",日別集計!AB85)</f>
        <v>0</v>
      </c>
      <c r="N85" s="50">
        <f>IF(日別集計!AC85="","",日別集計!AC85)</f>
        <v>0</v>
      </c>
      <c r="O85" s="50">
        <f>IF(日別集計!AD85="","",日別集計!AD85)</f>
        <v>53</v>
      </c>
      <c r="P85" s="50">
        <f>IF(日別集計!AE85="","",日別集計!AE85)</f>
        <v>36</v>
      </c>
      <c r="Q85" s="50">
        <f>IF(日別集計!AF85="","",日別集計!AF85)</f>
        <v>89</v>
      </c>
      <c r="R85" s="57" t="str">
        <f>IF(日別集計!AG85="","",日別集計!AG85)</f>
        <v>基礎コンクリート養生期間</v>
      </c>
    </row>
    <row r="86" spans="1:18" ht="16.5" x14ac:dyDescent="0.3">
      <c r="A86" s="48">
        <f>IF(日別集計!A86="","",日別集計!A86)</f>
        <v>46213</v>
      </c>
      <c r="B86" s="49" t="str">
        <f>IF(日別集計!B86="","",日別集計!B86)</f>
        <v>金</v>
      </c>
      <c r="C86" s="50">
        <f>IF(日別集計!R86="","",日別集計!R86)</f>
        <v>0</v>
      </c>
      <c r="D86" s="50">
        <f>IF(日別集計!S86="","",日別集計!S86)</f>
        <v>7</v>
      </c>
      <c r="E86" s="50">
        <f>IF(日別集計!T86="","",日別集計!T86)</f>
        <v>6</v>
      </c>
      <c r="F86" s="50">
        <f>IF(日別集計!U86="","",日別集計!U86)</f>
        <v>30</v>
      </c>
      <c r="G86" s="50">
        <f>IF(日別集計!V86="","",日別集計!V86)</f>
        <v>46</v>
      </c>
      <c r="H86" s="50">
        <f>IF(日別集計!W86="","",日別集計!W86)</f>
        <v>0</v>
      </c>
      <c r="I86" s="50">
        <f>IF(日別集計!X86="","",日別集計!X86)</f>
        <v>0</v>
      </c>
      <c r="J86" s="50">
        <f>IF(日別集計!Y86="","",日別集計!Y86)</f>
        <v>0</v>
      </c>
      <c r="K86" s="50">
        <f>IF(日別集計!Z86="","",日別集計!Z86)</f>
        <v>0</v>
      </c>
      <c r="L86" s="50">
        <f>IF(日別集計!AA86="","",日別集計!AA86)</f>
        <v>0</v>
      </c>
      <c r="M86" s="50">
        <f>IF(日別集計!AB86="","",日別集計!AB86)</f>
        <v>0</v>
      </c>
      <c r="N86" s="50">
        <f>IF(日別集計!AC86="","",日別集計!AC86)</f>
        <v>0</v>
      </c>
      <c r="O86" s="50">
        <f>IF(日別集計!AD86="","",日別集計!AD86)</f>
        <v>53</v>
      </c>
      <c r="P86" s="50">
        <f>IF(日別集計!AE86="","",日別集計!AE86)</f>
        <v>36</v>
      </c>
      <c r="Q86" s="50">
        <f>IF(日別集計!AF86="","",日別集計!AF86)</f>
        <v>89</v>
      </c>
      <c r="R86" s="57" t="str">
        <f>IF(日別集計!AG86="","",日別集計!AG86)</f>
        <v>基礎コンクリート養生期間</v>
      </c>
    </row>
    <row r="87" spans="1:18" ht="16.5" x14ac:dyDescent="0.3">
      <c r="A87" s="51">
        <f>IF(日別集計!A87="","",日別集計!A87)</f>
        <v>46214</v>
      </c>
      <c r="B87" s="52" t="str">
        <f>IF(日別集計!B87="","",日別集計!B87)</f>
        <v>土</v>
      </c>
      <c r="C87" s="53">
        <f>IF(日別集計!R87="","",日別集計!R87)</f>
        <v>0</v>
      </c>
      <c r="D87" s="53">
        <f>IF(日別集計!S87="","",日別集計!S87)</f>
        <v>7</v>
      </c>
      <c r="E87" s="53">
        <f>IF(日別集計!T87="","",日別集計!T87)</f>
        <v>6</v>
      </c>
      <c r="F87" s="53">
        <f>IF(日別集計!U87="","",日別集計!U87)</f>
        <v>30</v>
      </c>
      <c r="G87" s="53">
        <f>IF(日別集計!V87="","",日別集計!V87)</f>
        <v>46</v>
      </c>
      <c r="H87" s="53">
        <f>IF(日別集計!W87="","",日別集計!W87)</f>
        <v>0</v>
      </c>
      <c r="I87" s="53">
        <f>IF(日別集計!X87="","",日別集計!X87)</f>
        <v>0</v>
      </c>
      <c r="J87" s="53">
        <f>IF(日別集計!Y87="","",日別集計!Y87)</f>
        <v>0</v>
      </c>
      <c r="K87" s="53">
        <f>IF(日別集計!Z87="","",日別集計!Z87)</f>
        <v>0</v>
      </c>
      <c r="L87" s="53">
        <f>IF(日別集計!AA87="","",日別集計!AA87)</f>
        <v>0</v>
      </c>
      <c r="M87" s="53">
        <f>IF(日別集計!AB87="","",日別集計!AB87)</f>
        <v>0</v>
      </c>
      <c r="N87" s="53">
        <f>IF(日別集計!AC87="","",日別集計!AC87)</f>
        <v>0</v>
      </c>
      <c r="O87" s="53">
        <f>IF(日別集計!AD87="","",日別集計!AD87)</f>
        <v>53</v>
      </c>
      <c r="P87" s="53">
        <f>IF(日別集計!AE87="","",日別集計!AE87)</f>
        <v>36</v>
      </c>
      <c r="Q87" s="53">
        <f>IF(日別集計!AF87="","",日別集計!AF87)</f>
        <v>89</v>
      </c>
      <c r="R87" s="58" t="str">
        <f>IF(日別集計!AG87="","",日別集計!AG87)</f>
        <v>基礎コンクリート養生期間</v>
      </c>
    </row>
    <row r="88" spans="1:18" ht="16.5" x14ac:dyDescent="0.3">
      <c r="A88" s="51">
        <f>IF(日別集計!A88="","",日別集計!A88)</f>
        <v>46215</v>
      </c>
      <c r="B88" s="52" t="str">
        <f>IF(日別集計!B88="","",日別集計!B88)</f>
        <v>日</v>
      </c>
      <c r="C88" s="53">
        <f>IF(日別集計!R88="","",日別集計!R88)</f>
        <v>0</v>
      </c>
      <c r="D88" s="53">
        <f>IF(日別集計!S88="","",日別集計!S88)</f>
        <v>7</v>
      </c>
      <c r="E88" s="53">
        <f>IF(日別集計!T88="","",日別集計!T88)</f>
        <v>6</v>
      </c>
      <c r="F88" s="53">
        <f>IF(日別集計!U88="","",日別集計!U88)</f>
        <v>30</v>
      </c>
      <c r="G88" s="53">
        <f>IF(日別集計!V88="","",日別集計!V88)</f>
        <v>47</v>
      </c>
      <c r="H88" s="53">
        <f>IF(日別集計!W88="","",日別集計!W88)</f>
        <v>0</v>
      </c>
      <c r="I88" s="53">
        <f>IF(日別集計!X88="","",日別集計!X88)</f>
        <v>0</v>
      </c>
      <c r="J88" s="53">
        <f>IF(日別集計!Y88="","",日別集計!Y88)</f>
        <v>0</v>
      </c>
      <c r="K88" s="53">
        <f>IF(日別集計!Z88="","",日別集計!Z88)</f>
        <v>0</v>
      </c>
      <c r="L88" s="53">
        <f>IF(日別集計!AA88="","",日別集計!AA88)</f>
        <v>0</v>
      </c>
      <c r="M88" s="53">
        <f>IF(日別集計!AB88="","",日別集計!AB88)</f>
        <v>0</v>
      </c>
      <c r="N88" s="53">
        <f>IF(日別集計!AC88="","",日別集計!AC88)</f>
        <v>0</v>
      </c>
      <c r="O88" s="53">
        <f>IF(日別集計!AD88="","",日別集計!AD88)</f>
        <v>54</v>
      </c>
      <c r="P88" s="53">
        <f>IF(日別集計!AE88="","",日別集計!AE88)</f>
        <v>36</v>
      </c>
      <c r="Q88" s="53">
        <f>IF(日別集計!AF88="","",日別集計!AF88)</f>
        <v>90</v>
      </c>
      <c r="R88" s="58" t="str">
        <f>IF(日別集計!AG88="","",日別集計!AG88)</f>
        <v>基礎型枠解体</v>
      </c>
    </row>
    <row r="89" spans="1:18" ht="16.5" x14ac:dyDescent="0.3">
      <c r="A89" s="48">
        <f>IF(日別集計!A89="","",日別集計!A89)</f>
        <v>46216</v>
      </c>
      <c r="B89" s="49" t="str">
        <f>IF(日別集計!B89="","",日別集計!B89)</f>
        <v>月</v>
      </c>
      <c r="C89" s="50">
        <f>IF(日別集計!R89="","",日別集計!R89)</f>
        <v>0</v>
      </c>
      <c r="D89" s="50">
        <f>IF(日別集計!S89="","",日別集計!S89)</f>
        <v>7</v>
      </c>
      <c r="E89" s="50">
        <f>IF(日別集計!T89="","",日別集計!T89)</f>
        <v>6</v>
      </c>
      <c r="F89" s="50">
        <f>IF(日別集計!U89="","",日別集計!U89)</f>
        <v>30</v>
      </c>
      <c r="G89" s="50">
        <f>IF(日別集計!V89="","",日別集計!V89)</f>
        <v>51</v>
      </c>
      <c r="H89" s="50">
        <f>IF(日別集計!W89="","",日別集計!W89)</f>
        <v>0</v>
      </c>
      <c r="I89" s="50">
        <f>IF(日別集計!X89="","",日別集計!X89)</f>
        <v>0</v>
      </c>
      <c r="J89" s="50">
        <f>IF(日別集計!Y89="","",日別集計!Y89)</f>
        <v>0</v>
      </c>
      <c r="K89" s="50">
        <f>IF(日別集計!Z89="","",日別集計!Z89)</f>
        <v>0</v>
      </c>
      <c r="L89" s="50">
        <f>IF(日別集計!AA89="","",日別集計!AA89)</f>
        <v>0</v>
      </c>
      <c r="M89" s="50">
        <f>IF(日別集計!AB89="","",日別集計!AB89)</f>
        <v>0</v>
      </c>
      <c r="N89" s="50">
        <f>IF(日別集計!AC89="","",日別集計!AC89)</f>
        <v>0</v>
      </c>
      <c r="O89" s="50">
        <f>IF(日別集計!AD89="","",日別集計!AD89)</f>
        <v>58</v>
      </c>
      <c r="P89" s="50">
        <f>IF(日別集計!AE89="","",日別集計!AE89)</f>
        <v>36</v>
      </c>
      <c r="Q89" s="50">
        <f>IF(日別集計!AF89="","",日別集計!AF89)</f>
        <v>94</v>
      </c>
      <c r="R89" s="57" t="str">
        <f>IF(日別集計!AG89="","",日別集計!AG89)</f>
        <v>基礎型枠材片付け・型枠撤去及び敷地整地、墨出し</v>
      </c>
    </row>
    <row r="90" spans="1:18" ht="16.5" x14ac:dyDescent="0.3">
      <c r="A90" s="48">
        <f>IF(日別集計!A90="","",日別集計!A90)</f>
        <v>46217</v>
      </c>
      <c r="B90" s="49" t="str">
        <f>IF(日別集計!B90="","",日別集計!B90)</f>
        <v>火</v>
      </c>
      <c r="C90" s="50">
        <f>IF(日別集計!R90="","",日別集計!R90)</f>
        <v>0</v>
      </c>
      <c r="D90" s="50">
        <f>IF(日別集計!S90="","",日別集計!S90)</f>
        <v>7</v>
      </c>
      <c r="E90" s="50">
        <f>IF(日別集計!T90="","",日別集計!T90)</f>
        <v>6</v>
      </c>
      <c r="F90" s="50">
        <f>IF(日別集計!U90="","",日別集計!U90)</f>
        <v>30</v>
      </c>
      <c r="G90" s="50">
        <f>IF(日別集計!V90="","",日別集計!V90)</f>
        <v>51</v>
      </c>
      <c r="H90" s="50">
        <f>IF(日別集計!W90="","",日別集計!W90)</f>
        <v>2</v>
      </c>
      <c r="I90" s="50">
        <f>IF(日別集計!X90="","",日別集計!X90)</f>
        <v>0</v>
      </c>
      <c r="J90" s="50">
        <f>IF(日別集計!Y90="","",日別集計!Y90)</f>
        <v>0</v>
      </c>
      <c r="K90" s="50">
        <f>IF(日別集計!Z90="","",日別集計!Z90)</f>
        <v>0</v>
      </c>
      <c r="L90" s="50">
        <f>IF(日別集計!AA90="","",日別集計!AA90)</f>
        <v>0</v>
      </c>
      <c r="M90" s="50">
        <f>IF(日別集計!AB90="","",日別集計!AB90)</f>
        <v>0</v>
      </c>
      <c r="N90" s="50">
        <f>IF(日別集計!AC90="","",日別集計!AC90)</f>
        <v>0</v>
      </c>
      <c r="O90" s="50">
        <f>IF(日別集計!AD90="","",日別集計!AD90)</f>
        <v>60</v>
      </c>
      <c r="P90" s="50">
        <f>IF(日別集計!AE90="","",日別集計!AE90)</f>
        <v>36</v>
      </c>
      <c r="Q90" s="50">
        <f>IF(日別集計!AF90="","",日別集計!AF90)</f>
        <v>96</v>
      </c>
      <c r="R90" s="57" t="str">
        <f>IF(日別集計!AG90="","",日別集計!AG90)</f>
        <v>墨出し</v>
      </c>
    </row>
    <row r="91" spans="1:18" ht="16.5" x14ac:dyDescent="0.3">
      <c r="A91" s="48">
        <f>IF(日別集計!A91="","",日別集計!A91)</f>
        <v>46218</v>
      </c>
      <c r="B91" s="49" t="str">
        <f>IF(日別集計!B91="","",日別集計!B91)</f>
        <v>水</v>
      </c>
      <c r="C91" s="50">
        <f>IF(日別集計!R91="","",日別集計!R91)</f>
        <v>0</v>
      </c>
      <c r="D91" s="50">
        <f>IF(日別集計!S91="","",日別集計!S91)</f>
        <v>7</v>
      </c>
      <c r="E91" s="50">
        <f>IF(日別集計!T91="","",日別集計!T91)</f>
        <v>6</v>
      </c>
      <c r="F91" s="50">
        <f>IF(日別集計!U91="","",日別集計!U91)</f>
        <v>30</v>
      </c>
      <c r="G91" s="50">
        <f>IF(日別集計!V91="","",日別集計!V91)</f>
        <v>51</v>
      </c>
      <c r="H91" s="50">
        <f>IF(日別集計!W91="","",日別集計!W91)</f>
        <v>6</v>
      </c>
      <c r="I91" s="50">
        <f>IF(日別集計!X91="","",日別集計!X91)</f>
        <v>0</v>
      </c>
      <c r="J91" s="50">
        <f>IF(日別集計!Y91="","",日別集計!Y91)</f>
        <v>0</v>
      </c>
      <c r="K91" s="50">
        <f>IF(日別集計!Z91="","",日別集計!Z91)</f>
        <v>0</v>
      </c>
      <c r="L91" s="50">
        <f>IF(日別集計!AA91="","",日別集計!AA91)</f>
        <v>0</v>
      </c>
      <c r="M91" s="50">
        <f>IF(日別集計!AB91="","",日別集計!AB91)</f>
        <v>0</v>
      </c>
      <c r="N91" s="50">
        <f>IF(日別集計!AC91="","",日別集計!AC91)</f>
        <v>0</v>
      </c>
      <c r="O91" s="50">
        <f>IF(日別集計!AD91="","",日別集計!AD91)</f>
        <v>64</v>
      </c>
      <c r="P91" s="50">
        <f>IF(日別集計!AE91="","",日別集計!AE91)</f>
        <v>36</v>
      </c>
      <c r="Q91" s="50">
        <f>IF(日別集計!AF91="","",日別集計!AF91)</f>
        <v>100</v>
      </c>
      <c r="R91" s="57" t="str">
        <f>IF(日別集計!AG91="","",日別集計!AG91)</f>
        <v>床土台敷き、防風ネット</v>
      </c>
    </row>
    <row r="92" spans="1:18" ht="16.5" x14ac:dyDescent="0.3">
      <c r="A92" s="48">
        <f>IF(日別集計!A92="","",日別集計!A92)</f>
        <v>46219</v>
      </c>
      <c r="B92" s="49" t="str">
        <f>IF(日別集計!B92="","",日別集計!B92)</f>
        <v>木</v>
      </c>
      <c r="C92" s="50">
        <f>IF(日別集計!R92="","",日別集計!R92)</f>
        <v>0</v>
      </c>
      <c r="D92" s="50">
        <f>IF(日別集計!S92="","",日別集計!S92)</f>
        <v>7</v>
      </c>
      <c r="E92" s="50">
        <f>IF(日別集計!T92="","",日別集計!T92)</f>
        <v>6</v>
      </c>
      <c r="F92" s="50">
        <f>IF(日別集計!U92="","",日別集計!U92)</f>
        <v>30</v>
      </c>
      <c r="G92" s="50">
        <f>IF(日別集計!V92="","",日別集計!V92)</f>
        <v>51</v>
      </c>
      <c r="H92" s="50">
        <f>IF(日別集計!W92="","",日別集計!W92)</f>
        <v>10</v>
      </c>
      <c r="I92" s="50">
        <f>IF(日別集計!X92="","",日別集計!X92)</f>
        <v>0</v>
      </c>
      <c r="J92" s="50">
        <f>IF(日別集計!Y92="","",日別集計!Y92)</f>
        <v>0</v>
      </c>
      <c r="K92" s="50">
        <f>IF(日別集計!Z92="","",日別集計!Z92)</f>
        <v>0</v>
      </c>
      <c r="L92" s="50">
        <f>IF(日別集計!AA92="","",日別集計!AA92)</f>
        <v>0</v>
      </c>
      <c r="M92" s="50">
        <f>IF(日別集計!AB92="","",日別集計!AB92)</f>
        <v>0</v>
      </c>
      <c r="N92" s="50">
        <f>IF(日別集計!AC92="","",日別集計!AC92)</f>
        <v>0</v>
      </c>
      <c r="O92" s="50">
        <f>IF(日別集計!AD92="","",日別集計!AD92)</f>
        <v>68</v>
      </c>
      <c r="P92" s="50">
        <f>IF(日別集計!AE92="","",日別集計!AE92)</f>
        <v>36</v>
      </c>
      <c r="Q92" s="50">
        <f>IF(日別集計!AF92="","",日別集計!AF92)</f>
        <v>104</v>
      </c>
      <c r="R92" s="57" t="str">
        <f>IF(日別集計!AG92="","",日別集計!AG92)</f>
        <v>床下地張り</v>
      </c>
    </row>
    <row r="93" spans="1:18" ht="16.5" x14ac:dyDescent="0.3">
      <c r="A93" s="48">
        <f>IF(日別集計!A93="","",日別集計!A93)</f>
        <v>46220</v>
      </c>
      <c r="B93" s="49" t="str">
        <f>IF(日別集計!B93="","",日別集計!B93)</f>
        <v>金</v>
      </c>
      <c r="C93" s="50">
        <f>IF(日別集計!R93="","",日別集計!R93)</f>
        <v>0</v>
      </c>
      <c r="D93" s="50">
        <f>IF(日別集計!S93="","",日別集計!S93)</f>
        <v>7</v>
      </c>
      <c r="E93" s="50">
        <f>IF(日別集計!T93="","",日別集計!T93)</f>
        <v>6</v>
      </c>
      <c r="F93" s="50">
        <f>IF(日別集計!U93="","",日別集計!U93)</f>
        <v>30</v>
      </c>
      <c r="G93" s="50">
        <f>IF(日別集計!V93="","",日別集計!V93)</f>
        <v>51</v>
      </c>
      <c r="H93" s="50">
        <f>IF(日別集計!W93="","",日別集計!W93)</f>
        <v>14</v>
      </c>
      <c r="I93" s="50">
        <f>IF(日別集計!X93="","",日別集計!X93)</f>
        <v>0</v>
      </c>
      <c r="J93" s="50">
        <f>IF(日別集計!Y93="","",日別集計!Y93)</f>
        <v>0</v>
      </c>
      <c r="K93" s="50">
        <f>IF(日別集計!Z93="","",日別集計!Z93)</f>
        <v>0</v>
      </c>
      <c r="L93" s="50">
        <f>IF(日別集計!AA93="","",日別集計!AA93)</f>
        <v>0</v>
      </c>
      <c r="M93" s="50">
        <f>IF(日別集計!AB93="","",日別集計!AB93)</f>
        <v>0</v>
      </c>
      <c r="N93" s="50">
        <f>IF(日別集計!AC93="","",日別集計!AC93)</f>
        <v>0</v>
      </c>
      <c r="O93" s="50">
        <f>IF(日別集計!AD93="","",日別集計!AD93)</f>
        <v>72</v>
      </c>
      <c r="P93" s="50">
        <f>IF(日別集計!AE93="","",日別集計!AE93)</f>
        <v>36</v>
      </c>
      <c r="Q93" s="50">
        <f>IF(日別集計!AF93="","",日別集計!AF93)</f>
        <v>108</v>
      </c>
      <c r="R93" s="57" t="str">
        <f>IF(日別集計!AG93="","",日別集計!AG93)</f>
        <v>床張り</v>
      </c>
    </row>
    <row r="94" spans="1:18" ht="16.5" x14ac:dyDescent="0.3">
      <c r="A94" s="51">
        <f>IF(日別集計!A94="","",日別集計!A94)</f>
        <v>46221</v>
      </c>
      <c r="B94" s="52" t="str">
        <f>IF(日別集計!B94="","",日別集計!B94)</f>
        <v>土</v>
      </c>
      <c r="C94" s="53">
        <f>IF(日別集計!R94="","",日別集計!R94)</f>
        <v>0</v>
      </c>
      <c r="D94" s="53">
        <f>IF(日別集計!S94="","",日別集計!S94)</f>
        <v>7</v>
      </c>
      <c r="E94" s="53">
        <f>IF(日別集計!T94="","",日別集計!T94)</f>
        <v>6</v>
      </c>
      <c r="F94" s="53">
        <f>IF(日別集計!U94="","",日別集計!U94)</f>
        <v>30</v>
      </c>
      <c r="G94" s="53">
        <f>IF(日別集計!V94="","",日別集計!V94)</f>
        <v>51</v>
      </c>
      <c r="H94" s="53">
        <f>IF(日別集計!W94="","",日別集計!W94)</f>
        <v>18</v>
      </c>
      <c r="I94" s="53">
        <f>IF(日別集計!X94="","",日別集計!X94)</f>
        <v>0</v>
      </c>
      <c r="J94" s="53">
        <f>IF(日別集計!Y94="","",日別集計!Y94)</f>
        <v>0</v>
      </c>
      <c r="K94" s="53">
        <f>IF(日別集計!Z94="","",日別集計!Z94)</f>
        <v>0</v>
      </c>
      <c r="L94" s="53">
        <f>IF(日別集計!AA94="","",日別集計!AA94)</f>
        <v>0</v>
      </c>
      <c r="M94" s="53">
        <f>IF(日別集計!AB94="","",日別集計!AB94)</f>
        <v>0</v>
      </c>
      <c r="N94" s="53">
        <f>IF(日別集計!AC94="","",日別集計!AC94)</f>
        <v>0</v>
      </c>
      <c r="O94" s="53">
        <f>IF(日別集計!AD94="","",日別集計!AD94)</f>
        <v>76</v>
      </c>
      <c r="P94" s="53">
        <f>IF(日別集計!AE94="","",日別集計!AE94)</f>
        <v>36</v>
      </c>
      <c r="Q94" s="53">
        <f>IF(日別集計!AF94="","",日別集計!AF94)</f>
        <v>112</v>
      </c>
      <c r="R94" s="58" t="str">
        <f>IF(日別集計!AG94="","",日別集計!AG94)</f>
        <v>軸組棟上げ（上棟）</v>
      </c>
    </row>
    <row r="95" spans="1:18" ht="16.5" x14ac:dyDescent="0.3">
      <c r="A95" s="51">
        <f>IF(日別集計!A95="","",日別集計!A95)</f>
        <v>46222</v>
      </c>
      <c r="B95" s="52" t="str">
        <f>IF(日別集計!B95="","",日別集計!B95)</f>
        <v>日</v>
      </c>
      <c r="C95" s="53">
        <f>IF(日別集計!R95="","",日別集計!R95)</f>
        <v>0</v>
      </c>
      <c r="D95" s="53">
        <f>IF(日別集計!S95="","",日別集計!S95)</f>
        <v>7</v>
      </c>
      <c r="E95" s="53">
        <f>IF(日別集計!T95="","",日別集計!T95)</f>
        <v>6</v>
      </c>
      <c r="F95" s="53">
        <f>IF(日別集計!U95="","",日別集計!U95)</f>
        <v>30</v>
      </c>
      <c r="G95" s="53">
        <f>IF(日別集計!V95="","",日別集計!V95)</f>
        <v>51</v>
      </c>
      <c r="H95" s="53">
        <f>IF(日別集計!W95="","",日別集計!W95)</f>
        <v>19</v>
      </c>
      <c r="I95" s="53">
        <f>IF(日別集計!X95="","",日別集計!X95)</f>
        <v>0</v>
      </c>
      <c r="J95" s="53">
        <f>IF(日別集計!Y95="","",日別集計!Y95)</f>
        <v>0</v>
      </c>
      <c r="K95" s="53">
        <f>IF(日別集計!Z95="","",日別集計!Z95)</f>
        <v>0</v>
      </c>
      <c r="L95" s="53">
        <f>IF(日別集計!AA95="","",日別集計!AA95)</f>
        <v>0</v>
      </c>
      <c r="M95" s="53">
        <f>IF(日別集計!AB95="","",日別集計!AB95)</f>
        <v>0</v>
      </c>
      <c r="N95" s="53">
        <f>IF(日別集計!AC95="","",日別集計!AC95)</f>
        <v>0</v>
      </c>
      <c r="O95" s="53">
        <f>IF(日別集計!AD95="","",日別集計!AD95)</f>
        <v>77</v>
      </c>
      <c r="P95" s="53">
        <f>IF(日別集計!AE95="","",日別集計!AE95)</f>
        <v>36</v>
      </c>
      <c r="Q95" s="53">
        <f>IF(日別集計!AF95="","",日別集計!AF95)</f>
        <v>113</v>
      </c>
      <c r="R95" s="58" t="str">
        <f>IF(日別集計!AG95="","",日別集計!AG95)</f>
        <v>天井野地板張り</v>
      </c>
    </row>
    <row r="96" spans="1:18" ht="16.5" x14ac:dyDescent="0.3">
      <c r="A96" s="48">
        <f>IF(日別集計!A96="","",日別集計!A96)</f>
        <v>46223</v>
      </c>
      <c r="B96" s="49" t="str">
        <f>IF(日別集計!B96="","",日別集計!B96)</f>
        <v>月</v>
      </c>
      <c r="C96" s="50">
        <f>IF(日別集計!R96="","",日別集計!R96)</f>
        <v>0</v>
      </c>
      <c r="D96" s="50">
        <f>IF(日別集計!S96="","",日別集計!S96)</f>
        <v>7</v>
      </c>
      <c r="E96" s="50">
        <f>IF(日別集計!T96="","",日別集計!T96)</f>
        <v>6</v>
      </c>
      <c r="F96" s="50">
        <f>IF(日別集計!U96="","",日別集計!U96)</f>
        <v>30</v>
      </c>
      <c r="G96" s="50">
        <f>IF(日別集計!V96="","",日別集計!V96)</f>
        <v>51</v>
      </c>
      <c r="H96" s="50">
        <f>IF(日別集計!W96="","",日別集計!W96)</f>
        <v>22</v>
      </c>
      <c r="I96" s="50">
        <f>IF(日別集計!X96="","",日別集計!X96)</f>
        <v>0</v>
      </c>
      <c r="J96" s="50">
        <f>IF(日別集計!Y96="","",日別集計!Y96)</f>
        <v>0</v>
      </c>
      <c r="K96" s="50">
        <f>IF(日別集計!Z96="","",日別集計!Z96)</f>
        <v>0</v>
      </c>
      <c r="L96" s="50">
        <f>IF(日別集計!AA96="","",日別集計!AA96)</f>
        <v>0</v>
      </c>
      <c r="M96" s="50">
        <f>IF(日別集計!AB96="","",日別集計!AB96)</f>
        <v>0</v>
      </c>
      <c r="N96" s="50">
        <f>IF(日別集計!AC96="","",日別集計!AC96)</f>
        <v>0</v>
      </c>
      <c r="O96" s="50">
        <f>IF(日別集計!AD96="","",日別集計!AD96)</f>
        <v>80</v>
      </c>
      <c r="P96" s="50">
        <f>IF(日別集計!AE96="","",日別集計!AE96)</f>
        <v>36</v>
      </c>
      <c r="Q96" s="50">
        <f>IF(日別集計!AF96="","",日別集計!AF96)</f>
        <v>116</v>
      </c>
      <c r="R96" s="57" t="str">
        <f>IF(日別集計!AG96="","",日別集計!AG96)</f>
        <v>間柱設置及び筋交い設置</v>
      </c>
    </row>
    <row r="97" spans="1:18" ht="16.5" x14ac:dyDescent="0.3">
      <c r="A97" s="48">
        <f>IF(日別集計!A97="","",日別集計!A97)</f>
        <v>46224</v>
      </c>
      <c r="B97" s="49" t="str">
        <f>IF(日別集計!B97="","",日別集計!B97)</f>
        <v>火</v>
      </c>
      <c r="C97" s="50">
        <f>IF(日別集計!R97="","",日別集計!R97)</f>
        <v>0</v>
      </c>
      <c r="D97" s="50">
        <f>IF(日別集計!S97="","",日別集計!S97)</f>
        <v>7</v>
      </c>
      <c r="E97" s="50">
        <f>IF(日別集計!T97="","",日別集計!T97)</f>
        <v>6</v>
      </c>
      <c r="F97" s="50">
        <f>IF(日別集計!U97="","",日別集計!U97)</f>
        <v>30</v>
      </c>
      <c r="G97" s="50">
        <f>IF(日別集計!V97="","",日別集計!V97)</f>
        <v>51</v>
      </c>
      <c r="H97" s="50">
        <f>IF(日別集計!W97="","",日別集計!W97)</f>
        <v>25</v>
      </c>
      <c r="I97" s="50">
        <f>IF(日別集計!X97="","",日別集計!X97)</f>
        <v>0</v>
      </c>
      <c r="J97" s="50">
        <f>IF(日別集計!Y97="","",日別集計!Y97)</f>
        <v>0</v>
      </c>
      <c r="K97" s="50">
        <f>IF(日別集計!Z97="","",日別集計!Z97)</f>
        <v>0</v>
      </c>
      <c r="L97" s="50">
        <f>IF(日別集計!AA97="","",日別集計!AA97)</f>
        <v>0</v>
      </c>
      <c r="M97" s="50">
        <f>IF(日別集計!AB97="","",日別集計!AB97)</f>
        <v>0</v>
      </c>
      <c r="N97" s="50">
        <f>IF(日別集計!AC97="","",日別集計!AC97)</f>
        <v>0</v>
      </c>
      <c r="O97" s="50">
        <f>IF(日別集計!AD97="","",日別集計!AD97)</f>
        <v>83</v>
      </c>
      <c r="P97" s="50">
        <f>IF(日別集計!AE97="","",日別集計!AE97)</f>
        <v>36</v>
      </c>
      <c r="Q97" s="50">
        <f>IF(日別集計!AF97="","",日別集計!AF97)</f>
        <v>119</v>
      </c>
      <c r="R97" s="57" t="str">
        <f>IF(日別集計!AG97="","",日別集計!AG97)</f>
        <v>ノボパン張り</v>
      </c>
    </row>
    <row r="98" spans="1:18" ht="16.5" x14ac:dyDescent="0.3">
      <c r="A98" s="48">
        <f>IF(日別集計!A98="","",日別集計!A98)</f>
        <v>46225</v>
      </c>
      <c r="B98" s="49" t="str">
        <f>IF(日別集計!B98="","",日別集計!B98)</f>
        <v>水</v>
      </c>
      <c r="C98" s="50">
        <f>IF(日別集計!R98="","",日別集計!R98)</f>
        <v>0</v>
      </c>
      <c r="D98" s="50">
        <f>IF(日別集計!S98="","",日別集計!S98)</f>
        <v>7</v>
      </c>
      <c r="E98" s="50">
        <f>IF(日別集計!T98="","",日別集計!T98)</f>
        <v>6</v>
      </c>
      <c r="F98" s="50">
        <f>IF(日別集計!U98="","",日別集計!U98)</f>
        <v>30</v>
      </c>
      <c r="G98" s="50">
        <f>IF(日別集計!V98="","",日別集計!V98)</f>
        <v>51</v>
      </c>
      <c r="H98" s="50">
        <f>IF(日別集計!W98="","",日別集計!W98)</f>
        <v>28</v>
      </c>
      <c r="I98" s="50">
        <f>IF(日別集計!X98="","",日別集計!X98)</f>
        <v>0</v>
      </c>
      <c r="J98" s="50">
        <f>IF(日別集計!Y98="","",日別集計!Y98)</f>
        <v>0</v>
      </c>
      <c r="K98" s="50">
        <f>IF(日別集計!Z98="","",日別集計!Z98)</f>
        <v>0</v>
      </c>
      <c r="L98" s="50">
        <f>IF(日別集計!AA98="","",日別集計!AA98)</f>
        <v>0</v>
      </c>
      <c r="M98" s="50">
        <f>IF(日別集計!AB98="","",日別集計!AB98)</f>
        <v>0</v>
      </c>
      <c r="N98" s="50">
        <f>IF(日別集計!AC98="","",日別集計!AC98)</f>
        <v>0</v>
      </c>
      <c r="O98" s="50">
        <f>IF(日別集計!AD98="","",日別集計!AD98)</f>
        <v>86</v>
      </c>
      <c r="P98" s="50">
        <f>IF(日別集計!AE98="","",日別集計!AE98)</f>
        <v>36</v>
      </c>
      <c r="Q98" s="50">
        <f>IF(日別集計!AF98="","",日別集計!AF98)</f>
        <v>122</v>
      </c>
      <c r="R98" s="57" t="str">
        <f>IF(日別集計!AG98="","",日別集計!AG98)</f>
        <v>外壁下地ノボパン張り</v>
      </c>
    </row>
    <row r="99" spans="1:18" ht="16.5" x14ac:dyDescent="0.3">
      <c r="A99" s="48">
        <f>IF(日別集計!A99="","",日別集計!A99)</f>
        <v>46226</v>
      </c>
      <c r="B99" s="49" t="str">
        <f>IF(日別集計!B99="","",日別集計!B99)</f>
        <v>木</v>
      </c>
      <c r="C99" s="50">
        <f>IF(日別集計!R99="","",日別集計!R99)</f>
        <v>0</v>
      </c>
      <c r="D99" s="50">
        <f>IF(日別集計!S99="","",日別集計!S99)</f>
        <v>7</v>
      </c>
      <c r="E99" s="50">
        <f>IF(日別集計!T99="","",日別集計!T99)</f>
        <v>6</v>
      </c>
      <c r="F99" s="50">
        <f>IF(日別集計!U99="","",日別集計!U99)</f>
        <v>30</v>
      </c>
      <c r="G99" s="50">
        <f>IF(日別集計!V99="","",日別集計!V99)</f>
        <v>51</v>
      </c>
      <c r="H99" s="50">
        <f>IF(日別集計!W99="","",日別集計!W99)</f>
        <v>30</v>
      </c>
      <c r="I99" s="50">
        <f>IF(日別集計!X99="","",日別集計!X99)</f>
        <v>0</v>
      </c>
      <c r="J99" s="50">
        <f>IF(日別集計!Y99="","",日別集計!Y99)</f>
        <v>0</v>
      </c>
      <c r="K99" s="50">
        <f>IF(日別集計!Z99="","",日別集計!Z99)</f>
        <v>0</v>
      </c>
      <c r="L99" s="50">
        <f>IF(日別集計!AA99="","",日別集計!AA99)</f>
        <v>0</v>
      </c>
      <c r="M99" s="50">
        <f>IF(日別集計!AB99="","",日別集計!AB99)</f>
        <v>0</v>
      </c>
      <c r="N99" s="50">
        <f>IF(日別集計!AC99="","",日別集計!AC99)</f>
        <v>0</v>
      </c>
      <c r="O99" s="50">
        <f>IF(日別集計!AD99="","",日別集計!AD99)</f>
        <v>88</v>
      </c>
      <c r="P99" s="50">
        <f>IF(日別集計!AE99="","",日別集計!AE99)</f>
        <v>36</v>
      </c>
      <c r="Q99" s="50">
        <f>IF(日別集計!AF99="","",日別集計!AF99)</f>
        <v>124</v>
      </c>
      <c r="R99" s="57" t="str">
        <f>IF(日別集計!AG99="","",日別集計!AG99)</f>
        <v>外壁下地ノボパン張り・サッシ取付</v>
      </c>
    </row>
    <row r="100" spans="1:18" ht="16.5" x14ac:dyDescent="0.3">
      <c r="A100" s="48">
        <f>IF(日別集計!A100="","",日別集計!A100)</f>
        <v>46227</v>
      </c>
      <c r="B100" s="49" t="str">
        <f>IF(日別集計!B100="","",日別集計!B100)</f>
        <v>金</v>
      </c>
      <c r="C100" s="50">
        <f>IF(日別集計!R100="","",日別集計!R100)</f>
        <v>0</v>
      </c>
      <c r="D100" s="50">
        <f>IF(日別集計!S100="","",日別集計!S100)</f>
        <v>7</v>
      </c>
      <c r="E100" s="50">
        <f>IF(日別集計!T100="","",日別集計!T100)</f>
        <v>6</v>
      </c>
      <c r="F100" s="50">
        <f>IF(日別集計!U100="","",日別集計!U100)</f>
        <v>30</v>
      </c>
      <c r="G100" s="50">
        <f>IF(日別集計!V100="","",日別集計!V100)</f>
        <v>51</v>
      </c>
      <c r="H100" s="50">
        <f>IF(日別集計!W100="","",日別集計!W100)</f>
        <v>32</v>
      </c>
      <c r="I100" s="50">
        <f>IF(日別集計!X100="","",日別集計!X100)</f>
        <v>0</v>
      </c>
      <c r="J100" s="50">
        <f>IF(日別集計!Y100="","",日別集計!Y100)</f>
        <v>0</v>
      </c>
      <c r="K100" s="50">
        <f>IF(日別集計!Z100="","",日別集計!Z100)</f>
        <v>0</v>
      </c>
      <c r="L100" s="50">
        <f>IF(日別集計!AA100="","",日別集計!AA100)</f>
        <v>0</v>
      </c>
      <c r="M100" s="50">
        <f>IF(日別集計!AB100="","",日別集計!AB100)</f>
        <v>0</v>
      </c>
      <c r="N100" s="50">
        <f>IF(日別集計!AC100="","",日別集計!AC100)</f>
        <v>0</v>
      </c>
      <c r="O100" s="50">
        <f>IF(日別集計!AD100="","",日別集計!AD100)</f>
        <v>90</v>
      </c>
      <c r="P100" s="50">
        <f>IF(日別集計!AE100="","",日別集計!AE100)</f>
        <v>36</v>
      </c>
      <c r="Q100" s="50">
        <f>IF(日別集計!AF100="","",日別集計!AF100)</f>
        <v>126</v>
      </c>
      <c r="R100" s="57" t="str">
        <f>IF(日別集計!AG100="","",日別集計!AG100)</f>
        <v>外壁下地ノボパン張り</v>
      </c>
    </row>
    <row r="101" spans="1:18" ht="16.5" x14ac:dyDescent="0.3">
      <c r="A101" s="51">
        <f>IF(日別集計!A101="","",日別集計!A101)</f>
        <v>46228</v>
      </c>
      <c r="B101" s="52" t="str">
        <f>IF(日別集計!B101="","",日別集計!B101)</f>
        <v>土</v>
      </c>
      <c r="C101" s="53">
        <f>IF(日別集計!R101="","",日別集計!R101)</f>
        <v>0</v>
      </c>
      <c r="D101" s="53">
        <f>IF(日別集計!S101="","",日別集計!S101)</f>
        <v>7</v>
      </c>
      <c r="E101" s="53">
        <f>IF(日別集計!T101="","",日別集計!T101)</f>
        <v>6</v>
      </c>
      <c r="F101" s="53">
        <f>IF(日別集計!U101="","",日別集計!U101)</f>
        <v>30</v>
      </c>
      <c r="G101" s="53">
        <f>IF(日別集計!V101="","",日別集計!V101)</f>
        <v>51</v>
      </c>
      <c r="H101" s="53">
        <f>IF(日別集計!W101="","",日別集計!W101)</f>
        <v>34</v>
      </c>
      <c r="I101" s="53">
        <f>IF(日別集計!X101="","",日別集計!X101)</f>
        <v>0</v>
      </c>
      <c r="J101" s="53">
        <f>IF(日別集計!Y101="","",日別集計!Y101)</f>
        <v>0</v>
      </c>
      <c r="K101" s="53">
        <f>IF(日別集計!Z101="","",日別集計!Z101)</f>
        <v>0</v>
      </c>
      <c r="L101" s="53">
        <f>IF(日別集計!AA101="","",日別集計!AA101)</f>
        <v>0</v>
      </c>
      <c r="M101" s="53">
        <f>IF(日別集計!AB101="","",日別集計!AB101)</f>
        <v>0</v>
      </c>
      <c r="N101" s="53">
        <f>IF(日別集計!AC101="","",日別集計!AC101)</f>
        <v>0</v>
      </c>
      <c r="O101" s="53">
        <f>IF(日別集計!AD101="","",日別集計!AD101)</f>
        <v>92</v>
      </c>
      <c r="P101" s="53">
        <f>IF(日別集計!AE101="","",日別集計!AE101)</f>
        <v>36</v>
      </c>
      <c r="Q101" s="53">
        <f>IF(日別集計!AF101="","",日別集計!AF101)</f>
        <v>128</v>
      </c>
      <c r="R101" s="58" t="str">
        <f>IF(日別集計!AG101="","",日別集計!AG101)</f>
        <v>15時より外壁下地ノボパン釘打ち、内部間柱筋交い・玄関廻り間柱設置</v>
      </c>
    </row>
    <row r="102" spans="1:18" ht="16.5" x14ac:dyDescent="0.3">
      <c r="A102" s="51">
        <f>IF(日別集計!A102="","",日別集計!A102)</f>
        <v>46229</v>
      </c>
      <c r="B102" s="52" t="str">
        <f>IF(日別集計!B102="","",日別集計!B102)</f>
        <v>日</v>
      </c>
      <c r="C102" s="53">
        <f>IF(日別集計!R102="","",日別集計!R102)</f>
        <v>0</v>
      </c>
      <c r="D102" s="53">
        <f>IF(日別集計!S102="","",日別集計!S102)</f>
        <v>7</v>
      </c>
      <c r="E102" s="53">
        <f>IF(日別集計!T102="","",日別集計!T102)</f>
        <v>6</v>
      </c>
      <c r="F102" s="53">
        <f>IF(日別集計!U102="","",日別集計!U102)</f>
        <v>30</v>
      </c>
      <c r="G102" s="53">
        <f>IF(日別集計!V102="","",日別集計!V102)</f>
        <v>51</v>
      </c>
      <c r="H102" s="53">
        <f>IF(日別集計!W102="","",日別集計!W102)</f>
        <v>34</v>
      </c>
      <c r="I102" s="53">
        <f>IF(日別集計!X102="","",日別集計!X102)</f>
        <v>0</v>
      </c>
      <c r="J102" s="53">
        <f>IF(日別集計!Y102="","",日別集計!Y102)</f>
        <v>0</v>
      </c>
      <c r="K102" s="53">
        <f>IF(日別集計!Z102="","",日別集計!Z102)</f>
        <v>0</v>
      </c>
      <c r="L102" s="53">
        <f>IF(日別集計!AA102="","",日別集計!AA102)</f>
        <v>0</v>
      </c>
      <c r="M102" s="53">
        <f>IF(日別集計!AB102="","",日別集計!AB102)</f>
        <v>0</v>
      </c>
      <c r="N102" s="53">
        <f>IF(日別集計!AC102="","",日別集計!AC102)</f>
        <v>0</v>
      </c>
      <c r="O102" s="53">
        <f>IF(日別集計!AD102="","",日別集計!AD102)</f>
        <v>92</v>
      </c>
      <c r="P102" s="53">
        <f>IF(日別集計!AE102="","",日別集計!AE102)</f>
        <v>36</v>
      </c>
      <c r="Q102" s="53">
        <f>IF(日別集計!AF102="","",日別集計!AF102)</f>
        <v>128</v>
      </c>
      <c r="R102" s="58" t="str">
        <f>IF(日別集計!AG102="","",日別集計!AG102)</f>
        <v/>
      </c>
    </row>
    <row r="103" spans="1:18" ht="16.5" x14ac:dyDescent="0.3">
      <c r="A103" s="48">
        <f>IF(日別集計!A103="","",日別集計!A103)</f>
        <v>46230</v>
      </c>
      <c r="B103" s="49" t="str">
        <f>IF(日別集計!B103="","",日別集計!B103)</f>
        <v>月</v>
      </c>
      <c r="C103" s="50">
        <f>IF(日別集計!R103="","",日別集計!R103)</f>
        <v>0</v>
      </c>
      <c r="D103" s="50">
        <f>IF(日別集計!S103="","",日別集計!S103)</f>
        <v>7</v>
      </c>
      <c r="E103" s="50">
        <f>IF(日別集計!T103="","",日別集計!T103)</f>
        <v>6</v>
      </c>
      <c r="F103" s="50">
        <f>IF(日別集計!U103="","",日別集計!U103)</f>
        <v>30</v>
      </c>
      <c r="G103" s="50">
        <f>IF(日別集計!V103="","",日別集計!V103)</f>
        <v>51</v>
      </c>
      <c r="H103" s="50">
        <f>IF(日別集計!W103="","",日別集計!W103)</f>
        <v>34</v>
      </c>
      <c r="I103" s="50">
        <f>IF(日別集計!X103="","",日別集計!X103)</f>
        <v>2</v>
      </c>
      <c r="J103" s="50">
        <f>IF(日別集計!Y103="","",日別集計!Y103)</f>
        <v>0</v>
      </c>
      <c r="K103" s="50">
        <f>IF(日別集計!Z103="","",日別集計!Z103)</f>
        <v>0</v>
      </c>
      <c r="L103" s="50">
        <f>IF(日別集計!AA103="","",日別集計!AA103)</f>
        <v>0</v>
      </c>
      <c r="M103" s="50">
        <f>IF(日別集計!AB103="","",日別集計!AB103)</f>
        <v>0</v>
      </c>
      <c r="N103" s="50">
        <f>IF(日別集計!AC103="","",日別集計!AC103)</f>
        <v>2</v>
      </c>
      <c r="O103" s="50">
        <f>IF(日別集計!AD103="","",日別集計!AD103)</f>
        <v>94</v>
      </c>
      <c r="P103" s="50">
        <f>IF(日別集計!AE103="","",日別集計!AE103)</f>
        <v>38</v>
      </c>
      <c r="Q103" s="50">
        <f>IF(日別集計!AF103="","",日別集計!AF103)</f>
        <v>132</v>
      </c>
      <c r="R103" s="57" t="str">
        <f>IF(日別集計!AG103="","",日別集計!AG103)</f>
        <v>現場清掃・金物検査立会い・資材設置</v>
      </c>
    </row>
    <row r="104" spans="1:18" ht="16.5" x14ac:dyDescent="0.3">
      <c r="A104" s="48">
        <f>IF(日別集計!A104="","",日別集計!A104)</f>
        <v>46231</v>
      </c>
      <c r="B104" s="49" t="str">
        <f>IF(日別集計!B104="","",日別集計!B104)</f>
        <v>火</v>
      </c>
      <c r="C104" s="50">
        <f>IF(日別集計!R104="","",日別集計!R104)</f>
        <v>0</v>
      </c>
      <c r="D104" s="50">
        <f>IF(日別集計!S104="","",日別集計!S104)</f>
        <v>7</v>
      </c>
      <c r="E104" s="50">
        <f>IF(日別集計!T104="","",日別集計!T104)</f>
        <v>6</v>
      </c>
      <c r="F104" s="50">
        <f>IF(日別集計!U104="","",日別集計!U104)</f>
        <v>30</v>
      </c>
      <c r="G104" s="50">
        <f>IF(日別集計!V104="","",日別集計!V104)</f>
        <v>51</v>
      </c>
      <c r="H104" s="50">
        <f>IF(日別集計!W104="","",日別集計!W104)</f>
        <v>34</v>
      </c>
      <c r="I104" s="50">
        <f>IF(日別集計!X104="","",日別集計!X104)</f>
        <v>2</v>
      </c>
      <c r="J104" s="50">
        <f>IF(日別集計!Y104="","",日別集計!Y104)</f>
        <v>0</v>
      </c>
      <c r="K104" s="50">
        <f>IF(日別集計!Z104="","",日別集計!Z104)</f>
        <v>0</v>
      </c>
      <c r="L104" s="50">
        <f>IF(日別集計!AA104="","",日別集計!AA104)</f>
        <v>0</v>
      </c>
      <c r="M104" s="50">
        <f>IF(日別集計!AB104="","",日別集計!AB104)</f>
        <v>0</v>
      </c>
      <c r="N104" s="50">
        <f>IF(日別集計!AC104="","",日別集計!AC104)</f>
        <v>2</v>
      </c>
      <c r="O104" s="50">
        <f>IF(日別集計!AD104="","",日別集計!AD104)</f>
        <v>94</v>
      </c>
      <c r="P104" s="50">
        <f>IF(日別集計!AE104="","",日別集計!AE104)</f>
        <v>38</v>
      </c>
      <c r="Q104" s="50">
        <f>IF(日別集計!AF104="","",日別集計!AF104)</f>
        <v>132</v>
      </c>
      <c r="R104" s="57" t="str">
        <f>IF(日別集計!AG104="","",日別集計!AG104)</f>
        <v>作業員・作業内容の記載なし</v>
      </c>
    </row>
    <row r="105" spans="1:18" ht="16.5" x14ac:dyDescent="0.3">
      <c r="A105" s="48">
        <f>IF(日別集計!A105="","",日別集計!A105)</f>
        <v>46232</v>
      </c>
      <c r="B105" s="49" t="str">
        <f>IF(日別集計!B105="","",日別集計!B105)</f>
        <v>水</v>
      </c>
      <c r="C105" s="50">
        <f>IF(日別集計!R105="","",日別集計!R105)</f>
        <v>0</v>
      </c>
      <c r="D105" s="50">
        <f>IF(日別集計!S105="","",日別集計!S105)</f>
        <v>7</v>
      </c>
      <c r="E105" s="50">
        <f>IF(日別集計!T105="","",日別集計!T105)</f>
        <v>6</v>
      </c>
      <c r="F105" s="50">
        <f>IF(日別集計!U105="","",日別集計!U105)</f>
        <v>30</v>
      </c>
      <c r="G105" s="50">
        <f>IF(日別集計!V105="","",日別集計!V105)</f>
        <v>51</v>
      </c>
      <c r="H105" s="50">
        <f>IF(日別集計!W105="","",日別集計!W105)</f>
        <v>36</v>
      </c>
      <c r="I105" s="50">
        <f>IF(日別集計!X105="","",日別集計!X105)</f>
        <v>5</v>
      </c>
      <c r="J105" s="50">
        <f>IF(日別集計!Y105="","",日別集計!Y105)</f>
        <v>0</v>
      </c>
      <c r="K105" s="50">
        <f>IF(日別集計!Z105="","",日別集計!Z105)</f>
        <v>3</v>
      </c>
      <c r="L105" s="50">
        <f>IF(日別集計!AA105="","",日別集計!AA105)</f>
        <v>0</v>
      </c>
      <c r="M105" s="50">
        <f>IF(日別集計!AB105="","",日別集計!AB105)</f>
        <v>0</v>
      </c>
      <c r="N105" s="50">
        <f>IF(日別集計!AC105="","",日別集計!AC105)</f>
        <v>2</v>
      </c>
      <c r="O105" s="50">
        <f>IF(日別集計!AD105="","",日別集計!AD105)</f>
        <v>96</v>
      </c>
      <c r="P105" s="50">
        <f>IF(日別集計!AE105="","",日別集計!AE105)</f>
        <v>44</v>
      </c>
      <c r="Q105" s="50">
        <f>IF(日別集計!AF105="","",日別集計!AF105)</f>
        <v>140</v>
      </c>
      <c r="R105" s="57" t="str">
        <f>IF(日別集計!AG105="","",日別集計!AG105)</f>
        <v>内部作業（作業内容記載なし）</v>
      </c>
    </row>
    <row r="106" spans="1:18" ht="16.5" x14ac:dyDescent="0.3">
      <c r="A106" s="48">
        <f>IF(日別集計!A106="","",日別集計!A106)</f>
        <v>46233</v>
      </c>
      <c r="B106" s="49" t="str">
        <f>IF(日別集計!B106="","",日別集計!B106)</f>
        <v>木</v>
      </c>
      <c r="C106" s="50">
        <f>IF(日別集計!R106="","",日別集計!R106)</f>
        <v>0</v>
      </c>
      <c r="D106" s="50">
        <f>IF(日別集計!S106="","",日別集計!S106)</f>
        <v>7</v>
      </c>
      <c r="E106" s="50">
        <f>IF(日別集計!T106="","",日別集計!T106)</f>
        <v>6</v>
      </c>
      <c r="F106" s="50">
        <f>IF(日別集計!U106="","",日別集計!U106)</f>
        <v>30</v>
      </c>
      <c r="G106" s="50">
        <f>IF(日別集計!V106="","",日別集計!V106)</f>
        <v>51</v>
      </c>
      <c r="H106" s="50">
        <f>IF(日別集計!W106="","",日別集計!W106)</f>
        <v>38</v>
      </c>
      <c r="I106" s="50">
        <f>IF(日別集計!X106="","",日別集計!X106)</f>
        <v>8</v>
      </c>
      <c r="J106" s="50">
        <f>IF(日別集計!Y106="","",日別集計!Y106)</f>
        <v>0</v>
      </c>
      <c r="K106" s="50">
        <f>IF(日別集計!Z106="","",日別集計!Z106)</f>
        <v>6</v>
      </c>
      <c r="L106" s="50">
        <f>IF(日別集計!AA106="","",日別集計!AA106)</f>
        <v>0</v>
      </c>
      <c r="M106" s="50">
        <f>IF(日別集計!AB106="","",日別集計!AB106)</f>
        <v>0</v>
      </c>
      <c r="N106" s="50">
        <f>IF(日別集計!AC106="","",日別集計!AC106)</f>
        <v>2</v>
      </c>
      <c r="O106" s="50">
        <f>IF(日別集計!AD106="","",日別集計!AD106)</f>
        <v>98</v>
      </c>
      <c r="P106" s="50">
        <f>IF(日別集計!AE106="","",日別集計!AE106)</f>
        <v>50</v>
      </c>
      <c r="Q106" s="50">
        <f>IF(日別集計!AF106="","",日別集計!AF106)</f>
        <v>148</v>
      </c>
      <c r="R106" s="57" t="str">
        <f>IF(日別集計!AG106="","",日別集計!AG106)</f>
        <v>内部作業（作業内容記載なし）</v>
      </c>
    </row>
    <row r="107" spans="1:18" ht="16.5" x14ac:dyDescent="0.3">
      <c r="A107" s="48">
        <f>IF(日別集計!A107="","",日別集計!A107)</f>
        <v>46234</v>
      </c>
      <c r="B107" s="49" t="str">
        <f>IF(日別集計!B107="","",日別集計!B107)</f>
        <v>金</v>
      </c>
      <c r="C107" s="50">
        <f>IF(日別集計!R107="","",日別集計!R107)</f>
        <v>0</v>
      </c>
      <c r="D107" s="50">
        <f>IF(日別集計!S107="","",日別集計!S107)</f>
        <v>7</v>
      </c>
      <c r="E107" s="50">
        <f>IF(日別集計!T107="","",日別集計!T107)</f>
        <v>6</v>
      </c>
      <c r="F107" s="50">
        <f>IF(日別集計!U107="","",日別集計!U107)</f>
        <v>30</v>
      </c>
      <c r="G107" s="50">
        <f>IF(日別集計!V107="","",日別集計!V107)</f>
        <v>51</v>
      </c>
      <c r="H107" s="50">
        <f>IF(日別集計!W107="","",日別集計!W107)</f>
        <v>42</v>
      </c>
      <c r="I107" s="50">
        <f>IF(日別集計!X107="","",日別集計!X107)</f>
        <v>11</v>
      </c>
      <c r="J107" s="50">
        <f>IF(日別集計!Y107="","",日別集計!Y107)</f>
        <v>0</v>
      </c>
      <c r="K107" s="50">
        <f>IF(日別集計!Z107="","",日別集計!Z107)</f>
        <v>8</v>
      </c>
      <c r="L107" s="50">
        <f>IF(日別集計!AA107="","",日別集計!AA107)</f>
        <v>0</v>
      </c>
      <c r="M107" s="50">
        <f>IF(日別集計!AB107="","",日別集計!AB107)</f>
        <v>0</v>
      </c>
      <c r="N107" s="50">
        <f>IF(日別集計!AC107="","",日別集計!AC107)</f>
        <v>2</v>
      </c>
      <c r="O107" s="50">
        <f>IF(日別集計!AD107="","",日別集計!AD107)</f>
        <v>102</v>
      </c>
      <c r="P107" s="50">
        <f>IF(日別集計!AE107="","",日別集計!AE107)</f>
        <v>55</v>
      </c>
      <c r="Q107" s="50">
        <f>IF(日別集計!AF107="","",日別集計!AF107)</f>
        <v>157</v>
      </c>
      <c r="R107" s="57" t="str">
        <f>IF(日別集計!AG107="","",日別集計!AG107)</f>
        <v>断熱材張り・防湿シート張り</v>
      </c>
    </row>
    <row r="108" spans="1:18" ht="16.5" x14ac:dyDescent="0.3">
      <c r="A108" s="51">
        <f>IF(日別集計!A108="","",日別集計!A108)</f>
        <v>46235</v>
      </c>
      <c r="B108" s="52" t="str">
        <f>IF(日別集計!B108="","",日別集計!B108)</f>
        <v>土</v>
      </c>
      <c r="C108" s="53">
        <f>IF(日別集計!R108="","",日別集計!R108)</f>
        <v>0</v>
      </c>
      <c r="D108" s="53">
        <f>IF(日別集計!S108="","",日別集計!S108)</f>
        <v>7</v>
      </c>
      <c r="E108" s="53">
        <f>IF(日別集計!T108="","",日別集計!T108)</f>
        <v>6</v>
      </c>
      <c r="F108" s="53">
        <f>IF(日別集計!U108="","",日別集計!U108)</f>
        <v>30</v>
      </c>
      <c r="G108" s="53">
        <f>IF(日別集計!V108="","",日別集計!V108)</f>
        <v>51</v>
      </c>
      <c r="H108" s="53">
        <f>IF(日別集計!W108="","",日別集計!W108)</f>
        <v>46</v>
      </c>
      <c r="I108" s="53">
        <f>IF(日別集計!X108="","",日別集計!X108)</f>
        <v>11</v>
      </c>
      <c r="J108" s="53">
        <f>IF(日別集計!Y108="","",日別集計!Y108)</f>
        <v>0</v>
      </c>
      <c r="K108" s="53">
        <f>IF(日別集計!Z108="","",日別集計!Z108)</f>
        <v>11</v>
      </c>
      <c r="L108" s="53">
        <f>IF(日別集計!AA108="","",日別集計!AA108)</f>
        <v>0</v>
      </c>
      <c r="M108" s="53">
        <f>IF(日別集計!AB108="","",日別集計!AB108)</f>
        <v>0</v>
      </c>
      <c r="N108" s="53">
        <f>IF(日別集計!AC108="","",日別集計!AC108)</f>
        <v>2</v>
      </c>
      <c r="O108" s="53">
        <f>IF(日別集計!AD108="","",日別集計!AD108)</f>
        <v>106</v>
      </c>
      <c r="P108" s="53">
        <f>IF(日別集計!AE108="","",日別集計!AE108)</f>
        <v>58</v>
      </c>
      <c r="Q108" s="53">
        <f>IF(日別集計!AF108="","",日別集計!AF108)</f>
        <v>164</v>
      </c>
      <c r="R108" s="58" t="str">
        <f>IF(日別集計!AG108="","",日別集計!AG108)</f>
        <v>内部壁PBボード張り・断熱材シート張り</v>
      </c>
    </row>
    <row r="109" spans="1:18" ht="16.5" x14ac:dyDescent="0.3">
      <c r="A109" s="51">
        <f>IF(日別集計!A109="","",日別集計!A109)</f>
        <v>46236</v>
      </c>
      <c r="B109" s="52" t="str">
        <f>IF(日別集計!B109="","",日別集計!B109)</f>
        <v>日</v>
      </c>
      <c r="C109" s="53">
        <f>IF(日別集計!R109="","",日別集計!R109)</f>
        <v>0</v>
      </c>
      <c r="D109" s="53">
        <f>IF(日別集計!S109="","",日別集計!S109)</f>
        <v>7</v>
      </c>
      <c r="E109" s="53">
        <f>IF(日別集計!T109="","",日別集計!T109)</f>
        <v>6</v>
      </c>
      <c r="F109" s="53">
        <f>IF(日別集計!U109="","",日別集計!U109)</f>
        <v>30</v>
      </c>
      <c r="G109" s="53">
        <f>IF(日別集計!V109="","",日別集計!V109)</f>
        <v>51</v>
      </c>
      <c r="H109" s="53">
        <f>IF(日別集計!W109="","",日別集計!W109)</f>
        <v>47</v>
      </c>
      <c r="I109" s="53">
        <f>IF(日別集計!X109="","",日別集計!X109)</f>
        <v>11</v>
      </c>
      <c r="J109" s="53">
        <f>IF(日別集計!Y109="","",日別集計!Y109)</f>
        <v>0</v>
      </c>
      <c r="K109" s="53">
        <f>IF(日別集計!Z109="","",日別集計!Z109)</f>
        <v>11</v>
      </c>
      <c r="L109" s="53">
        <f>IF(日別集計!AA109="","",日別集計!AA109)</f>
        <v>0</v>
      </c>
      <c r="M109" s="53">
        <f>IF(日別集計!AB109="","",日別集計!AB109)</f>
        <v>0</v>
      </c>
      <c r="N109" s="53">
        <f>IF(日別集計!AC109="","",日別集計!AC109)</f>
        <v>2</v>
      </c>
      <c r="O109" s="53">
        <f>IF(日別集計!AD109="","",日別集計!AD109)</f>
        <v>107</v>
      </c>
      <c r="P109" s="53">
        <f>IF(日別集計!AE109="","",日別集計!AE109)</f>
        <v>58</v>
      </c>
      <c r="Q109" s="53">
        <f>IF(日別集計!AF109="","",日別集計!AF109)</f>
        <v>165</v>
      </c>
      <c r="R109" s="58" t="str">
        <f>IF(日別集計!AG109="","",日別集計!AG109)</f>
        <v>内部壁PBボード張り</v>
      </c>
    </row>
    <row r="110" spans="1:18" ht="16.5" x14ac:dyDescent="0.3">
      <c r="A110" s="48">
        <f>IF(日別集計!A110="","",日別集計!A110)</f>
        <v>46237</v>
      </c>
      <c r="B110" s="49" t="str">
        <f>IF(日別集計!B110="","",日別集計!B110)</f>
        <v>月</v>
      </c>
      <c r="C110" s="50">
        <f>IF(日別集計!R110="","",日別集計!R110)</f>
        <v>0</v>
      </c>
      <c r="D110" s="50">
        <f>IF(日別集計!S110="","",日別集計!S110)</f>
        <v>7</v>
      </c>
      <c r="E110" s="50">
        <f>IF(日別集計!T110="","",日別集計!T110)</f>
        <v>6</v>
      </c>
      <c r="F110" s="50">
        <f>IF(日別集計!U110="","",日別集計!U110)</f>
        <v>30</v>
      </c>
      <c r="G110" s="50">
        <f>IF(日別集計!V110="","",日別集計!V110)</f>
        <v>51</v>
      </c>
      <c r="H110" s="50">
        <f>IF(日別集計!W110="","",日別集計!W110)</f>
        <v>51</v>
      </c>
      <c r="I110" s="50">
        <f>IF(日別集計!X110="","",日別集計!X110)</f>
        <v>13</v>
      </c>
      <c r="J110" s="50">
        <f>IF(日別集計!Y110="","",日別集計!Y110)</f>
        <v>0</v>
      </c>
      <c r="K110" s="50">
        <f>IF(日別集計!Z110="","",日別集計!Z110)</f>
        <v>13</v>
      </c>
      <c r="L110" s="50">
        <f>IF(日別集計!AA110="","",日別集計!AA110)</f>
        <v>0</v>
      </c>
      <c r="M110" s="50">
        <f>IF(日別集計!AB110="","",日別集計!AB110)</f>
        <v>0</v>
      </c>
      <c r="N110" s="50">
        <f>IF(日別集計!AC110="","",日別集計!AC110)</f>
        <v>2</v>
      </c>
      <c r="O110" s="50">
        <f>IF(日別集計!AD110="","",日別集計!AD110)</f>
        <v>111</v>
      </c>
      <c r="P110" s="50">
        <f>IF(日別集計!AE110="","",日別集計!AE110)</f>
        <v>62</v>
      </c>
      <c r="Q110" s="50">
        <f>IF(日別集計!AF110="","",日別集計!AF110)</f>
        <v>173</v>
      </c>
      <c r="R110" s="57" t="str">
        <f>IF(日別集計!AG110="","",日別集計!AG110)</f>
        <v>内部壁PBボード張り・ユニットバス設置</v>
      </c>
    </row>
    <row r="111" spans="1:18" ht="16.5" x14ac:dyDescent="0.3">
      <c r="A111" s="48">
        <f>IF(日別集計!A111="","",日別集計!A111)</f>
        <v>46238</v>
      </c>
      <c r="B111" s="49" t="str">
        <f>IF(日別集計!B111="","",日別集計!B111)</f>
        <v>火</v>
      </c>
      <c r="C111" s="50">
        <f>IF(日別集計!R111="","",日別集計!R111)</f>
        <v>0</v>
      </c>
      <c r="D111" s="50">
        <f>IF(日別集計!S111="","",日別集計!S111)</f>
        <v>7</v>
      </c>
      <c r="E111" s="50">
        <f>IF(日別集計!T111="","",日別集計!T111)</f>
        <v>6</v>
      </c>
      <c r="F111" s="50">
        <f>IF(日別集計!U111="","",日別集計!U111)</f>
        <v>30</v>
      </c>
      <c r="G111" s="50">
        <f>IF(日別集計!V111="","",日別集計!V111)</f>
        <v>51</v>
      </c>
      <c r="H111" s="50">
        <f>IF(日別集計!W111="","",日別集計!W111)</f>
        <v>55</v>
      </c>
      <c r="I111" s="50">
        <f>IF(日別集計!X111="","",日別集計!X111)</f>
        <v>14</v>
      </c>
      <c r="J111" s="50">
        <f>IF(日別集計!Y111="","",日別集計!Y111)</f>
        <v>0</v>
      </c>
      <c r="K111" s="50">
        <f>IF(日別集計!Z111="","",日別集計!Z111)</f>
        <v>13</v>
      </c>
      <c r="L111" s="50">
        <f>IF(日別集計!AA111="","",日別集計!AA111)</f>
        <v>2</v>
      </c>
      <c r="M111" s="50">
        <f>IF(日別集計!AB111="","",日別集計!AB111)</f>
        <v>0</v>
      </c>
      <c r="N111" s="50">
        <f>IF(日別集計!AC111="","",日別集計!AC111)</f>
        <v>2</v>
      </c>
      <c r="O111" s="50">
        <f>IF(日別集計!AD111="","",日別集計!AD111)</f>
        <v>115</v>
      </c>
      <c r="P111" s="50">
        <f>IF(日別集計!AE111="","",日別集計!AE111)</f>
        <v>65</v>
      </c>
      <c r="Q111" s="50">
        <f>IF(日別集計!AF111="","",日別集計!AF111)</f>
        <v>180</v>
      </c>
      <c r="R111" s="57" t="str">
        <f>IF(日別集計!AG111="","",日別集計!AG111)</f>
        <v>内部壁PBボード張り・ユニットバス設置</v>
      </c>
    </row>
    <row r="112" spans="1:18" ht="16.5" x14ac:dyDescent="0.3">
      <c r="A112" s="48">
        <f>IF(日別集計!A112="","",日別集計!A112)</f>
        <v>46239</v>
      </c>
      <c r="B112" s="49" t="str">
        <f>IF(日別集計!B112="","",日別集計!B112)</f>
        <v>水</v>
      </c>
      <c r="C112" s="50">
        <f>IF(日別集計!R112="","",日別集計!R112)</f>
        <v>0</v>
      </c>
      <c r="D112" s="50">
        <f>IF(日別集計!S112="","",日別集計!S112)</f>
        <v>7</v>
      </c>
      <c r="E112" s="50">
        <f>IF(日別集計!T112="","",日別集計!T112)</f>
        <v>6</v>
      </c>
      <c r="F112" s="50">
        <f>IF(日別集計!U112="","",日別集計!U112)</f>
        <v>30</v>
      </c>
      <c r="G112" s="50">
        <f>IF(日別集計!V112="","",日別集計!V112)</f>
        <v>51</v>
      </c>
      <c r="H112" s="50">
        <f>IF(日別集計!W112="","",日別集計!W112)</f>
        <v>59</v>
      </c>
      <c r="I112" s="50">
        <f>IF(日別集計!X112="","",日別集計!X112)</f>
        <v>15</v>
      </c>
      <c r="J112" s="50">
        <f>IF(日別集計!Y112="","",日別集計!Y112)</f>
        <v>0</v>
      </c>
      <c r="K112" s="50">
        <f>IF(日別集計!Z112="","",日別集計!Z112)</f>
        <v>13</v>
      </c>
      <c r="L112" s="50">
        <f>IF(日別集計!AA112="","",日別集計!AA112)</f>
        <v>2</v>
      </c>
      <c r="M112" s="50">
        <f>IF(日別集計!AB112="","",日別集計!AB112)</f>
        <v>0</v>
      </c>
      <c r="N112" s="50">
        <f>IF(日別集計!AC112="","",日別集計!AC112)</f>
        <v>2</v>
      </c>
      <c r="O112" s="50">
        <f>IF(日別集計!AD112="","",日別集計!AD112)</f>
        <v>119</v>
      </c>
      <c r="P112" s="50">
        <f>IF(日別集計!AE112="","",日別集計!AE112)</f>
        <v>66</v>
      </c>
      <c r="Q112" s="50">
        <f>IF(日別集計!AF112="","",日別集計!AF112)</f>
        <v>185</v>
      </c>
      <c r="R112" s="57" t="str">
        <f>IF(日別集計!AG112="","",日別集計!AG112)</f>
        <v>内部壁PBボード張り・現場台風対策片付け</v>
      </c>
    </row>
    <row r="113" spans="1:18" ht="16.5" x14ac:dyDescent="0.3">
      <c r="A113" s="48">
        <f>IF(日別集計!A113="","",日別集計!A113)</f>
        <v>46240</v>
      </c>
      <c r="B113" s="49" t="str">
        <f>IF(日別集計!B113="","",日別集計!B113)</f>
        <v>木</v>
      </c>
      <c r="C113" s="50">
        <f>IF(日別集計!R113="","",日別集計!R113)</f>
        <v>0</v>
      </c>
      <c r="D113" s="50">
        <f>IF(日別集計!S113="","",日別集計!S113)</f>
        <v>7</v>
      </c>
      <c r="E113" s="50">
        <f>IF(日別集計!T113="","",日別集計!T113)</f>
        <v>6</v>
      </c>
      <c r="F113" s="50">
        <f>IF(日別集計!U113="","",日別集計!U113)</f>
        <v>30</v>
      </c>
      <c r="G113" s="50">
        <f>IF(日別集計!V113="","",日別集計!V113)</f>
        <v>51</v>
      </c>
      <c r="H113" s="50">
        <f>IF(日別集計!W113="","",日別集計!W113)</f>
        <v>62</v>
      </c>
      <c r="I113" s="50">
        <f>IF(日別集計!X113="","",日別集計!X113)</f>
        <v>15</v>
      </c>
      <c r="J113" s="50">
        <f>IF(日別集計!Y113="","",日別集計!Y113)</f>
        <v>0</v>
      </c>
      <c r="K113" s="50">
        <f>IF(日別集計!Z113="","",日別集計!Z113)</f>
        <v>13</v>
      </c>
      <c r="L113" s="50">
        <f>IF(日別集計!AA113="","",日別集計!AA113)</f>
        <v>2</v>
      </c>
      <c r="M113" s="50">
        <f>IF(日別集計!AB113="","",日別集計!AB113)</f>
        <v>0</v>
      </c>
      <c r="N113" s="50">
        <f>IF(日別集計!AC113="","",日別集計!AC113)</f>
        <v>2</v>
      </c>
      <c r="O113" s="50">
        <f>IF(日別集計!AD113="","",日別集計!AD113)</f>
        <v>122</v>
      </c>
      <c r="P113" s="50">
        <f>IF(日別集計!AE113="","",日別集計!AE113)</f>
        <v>66</v>
      </c>
      <c r="Q113" s="50">
        <f>IF(日別集計!AF113="","",日別集計!AF113)</f>
        <v>188</v>
      </c>
      <c r="R113" s="57" t="str">
        <f>IF(日別集計!AG113="","",日別集計!AG113)</f>
        <v>作業内容の記載なし</v>
      </c>
    </row>
    <row r="114" spans="1:18" ht="16.5" x14ac:dyDescent="0.3">
      <c r="A114" s="48">
        <f>IF(日別集計!A114="","",日別集計!A114)</f>
        <v>46241</v>
      </c>
      <c r="B114" s="49" t="str">
        <f>IF(日別集計!B114="","",日別集計!B114)</f>
        <v>金</v>
      </c>
      <c r="C114" s="50">
        <f>IF(日別集計!R114="","",日別集計!R114)</f>
        <v>0</v>
      </c>
      <c r="D114" s="50">
        <f>IF(日別集計!S114="","",日別集計!S114)</f>
        <v>7</v>
      </c>
      <c r="E114" s="50">
        <f>IF(日別集計!T114="","",日別集計!T114)</f>
        <v>6</v>
      </c>
      <c r="F114" s="50">
        <f>IF(日別集計!U114="","",日別集計!U114)</f>
        <v>30</v>
      </c>
      <c r="G114" s="50">
        <f>IF(日別集計!V114="","",日別集計!V114)</f>
        <v>51</v>
      </c>
      <c r="H114" s="50">
        <f>IF(日別集計!W114="","",日別集計!W114)</f>
        <v>62</v>
      </c>
      <c r="I114" s="50">
        <f>IF(日別集計!X114="","",日別集計!X114)</f>
        <v>15</v>
      </c>
      <c r="J114" s="50">
        <f>IF(日別集計!Y114="","",日別集計!Y114)</f>
        <v>0</v>
      </c>
      <c r="K114" s="50">
        <f>IF(日別集計!Z114="","",日別集計!Z114)</f>
        <v>13</v>
      </c>
      <c r="L114" s="50">
        <f>IF(日別集計!AA114="","",日別集計!AA114)</f>
        <v>2</v>
      </c>
      <c r="M114" s="50">
        <f>IF(日別集計!AB114="","",日別集計!AB114)</f>
        <v>0</v>
      </c>
      <c r="N114" s="50">
        <f>IF(日別集計!AC114="","",日別集計!AC114)</f>
        <v>2</v>
      </c>
      <c r="O114" s="50">
        <f>IF(日別集計!AD114="","",日別集計!AD114)</f>
        <v>122</v>
      </c>
      <c r="P114" s="50">
        <f>IF(日別集計!AE114="","",日別集計!AE114)</f>
        <v>66</v>
      </c>
      <c r="Q114" s="50">
        <f>IF(日別集計!AF114="","",日別集計!AF114)</f>
        <v>188</v>
      </c>
      <c r="R114" s="57" t="str">
        <f>IF(日別集計!AG114="","",日別集計!AG114)</f>
        <v>台風のため終日休み</v>
      </c>
    </row>
    <row r="115" spans="1:18" ht="16.5" x14ac:dyDescent="0.3">
      <c r="A115" s="51">
        <f>IF(日別集計!A115="","",日別集計!A115)</f>
        <v>46242</v>
      </c>
      <c r="B115" s="52" t="str">
        <f>IF(日別集計!B115="","",日別集計!B115)</f>
        <v>土</v>
      </c>
      <c r="C115" s="53">
        <f>IF(日別集計!R115="","",日別集計!R115)</f>
        <v>0</v>
      </c>
      <c r="D115" s="53">
        <f>IF(日別集計!S115="","",日別集計!S115)</f>
        <v>7</v>
      </c>
      <c r="E115" s="53">
        <f>IF(日別集計!T115="","",日別集計!T115)</f>
        <v>6</v>
      </c>
      <c r="F115" s="53">
        <f>IF(日別集計!U115="","",日別集計!U115)</f>
        <v>30</v>
      </c>
      <c r="G115" s="53">
        <f>IF(日別集計!V115="","",日別集計!V115)</f>
        <v>51</v>
      </c>
      <c r="H115" s="53">
        <f>IF(日別集計!W115="","",日別集計!W115)</f>
        <v>63</v>
      </c>
      <c r="I115" s="53">
        <f>IF(日別集計!X115="","",日別集計!X115)</f>
        <v>15</v>
      </c>
      <c r="J115" s="53">
        <f>IF(日別集計!Y115="","",日別集計!Y115)</f>
        <v>0</v>
      </c>
      <c r="K115" s="53">
        <f>IF(日別集計!Z115="","",日別集計!Z115)</f>
        <v>13</v>
      </c>
      <c r="L115" s="53">
        <f>IF(日別集計!AA115="","",日別集計!AA115)</f>
        <v>2</v>
      </c>
      <c r="M115" s="53">
        <f>IF(日別集計!AB115="","",日別集計!AB115)</f>
        <v>0</v>
      </c>
      <c r="N115" s="53">
        <f>IF(日別集計!AC115="","",日別集計!AC115)</f>
        <v>2</v>
      </c>
      <c r="O115" s="53">
        <f>IF(日別集計!AD115="","",日別集計!AD115)</f>
        <v>123</v>
      </c>
      <c r="P115" s="53">
        <f>IF(日別集計!AE115="","",日別集計!AE115)</f>
        <v>66</v>
      </c>
      <c r="Q115" s="53">
        <f>IF(日別集計!AF115="","",日別集計!AF115)</f>
        <v>189</v>
      </c>
      <c r="R115" s="58" t="str">
        <f>IF(日別集計!AG115="","",日別集計!AG115)</f>
        <v>開口部直し（昼前連絡あり）</v>
      </c>
    </row>
    <row r="116" spans="1:18" ht="16.5" x14ac:dyDescent="0.3">
      <c r="A116" s="51">
        <f>IF(日別集計!A116="","",日別集計!A116)</f>
        <v>46243</v>
      </c>
      <c r="B116" s="52" t="str">
        <f>IF(日別集計!B116="","",日別集計!B116)</f>
        <v>日</v>
      </c>
      <c r="C116" s="53">
        <f>IF(日別集計!R116="","",日別集計!R116)</f>
        <v>0</v>
      </c>
      <c r="D116" s="53">
        <f>IF(日別集計!S116="","",日別集計!S116)</f>
        <v>7</v>
      </c>
      <c r="E116" s="53">
        <f>IF(日別集計!T116="","",日別集計!T116)</f>
        <v>6</v>
      </c>
      <c r="F116" s="53">
        <f>IF(日別集計!U116="","",日別集計!U116)</f>
        <v>30</v>
      </c>
      <c r="G116" s="53">
        <f>IF(日別集計!V116="","",日別集計!V116)</f>
        <v>51</v>
      </c>
      <c r="H116" s="53">
        <f>IF(日別集計!W116="","",日別集計!W116)</f>
        <v>67</v>
      </c>
      <c r="I116" s="53">
        <f>IF(日別集計!X116="","",日別集計!X116)</f>
        <v>15</v>
      </c>
      <c r="J116" s="53">
        <f>IF(日別集計!Y116="","",日別集計!Y116)</f>
        <v>0</v>
      </c>
      <c r="K116" s="53">
        <f>IF(日別集計!Z116="","",日別集計!Z116)</f>
        <v>13</v>
      </c>
      <c r="L116" s="53">
        <f>IF(日別集計!AA116="","",日別集計!AA116)</f>
        <v>2</v>
      </c>
      <c r="M116" s="53">
        <f>IF(日別集計!AB116="","",日別集計!AB116)</f>
        <v>0</v>
      </c>
      <c r="N116" s="53">
        <f>IF(日別集計!AC116="","",日別集計!AC116)</f>
        <v>2</v>
      </c>
      <c r="O116" s="53">
        <f>IF(日別集計!AD116="","",日別集計!AD116)</f>
        <v>127</v>
      </c>
      <c r="P116" s="53">
        <f>IF(日別集計!AE116="","",日別集計!AE116)</f>
        <v>66</v>
      </c>
      <c r="Q116" s="53">
        <f>IF(日別集計!AF116="","",日別集計!AF116)</f>
        <v>193</v>
      </c>
      <c r="R116" s="58" t="str">
        <f>IF(日別集計!AG116="","",日別集計!AG116)</f>
        <v>開口下地作成及び天井下地</v>
      </c>
    </row>
    <row r="117" spans="1:18" ht="16.5" x14ac:dyDescent="0.3">
      <c r="A117" s="48">
        <f>IF(日別集計!A117="","",日別集計!A117)</f>
        <v>46244</v>
      </c>
      <c r="B117" s="49" t="str">
        <f>IF(日別集計!B117="","",日別集計!B117)</f>
        <v>月</v>
      </c>
      <c r="C117" s="50">
        <f>IF(日別集計!R117="","",日別集計!R117)</f>
        <v>0</v>
      </c>
      <c r="D117" s="50">
        <f>IF(日別集計!S117="","",日別集計!S117)</f>
        <v>7</v>
      </c>
      <c r="E117" s="50">
        <f>IF(日別集計!T117="","",日別集計!T117)</f>
        <v>6</v>
      </c>
      <c r="F117" s="50">
        <f>IF(日別集計!U117="","",日別集計!U117)</f>
        <v>30</v>
      </c>
      <c r="G117" s="50">
        <f>IF(日別集計!V117="","",日別集計!V117)</f>
        <v>51</v>
      </c>
      <c r="H117" s="50">
        <f>IF(日別集計!W117="","",日別集計!W117)</f>
        <v>70</v>
      </c>
      <c r="I117" s="50">
        <f>IF(日別集計!X117="","",日別集計!X117)</f>
        <v>15</v>
      </c>
      <c r="J117" s="50">
        <f>IF(日別集計!Y117="","",日別集計!Y117)</f>
        <v>0</v>
      </c>
      <c r="K117" s="50">
        <f>IF(日別集計!Z117="","",日別集計!Z117)</f>
        <v>13</v>
      </c>
      <c r="L117" s="50">
        <f>IF(日別集計!AA117="","",日別集計!AA117)</f>
        <v>2</v>
      </c>
      <c r="M117" s="50">
        <f>IF(日別集計!AB117="","",日別集計!AB117)</f>
        <v>0</v>
      </c>
      <c r="N117" s="50">
        <f>IF(日別集計!AC117="","",日別集計!AC117)</f>
        <v>2</v>
      </c>
      <c r="O117" s="50">
        <f>IF(日別集計!AD117="","",日別集計!AD117)</f>
        <v>130</v>
      </c>
      <c r="P117" s="50">
        <f>IF(日別集計!AE117="","",日別集計!AE117)</f>
        <v>66</v>
      </c>
      <c r="Q117" s="50">
        <f>IF(日別集計!AF117="","",日別集計!AF117)</f>
        <v>196</v>
      </c>
      <c r="R117" s="57" t="str">
        <f>IF(日別集計!AG117="","",日別集計!AG117)</f>
        <v>作業内容の記載なし（前後から天井下地と推定）</v>
      </c>
    </row>
    <row r="118" spans="1:18" ht="16.5" x14ac:dyDescent="0.3">
      <c r="A118" s="48">
        <f>IF(日別集計!A118="","",日別集計!A118)</f>
        <v>46245</v>
      </c>
      <c r="B118" s="49" t="str">
        <f>IF(日別集計!B118="","",日別集計!B118)</f>
        <v>火</v>
      </c>
      <c r="C118" s="50">
        <f>IF(日別集計!R118="","",日別集計!R118)</f>
        <v>0</v>
      </c>
      <c r="D118" s="50">
        <f>IF(日別集計!S118="","",日別集計!S118)</f>
        <v>7</v>
      </c>
      <c r="E118" s="50">
        <f>IF(日別集計!T118="","",日別集計!T118)</f>
        <v>6</v>
      </c>
      <c r="F118" s="50">
        <f>IF(日別集計!U118="","",日別集計!U118)</f>
        <v>30</v>
      </c>
      <c r="G118" s="50">
        <f>IF(日別集計!V118="","",日別集計!V118)</f>
        <v>51</v>
      </c>
      <c r="H118" s="50">
        <f>IF(日別集計!W118="","",日別集計!W118)</f>
        <v>74</v>
      </c>
      <c r="I118" s="50">
        <f>IF(日別集計!X118="","",日別集計!X118)</f>
        <v>15</v>
      </c>
      <c r="J118" s="50">
        <f>IF(日別集計!Y118="","",日別集計!Y118)</f>
        <v>0</v>
      </c>
      <c r="K118" s="50">
        <f>IF(日別集計!Z118="","",日別集計!Z118)</f>
        <v>13</v>
      </c>
      <c r="L118" s="50">
        <f>IF(日別集計!AA118="","",日別集計!AA118)</f>
        <v>2</v>
      </c>
      <c r="M118" s="50">
        <f>IF(日別集計!AB118="","",日別集計!AB118)</f>
        <v>0</v>
      </c>
      <c r="N118" s="50">
        <f>IF(日別集計!AC118="","",日別集計!AC118)</f>
        <v>2</v>
      </c>
      <c r="O118" s="50">
        <f>IF(日別集計!AD118="","",日別集計!AD118)</f>
        <v>134</v>
      </c>
      <c r="P118" s="50">
        <f>IF(日別集計!AE118="","",日別集計!AE118)</f>
        <v>66</v>
      </c>
      <c r="Q118" s="50">
        <f>IF(日別集計!AF118="","",日別集計!AF118)</f>
        <v>200</v>
      </c>
      <c r="R118" s="57" t="str">
        <f>IF(日別集計!AG118="","",日別集計!AG118)</f>
        <v>天井下地作成</v>
      </c>
    </row>
    <row r="119" spans="1:18" ht="16.5" x14ac:dyDescent="0.3">
      <c r="A119" s="48">
        <f>IF(日別集計!A119="","",日別集計!A119)</f>
        <v>46246</v>
      </c>
      <c r="B119" s="49" t="str">
        <f>IF(日別集計!B119="","",日別集計!B119)</f>
        <v>水</v>
      </c>
      <c r="C119" s="50">
        <f>IF(日別集計!R119="","",日別集計!R119)</f>
        <v>0</v>
      </c>
      <c r="D119" s="50">
        <f>IF(日別集計!S119="","",日別集計!S119)</f>
        <v>7</v>
      </c>
      <c r="E119" s="50">
        <f>IF(日別集計!T119="","",日別集計!T119)</f>
        <v>6</v>
      </c>
      <c r="F119" s="50">
        <f>IF(日別集計!U119="","",日別集計!U119)</f>
        <v>30</v>
      </c>
      <c r="G119" s="50">
        <f>IF(日別集計!V119="","",日別集計!V119)</f>
        <v>51</v>
      </c>
      <c r="H119" s="50">
        <f>IF(日別集計!W119="","",日別集計!W119)</f>
        <v>77</v>
      </c>
      <c r="I119" s="50">
        <f>IF(日別集計!X119="","",日別集計!X119)</f>
        <v>17</v>
      </c>
      <c r="J119" s="50">
        <f>IF(日別集計!Y119="","",日別集計!Y119)</f>
        <v>0</v>
      </c>
      <c r="K119" s="50">
        <f>IF(日別集計!Z119="","",日別集計!Z119)</f>
        <v>15</v>
      </c>
      <c r="L119" s="50">
        <f>IF(日別集計!AA119="","",日別集計!AA119)</f>
        <v>2</v>
      </c>
      <c r="M119" s="50">
        <f>IF(日別集計!AB119="","",日別集計!AB119)</f>
        <v>0</v>
      </c>
      <c r="N119" s="50">
        <f>IF(日別集計!AC119="","",日別集計!AC119)</f>
        <v>2</v>
      </c>
      <c r="O119" s="50">
        <f>IF(日別集計!AD119="","",日別集計!AD119)</f>
        <v>137</v>
      </c>
      <c r="P119" s="50">
        <f>IF(日別集計!AE119="","",日別集計!AE119)</f>
        <v>70</v>
      </c>
      <c r="Q119" s="50">
        <f>IF(日別集計!AF119="","",日別集計!AF119)</f>
        <v>207</v>
      </c>
      <c r="R119" s="57" t="str">
        <f>IF(日別集計!AG119="","",日別集計!AG119)</f>
        <v>天井下地組み</v>
      </c>
    </row>
    <row r="120" spans="1:18" ht="16.5" x14ac:dyDescent="0.3">
      <c r="A120" s="48">
        <f>IF(日別集計!A120="","",日別集計!A120)</f>
        <v>46247</v>
      </c>
      <c r="B120" s="49" t="str">
        <f>IF(日別集計!B120="","",日別集計!B120)</f>
        <v>木</v>
      </c>
      <c r="C120" s="50">
        <f>IF(日別集計!R120="","",日別集計!R120)</f>
        <v>0</v>
      </c>
      <c r="D120" s="50">
        <f>IF(日別集計!S120="","",日別集計!S120)</f>
        <v>7</v>
      </c>
      <c r="E120" s="50">
        <f>IF(日別集計!T120="","",日別集計!T120)</f>
        <v>6</v>
      </c>
      <c r="F120" s="50">
        <f>IF(日別集計!U120="","",日別集計!U120)</f>
        <v>30</v>
      </c>
      <c r="G120" s="50">
        <f>IF(日別集計!V120="","",日別集計!V120)</f>
        <v>51</v>
      </c>
      <c r="H120" s="50">
        <f>IF(日別集計!W120="","",日別集計!W120)</f>
        <v>80</v>
      </c>
      <c r="I120" s="50">
        <f>IF(日別集計!X120="","",日別集計!X120)</f>
        <v>19</v>
      </c>
      <c r="J120" s="50">
        <f>IF(日別集計!Y120="","",日別集計!Y120)</f>
        <v>0</v>
      </c>
      <c r="K120" s="50">
        <f>IF(日別集計!Z120="","",日別集計!Z120)</f>
        <v>15</v>
      </c>
      <c r="L120" s="50">
        <f>IF(日別集計!AA120="","",日別集計!AA120)</f>
        <v>2</v>
      </c>
      <c r="M120" s="50">
        <f>IF(日別集計!AB120="","",日別集計!AB120)</f>
        <v>0</v>
      </c>
      <c r="N120" s="50">
        <f>IF(日別集計!AC120="","",日別集計!AC120)</f>
        <v>2</v>
      </c>
      <c r="O120" s="50">
        <f>IF(日別集計!AD120="","",日別集計!AD120)</f>
        <v>140</v>
      </c>
      <c r="P120" s="50">
        <f>IF(日別集計!AE120="","",日別集計!AE120)</f>
        <v>72</v>
      </c>
      <c r="Q120" s="50">
        <f>IF(日別集計!AF120="","",日別集計!AF120)</f>
        <v>212</v>
      </c>
      <c r="R120" s="57" t="str">
        <f>IF(日別集計!AG120="","",日別集計!AG120)</f>
        <v>天井下地（作業内容記載なし）</v>
      </c>
    </row>
    <row r="121" spans="1:18" ht="16.5" x14ac:dyDescent="0.3">
      <c r="A121" s="48">
        <f>IF(日別集計!A121="","",日別集計!A121)</f>
        <v>46248</v>
      </c>
      <c r="B121" s="49" t="str">
        <f>IF(日別集計!B121="","",日別集計!B121)</f>
        <v>金</v>
      </c>
      <c r="C121" s="50">
        <f>IF(日別集計!R121="","",日別集計!R121)</f>
        <v>0</v>
      </c>
      <c r="D121" s="50">
        <f>IF(日別集計!S121="","",日別集計!S121)</f>
        <v>7</v>
      </c>
      <c r="E121" s="50">
        <f>IF(日別集計!T121="","",日別集計!T121)</f>
        <v>6</v>
      </c>
      <c r="F121" s="50">
        <f>IF(日別集計!U121="","",日別集計!U121)</f>
        <v>30</v>
      </c>
      <c r="G121" s="50">
        <f>IF(日別集計!V121="","",日別集計!V121)</f>
        <v>51</v>
      </c>
      <c r="H121" s="50">
        <f>IF(日別集計!W121="","",日別集計!W121)</f>
        <v>83</v>
      </c>
      <c r="I121" s="50">
        <f>IF(日別集計!X121="","",日別集計!X121)</f>
        <v>19</v>
      </c>
      <c r="J121" s="50">
        <f>IF(日別集計!Y121="","",日別集計!Y121)</f>
        <v>0</v>
      </c>
      <c r="K121" s="50">
        <f>IF(日別集計!Z121="","",日別集計!Z121)</f>
        <v>15</v>
      </c>
      <c r="L121" s="50">
        <f>IF(日別集計!AA121="","",日別集計!AA121)</f>
        <v>2</v>
      </c>
      <c r="M121" s="50">
        <f>IF(日別集計!AB121="","",日別集計!AB121)</f>
        <v>0</v>
      </c>
      <c r="N121" s="50">
        <f>IF(日別集計!AC121="","",日別集計!AC121)</f>
        <v>2</v>
      </c>
      <c r="O121" s="50">
        <f>IF(日別集計!AD121="","",日別集計!AD121)</f>
        <v>143</v>
      </c>
      <c r="P121" s="50">
        <f>IF(日別集計!AE121="","",日別集計!AE121)</f>
        <v>72</v>
      </c>
      <c r="Q121" s="50">
        <f>IF(日別集計!AF121="","",日別集計!AF121)</f>
        <v>215</v>
      </c>
      <c r="R121" s="57" t="str">
        <f>IF(日別集計!AG121="","",日別集計!AG121)</f>
        <v>天井 断熱材設置及びプラスターボード張り</v>
      </c>
    </row>
    <row r="122" spans="1:18" ht="16.5" x14ac:dyDescent="0.3">
      <c r="A122" s="51">
        <f>IF(日別集計!A122="","",日別集計!A122)</f>
        <v>46249</v>
      </c>
      <c r="B122" s="52" t="str">
        <f>IF(日別集計!B122="","",日別集計!B122)</f>
        <v>土</v>
      </c>
      <c r="C122" s="53">
        <f>IF(日別集計!R122="","",日別集計!R122)</f>
        <v>0</v>
      </c>
      <c r="D122" s="53">
        <f>IF(日別集計!S122="","",日別集計!S122)</f>
        <v>7</v>
      </c>
      <c r="E122" s="53">
        <f>IF(日別集計!T122="","",日別集計!T122)</f>
        <v>6</v>
      </c>
      <c r="F122" s="53">
        <f>IF(日別集計!U122="","",日別集計!U122)</f>
        <v>30</v>
      </c>
      <c r="G122" s="53">
        <f>IF(日別集計!V122="","",日別集計!V122)</f>
        <v>51</v>
      </c>
      <c r="H122" s="53">
        <f>IF(日別集計!W122="","",日別集計!W122)</f>
        <v>85</v>
      </c>
      <c r="I122" s="53">
        <f>IF(日別集計!X122="","",日別集計!X122)</f>
        <v>19</v>
      </c>
      <c r="J122" s="53">
        <f>IF(日別集計!Y122="","",日別集計!Y122)</f>
        <v>0</v>
      </c>
      <c r="K122" s="53">
        <f>IF(日別集計!Z122="","",日別集計!Z122)</f>
        <v>17</v>
      </c>
      <c r="L122" s="53">
        <f>IF(日別集計!AA122="","",日別集計!AA122)</f>
        <v>2</v>
      </c>
      <c r="M122" s="53">
        <f>IF(日別集計!AB122="","",日別集計!AB122)</f>
        <v>0</v>
      </c>
      <c r="N122" s="53">
        <f>IF(日別集計!AC122="","",日別集計!AC122)</f>
        <v>2</v>
      </c>
      <c r="O122" s="53">
        <f>IF(日別集計!AD122="","",日別集計!AD122)</f>
        <v>145</v>
      </c>
      <c r="P122" s="53">
        <f>IF(日別集計!AE122="","",日別集計!AE122)</f>
        <v>74</v>
      </c>
      <c r="Q122" s="53">
        <f>IF(日別集計!AF122="","",日別集計!AF122)</f>
        <v>219</v>
      </c>
      <c r="R122" s="58" t="str">
        <f>IF(日別集計!AG122="","",日別集計!AG122)</f>
        <v>天井プラスターボード張り</v>
      </c>
    </row>
    <row r="123" spans="1:18" ht="16.5" x14ac:dyDescent="0.3">
      <c r="A123" s="51">
        <f>IF(日別集計!A123="","",日別集計!A123)</f>
        <v>46250</v>
      </c>
      <c r="B123" s="52" t="str">
        <f>IF(日別集計!B123="","",日別集計!B123)</f>
        <v>日</v>
      </c>
      <c r="C123" s="53">
        <f>IF(日別集計!R123="","",日別集計!R123)</f>
        <v>0</v>
      </c>
      <c r="D123" s="53">
        <f>IF(日別集計!S123="","",日別集計!S123)</f>
        <v>7</v>
      </c>
      <c r="E123" s="53">
        <f>IF(日別集計!T123="","",日別集計!T123)</f>
        <v>6</v>
      </c>
      <c r="F123" s="53">
        <f>IF(日別集計!U123="","",日別集計!U123)</f>
        <v>30</v>
      </c>
      <c r="G123" s="53">
        <f>IF(日別集計!V123="","",日別集計!V123)</f>
        <v>51</v>
      </c>
      <c r="H123" s="53">
        <f>IF(日別集計!W123="","",日別集計!W123)</f>
        <v>85</v>
      </c>
      <c r="I123" s="53">
        <f>IF(日別集計!X123="","",日別集計!X123)</f>
        <v>19</v>
      </c>
      <c r="J123" s="53">
        <f>IF(日別集計!Y123="","",日別集計!Y123)</f>
        <v>0</v>
      </c>
      <c r="K123" s="53">
        <f>IF(日別集計!Z123="","",日別集計!Z123)</f>
        <v>17</v>
      </c>
      <c r="L123" s="53">
        <f>IF(日別集計!AA123="","",日別集計!AA123)</f>
        <v>2</v>
      </c>
      <c r="M123" s="53">
        <f>IF(日別集計!AB123="","",日別集計!AB123)</f>
        <v>0</v>
      </c>
      <c r="N123" s="53">
        <f>IF(日別集計!AC123="","",日別集計!AC123)</f>
        <v>2</v>
      </c>
      <c r="O123" s="53">
        <f>IF(日別集計!AD123="","",日別集計!AD123)</f>
        <v>145</v>
      </c>
      <c r="P123" s="53">
        <f>IF(日別集計!AE123="","",日別集計!AE123)</f>
        <v>74</v>
      </c>
      <c r="Q123" s="53">
        <f>IF(日別集計!AF123="","",日別集計!AF123)</f>
        <v>219</v>
      </c>
      <c r="R123" s="58" t="str">
        <f>IF(日別集計!AG123="","",日別集計!AG123)</f>
        <v/>
      </c>
    </row>
    <row r="124" spans="1:18" ht="16.5" x14ac:dyDescent="0.3">
      <c r="A124" s="48">
        <f>IF(日別集計!A124="","",日別集計!A124)</f>
        <v>46251</v>
      </c>
      <c r="B124" s="49" t="str">
        <f>IF(日別集計!B124="","",日別集計!B124)</f>
        <v>月</v>
      </c>
      <c r="C124" s="50">
        <f>IF(日別集計!R124="","",日別集計!R124)</f>
        <v>0</v>
      </c>
      <c r="D124" s="50">
        <f>IF(日別集計!S124="","",日別集計!S124)</f>
        <v>7</v>
      </c>
      <c r="E124" s="50">
        <f>IF(日別集計!T124="","",日別集計!T124)</f>
        <v>6</v>
      </c>
      <c r="F124" s="50">
        <f>IF(日別集計!U124="","",日別集計!U124)</f>
        <v>30</v>
      </c>
      <c r="G124" s="50">
        <f>IF(日別集計!V124="","",日別集計!V124)</f>
        <v>51</v>
      </c>
      <c r="H124" s="50">
        <f>IF(日別集計!W124="","",日別集計!W124)</f>
        <v>85</v>
      </c>
      <c r="I124" s="50">
        <f>IF(日別集計!X124="","",日別集計!X124)</f>
        <v>19</v>
      </c>
      <c r="J124" s="50">
        <f>IF(日別集計!Y124="","",日別集計!Y124)</f>
        <v>2</v>
      </c>
      <c r="K124" s="50">
        <f>IF(日別集計!Z124="","",日別集計!Z124)</f>
        <v>17</v>
      </c>
      <c r="L124" s="50">
        <f>IF(日別集計!AA124="","",日別集計!AA124)</f>
        <v>2</v>
      </c>
      <c r="M124" s="50">
        <f>IF(日別集計!AB124="","",日別集計!AB124)</f>
        <v>0</v>
      </c>
      <c r="N124" s="50">
        <f>IF(日別集計!AC124="","",日別集計!AC124)</f>
        <v>2</v>
      </c>
      <c r="O124" s="50">
        <f>IF(日別集計!AD124="","",日別集計!AD124)</f>
        <v>145</v>
      </c>
      <c r="P124" s="50">
        <f>IF(日別集計!AE124="","",日別集計!AE124)</f>
        <v>76</v>
      </c>
      <c r="Q124" s="50">
        <f>IF(日別集計!AF124="","",日別集計!AF124)</f>
        <v>221</v>
      </c>
      <c r="R124" s="57" t="str">
        <f>IF(日別集計!AG124="","",日別集計!AG124)</f>
        <v>自社は新都心 長嶺邸フェンス工事のため谷邸作業なし（荷川取、山里、友寄）</v>
      </c>
    </row>
    <row r="125" spans="1:18" ht="16.5" x14ac:dyDescent="0.3">
      <c r="A125" s="48">
        <f>IF(日別集計!A125="","",日別集計!A125)</f>
        <v>46252</v>
      </c>
      <c r="B125" s="49" t="str">
        <f>IF(日別集計!B125="","",日別集計!B125)</f>
        <v>火</v>
      </c>
      <c r="C125" s="50">
        <f>IF(日別集計!R125="","",日別集計!R125)</f>
        <v>0</v>
      </c>
      <c r="D125" s="50">
        <f>IF(日別集計!S125="","",日別集計!S125)</f>
        <v>7</v>
      </c>
      <c r="E125" s="50">
        <f>IF(日別集計!T125="","",日別集計!T125)</f>
        <v>6</v>
      </c>
      <c r="F125" s="50">
        <f>IF(日別集計!U125="","",日別集計!U125)</f>
        <v>30</v>
      </c>
      <c r="G125" s="50">
        <f>IF(日別集計!V125="","",日別集計!V125)</f>
        <v>51</v>
      </c>
      <c r="H125" s="50">
        <f>IF(日別集計!W125="","",日別集計!W125)</f>
        <v>85</v>
      </c>
      <c r="I125" s="50">
        <f>IF(日別集計!X125="","",日別集計!X125)</f>
        <v>19</v>
      </c>
      <c r="J125" s="50">
        <f>IF(日別集計!Y125="","",日別集計!Y125)</f>
        <v>3</v>
      </c>
      <c r="K125" s="50">
        <f>IF(日別集計!Z125="","",日別集計!Z125)</f>
        <v>17</v>
      </c>
      <c r="L125" s="50">
        <f>IF(日別集計!AA125="","",日別集計!AA125)</f>
        <v>2</v>
      </c>
      <c r="M125" s="50">
        <f>IF(日別集計!AB125="","",日別集計!AB125)</f>
        <v>2</v>
      </c>
      <c r="N125" s="50">
        <f>IF(日別集計!AC125="","",日別集計!AC125)</f>
        <v>2</v>
      </c>
      <c r="O125" s="50">
        <f>IF(日別集計!AD125="","",日別集計!AD125)</f>
        <v>147</v>
      </c>
      <c r="P125" s="50">
        <f>IF(日別集計!AE125="","",日別集計!AE125)</f>
        <v>77</v>
      </c>
      <c r="Q125" s="50">
        <f>IF(日別集計!AF125="","",日別集計!AF125)</f>
        <v>224</v>
      </c>
      <c r="R125" s="57" t="str">
        <f>IF(日別集計!AG125="","",日別集計!AG125)</f>
        <v>午後より玄関ポーチ・土間吊り作業</v>
      </c>
    </row>
    <row r="126" spans="1:18" ht="16.5" x14ac:dyDescent="0.3">
      <c r="A126" s="48">
        <f>IF(日別集計!A126="","",日別集計!A126)</f>
        <v>46253</v>
      </c>
      <c r="B126" s="49" t="str">
        <f>IF(日別集計!B126="","",日別集計!B126)</f>
        <v>水</v>
      </c>
      <c r="C126" s="50">
        <f>IF(日別集計!R126="","",日別集計!R126)</f>
        <v>0</v>
      </c>
      <c r="D126" s="50">
        <f>IF(日別集計!S126="","",日別集計!S126)</f>
        <v>7</v>
      </c>
      <c r="E126" s="50">
        <f>IF(日別集計!T126="","",日別集計!T126)</f>
        <v>6</v>
      </c>
      <c r="F126" s="50">
        <f>IF(日別集計!U126="","",日別集計!U126)</f>
        <v>30</v>
      </c>
      <c r="G126" s="50">
        <f>IF(日別集計!V126="","",日別集計!V126)</f>
        <v>51</v>
      </c>
      <c r="H126" s="50">
        <f>IF(日別集計!W126="","",日別集計!W126)</f>
        <v>85</v>
      </c>
      <c r="I126" s="50">
        <f>IF(日別集計!X126="","",日別集計!X126)</f>
        <v>19</v>
      </c>
      <c r="J126" s="50">
        <f>IF(日別集計!Y126="","",日別集計!Y126)</f>
        <v>5</v>
      </c>
      <c r="K126" s="50">
        <f>IF(日別集計!Z126="","",日別集計!Z126)</f>
        <v>17</v>
      </c>
      <c r="L126" s="50">
        <f>IF(日別集計!AA126="","",日別集計!AA126)</f>
        <v>2</v>
      </c>
      <c r="M126" s="50">
        <f>IF(日別集計!AB126="","",日別集計!AB126)</f>
        <v>4</v>
      </c>
      <c r="N126" s="50">
        <f>IF(日別集計!AC126="","",日別集計!AC126)</f>
        <v>2</v>
      </c>
      <c r="O126" s="50">
        <f>IF(日別集計!AD126="","",日別集計!AD126)</f>
        <v>149</v>
      </c>
      <c r="P126" s="50">
        <f>IF(日別集計!AE126="","",日別集計!AE126)</f>
        <v>79</v>
      </c>
      <c r="Q126" s="50">
        <f>IF(日別集計!AF126="","",日別集計!AF126)</f>
        <v>228</v>
      </c>
      <c r="R126" s="57" t="str">
        <f>IF(日別集計!AG126="","",日別集計!AG126)</f>
        <v>作業内容の記載なし（前日の続きと推定）</v>
      </c>
    </row>
    <row r="127" spans="1:18" ht="16.5" x14ac:dyDescent="0.3">
      <c r="A127" s="48">
        <f>IF(日別集計!A127="","",日別集計!A127)</f>
        <v>46254</v>
      </c>
      <c r="B127" s="49" t="str">
        <f>IF(日別集計!B127="","",日別集計!B127)</f>
        <v>木</v>
      </c>
      <c r="C127" s="50">
        <f>IF(日別集計!R127="","",日別集計!R127)</f>
        <v>0</v>
      </c>
      <c r="D127" s="50">
        <f>IF(日別集計!S127="","",日別集計!S127)</f>
        <v>7</v>
      </c>
      <c r="E127" s="50">
        <f>IF(日別集計!T127="","",日別集計!T127)</f>
        <v>6</v>
      </c>
      <c r="F127" s="50">
        <f>IF(日別集計!U127="","",日別集計!U127)</f>
        <v>30</v>
      </c>
      <c r="G127" s="50">
        <f>IF(日別集計!V127="","",日別集計!V127)</f>
        <v>51</v>
      </c>
      <c r="H127" s="50">
        <f>IF(日別集計!W127="","",日別集計!W127)</f>
        <v>85</v>
      </c>
      <c r="I127" s="50">
        <f>IF(日別集計!X127="","",日別集計!X127)</f>
        <v>19</v>
      </c>
      <c r="J127" s="50">
        <f>IF(日別集計!Y127="","",日別集計!Y127)</f>
        <v>9</v>
      </c>
      <c r="K127" s="50">
        <f>IF(日別集計!Z127="","",日別集計!Z127)</f>
        <v>17</v>
      </c>
      <c r="L127" s="50">
        <f>IF(日別集計!AA127="","",日別集計!AA127)</f>
        <v>2</v>
      </c>
      <c r="M127" s="50">
        <f>IF(日別集計!AB127="","",日別集計!AB127)</f>
        <v>4</v>
      </c>
      <c r="N127" s="50">
        <f>IF(日別集計!AC127="","",日別集計!AC127)</f>
        <v>2</v>
      </c>
      <c r="O127" s="50">
        <f>IF(日別集計!AD127="","",日別集計!AD127)</f>
        <v>151</v>
      </c>
      <c r="P127" s="50">
        <f>IF(日別集計!AE127="","",日別集計!AE127)</f>
        <v>81</v>
      </c>
      <c r="Q127" s="50">
        <f>IF(日別集計!AF127="","",日別集計!AF127)</f>
        <v>232</v>
      </c>
      <c r="R127" s="57" t="str">
        <f>IF(日別集計!AG127="","",日別集計!AG127)</f>
        <v>床材及び仕上げ資材搬入</v>
      </c>
    </row>
    <row r="128" spans="1:18" ht="16.5" x14ac:dyDescent="0.3">
      <c r="A128" s="48">
        <f>IF(日別集計!A128="","",日別集計!A128)</f>
        <v>46255</v>
      </c>
      <c r="B128" s="49" t="str">
        <f>IF(日別集計!B128="","",日別集計!B128)</f>
        <v>金</v>
      </c>
      <c r="C128" s="50">
        <f>IF(日別集計!R128="","",日別集計!R128)</f>
        <v>0</v>
      </c>
      <c r="D128" s="50">
        <f>IF(日別集計!S128="","",日別集計!S128)</f>
        <v>7</v>
      </c>
      <c r="E128" s="50">
        <f>IF(日別集計!T128="","",日別集計!T128)</f>
        <v>6</v>
      </c>
      <c r="F128" s="50">
        <f>IF(日別集計!U128="","",日別集計!U128)</f>
        <v>30</v>
      </c>
      <c r="G128" s="50">
        <f>IF(日別集計!V128="","",日別集計!V128)</f>
        <v>51</v>
      </c>
      <c r="H128" s="50">
        <f>IF(日別集計!W128="","",日別集計!W128)</f>
        <v>85</v>
      </c>
      <c r="I128" s="50">
        <f>IF(日別集計!X128="","",日別集計!X128)</f>
        <v>19</v>
      </c>
      <c r="J128" s="50">
        <f>IF(日別集計!Y128="","",日別集計!Y128)</f>
        <v>12</v>
      </c>
      <c r="K128" s="50">
        <f>IF(日別集計!Z128="","",日別集計!Z128)</f>
        <v>17</v>
      </c>
      <c r="L128" s="50">
        <f>IF(日別集計!AA128="","",日別集計!AA128)</f>
        <v>2</v>
      </c>
      <c r="M128" s="50">
        <f>IF(日別集計!AB128="","",日別集計!AB128)</f>
        <v>4</v>
      </c>
      <c r="N128" s="50">
        <f>IF(日別集計!AC128="","",日別集計!AC128)</f>
        <v>2</v>
      </c>
      <c r="O128" s="50">
        <f>IF(日別集計!AD128="","",日別集計!AD128)</f>
        <v>154</v>
      </c>
      <c r="P128" s="50">
        <f>IF(日別集計!AE128="","",日別集計!AE128)</f>
        <v>81</v>
      </c>
      <c r="Q128" s="50">
        <f>IF(日別集計!AF128="","",日別集計!AF128)</f>
        <v>235</v>
      </c>
      <c r="R128" s="57" t="str">
        <f>IF(日別集計!AG128="","",日別集計!AG128)</f>
        <v>フローリング張り</v>
      </c>
    </row>
    <row r="129" spans="1:18" ht="16.5" x14ac:dyDescent="0.3">
      <c r="A129" s="51">
        <f>IF(日別集計!A129="","",日別集計!A129)</f>
        <v>46256</v>
      </c>
      <c r="B129" s="52" t="str">
        <f>IF(日別集計!B129="","",日別集計!B129)</f>
        <v>土</v>
      </c>
      <c r="C129" s="53">
        <f>IF(日別集計!R129="","",日別集計!R129)</f>
        <v>0</v>
      </c>
      <c r="D129" s="53">
        <f>IF(日別集計!S129="","",日別集計!S129)</f>
        <v>7</v>
      </c>
      <c r="E129" s="53">
        <f>IF(日別集計!T129="","",日別集計!T129)</f>
        <v>6</v>
      </c>
      <c r="F129" s="53">
        <f>IF(日別集計!U129="","",日別集計!U129)</f>
        <v>30</v>
      </c>
      <c r="G129" s="53">
        <f>IF(日別集計!V129="","",日別集計!V129)</f>
        <v>51</v>
      </c>
      <c r="H129" s="53">
        <f>IF(日別集計!W129="","",日別集計!W129)</f>
        <v>86</v>
      </c>
      <c r="I129" s="53">
        <f>IF(日別集計!X129="","",日別集計!X129)</f>
        <v>22</v>
      </c>
      <c r="J129" s="53">
        <f>IF(日別集計!Y129="","",日別集計!Y129)</f>
        <v>15</v>
      </c>
      <c r="K129" s="53">
        <f>IF(日別集計!Z129="","",日別集計!Z129)</f>
        <v>17</v>
      </c>
      <c r="L129" s="53">
        <f>IF(日別集計!AA129="","",日別集計!AA129)</f>
        <v>3</v>
      </c>
      <c r="M129" s="53">
        <f>IF(日別集計!AB129="","",日別集計!AB129)</f>
        <v>4</v>
      </c>
      <c r="N129" s="53">
        <f>IF(日別集計!AC129="","",日別集計!AC129)</f>
        <v>2</v>
      </c>
      <c r="O129" s="53">
        <f>IF(日別集計!AD129="","",日別集計!AD129)</f>
        <v>157</v>
      </c>
      <c r="P129" s="53">
        <f>IF(日別集計!AE129="","",日別集計!AE129)</f>
        <v>86</v>
      </c>
      <c r="Q129" s="53">
        <f>IF(日別集計!AF129="","",日別集計!AF129)</f>
        <v>243</v>
      </c>
      <c r="R129" s="58" t="str">
        <f>IF(日別集計!AG129="","",日別集計!AG129)</f>
        <v>フローリング張り</v>
      </c>
    </row>
    <row r="130" spans="1:18" ht="16.5" x14ac:dyDescent="0.3">
      <c r="A130" s="51">
        <f>IF(日別集計!A130="","",日別集計!A130)</f>
        <v>46257</v>
      </c>
      <c r="B130" s="52" t="str">
        <f>IF(日別集計!B130="","",日別集計!B130)</f>
        <v>日</v>
      </c>
      <c r="C130" s="53">
        <f>IF(日別集計!R130="","",日別集計!R130)</f>
        <v>0</v>
      </c>
      <c r="D130" s="53">
        <f>IF(日別集計!S130="","",日別集計!S130)</f>
        <v>7</v>
      </c>
      <c r="E130" s="53">
        <f>IF(日別集計!T130="","",日別集計!T130)</f>
        <v>6</v>
      </c>
      <c r="F130" s="53">
        <f>IF(日別集計!U130="","",日別集計!U130)</f>
        <v>30</v>
      </c>
      <c r="G130" s="53">
        <f>IF(日別集計!V130="","",日別集計!V130)</f>
        <v>51</v>
      </c>
      <c r="H130" s="53">
        <f>IF(日別集計!W130="","",日別集計!W130)</f>
        <v>86</v>
      </c>
      <c r="I130" s="53">
        <f>IF(日別集計!X130="","",日別集計!X130)</f>
        <v>22</v>
      </c>
      <c r="J130" s="53">
        <f>IF(日別集計!Y130="","",日別集計!Y130)</f>
        <v>15</v>
      </c>
      <c r="K130" s="53">
        <f>IF(日別集計!Z130="","",日別集計!Z130)</f>
        <v>17</v>
      </c>
      <c r="L130" s="53">
        <f>IF(日別集計!AA130="","",日別集計!AA130)</f>
        <v>3</v>
      </c>
      <c r="M130" s="53">
        <f>IF(日別集計!AB130="","",日別集計!AB130)</f>
        <v>4</v>
      </c>
      <c r="N130" s="53">
        <f>IF(日別集計!AC130="","",日別集計!AC130)</f>
        <v>2</v>
      </c>
      <c r="O130" s="53">
        <f>IF(日別集計!AD130="","",日別集計!AD130)</f>
        <v>157</v>
      </c>
      <c r="P130" s="53">
        <f>IF(日別集計!AE130="","",日別集計!AE130)</f>
        <v>86</v>
      </c>
      <c r="Q130" s="53">
        <f>IF(日別集計!AF130="","",日別集計!AF130)</f>
        <v>243</v>
      </c>
      <c r="R130" s="58" t="str">
        <f>IF(日別集計!AG130="","",日別集計!AG130)</f>
        <v/>
      </c>
    </row>
    <row r="131" spans="1:18" ht="16.5" x14ac:dyDescent="0.3">
      <c r="A131" s="48">
        <f>IF(日別集計!A131="","",日別集計!A131)</f>
        <v>46258</v>
      </c>
      <c r="B131" s="49" t="str">
        <f>IF(日別集計!B131="","",日別集計!B131)</f>
        <v>月</v>
      </c>
      <c r="C131" s="50">
        <f>IF(日別集計!R131="","",日別集計!R131)</f>
        <v>0</v>
      </c>
      <c r="D131" s="50">
        <f>IF(日別集計!S131="","",日別集計!S131)</f>
        <v>7</v>
      </c>
      <c r="E131" s="50">
        <f>IF(日別集計!T131="","",日別集計!T131)</f>
        <v>6</v>
      </c>
      <c r="F131" s="50">
        <f>IF(日別集計!U131="","",日別集計!U131)</f>
        <v>30</v>
      </c>
      <c r="G131" s="50">
        <f>IF(日別集計!V131="","",日別集計!V131)</f>
        <v>51</v>
      </c>
      <c r="H131" s="50">
        <f>IF(日別集計!W131="","",日別集計!W131)</f>
        <v>86</v>
      </c>
      <c r="I131" s="50">
        <f>IF(日別集計!X131="","",日別集計!X131)</f>
        <v>22</v>
      </c>
      <c r="J131" s="50">
        <f>IF(日別集計!Y131="","",日別集計!Y131)</f>
        <v>18</v>
      </c>
      <c r="K131" s="50">
        <f>IF(日別集計!Z131="","",日別集計!Z131)</f>
        <v>17</v>
      </c>
      <c r="L131" s="50">
        <f>IF(日別集計!AA131="","",日別集計!AA131)</f>
        <v>3</v>
      </c>
      <c r="M131" s="50">
        <f>IF(日別集計!AB131="","",日別集計!AB131)</f>
        <v>4</v>
      </c>
      <c r="N131" s="50">
        <f>IF(日別集計!AC131="","",日別集計!AC131)</f>
        <v>2</v>
      </c>
      <c r="O131" s="50">
        <f>IF(日別集計!AD131="","",日別集計!AD131)</f>
        <v>160</v>
      </c>
      <c r="P131" s="50">
        <f>IF(日別集計!AE131="","",日別集計!AE131)</f>
        <v>86</v>
      </c>
      <c r="Q131" s="50">
        <f>IF(日別集計!AF131="","",日別集計!AF131)</f>
        <v>246</v>
      </c>
      <c r="R131" s="57" t="str">
        <f>IF(日別集計!AG131="","",日別集計!AG131)</f>
        <v>床張り</v>
      </c>
    </row>
    <row r="132" spans="1:18" ht="16.5" x14ac:dyDescent="0.3">
      <c r="A132" s="48">
        <f>IF(日別集計!A132="","",日別集計!A132)</f>
        <v>46259</v>
      </c>
      <c r="B132" s="49" t="str">
        <f>IF(日別集計!B132="","",日別集計!B132)</f>
        <v>火</v>
      </c>
      <c r="C132" s="50">
        <f>IF(日別集計!R132="","",日別集計!R132)</f>
        <v>0</v>
      </c>
      <c r="D132" s="50">
        <f>IF(日別集計!S132="","",日別集計!S132)</f>
        <v>7</v>
      </c>
      <c r="E132" s="50">
        <f>IF(日別集計!T132="","",日別集計!T132)</f>
        <v>6</v>
      </c>
      <c r="F132" s="50">
        <f>IF(日別集計!U132="","",日別集計!U132)</f>
        <v>30</v>
      </c>
      <c r="G132" s="50">
        <f>IF(日別集計!V132="","",日別集計!V132)</f>
        <v>51</v>
      </c>
      <c r="H132" s="50">
        <f>IF(日別集計!W132="","",日別集計!W132)</f>
        <v>87</v>
      </c>
      <c r="I132" s="50">
        <f>IF(日別集計!X132="","",日別集計!X132)</f>
        <v>22</v>
      </c>
      <c r="J132" s="50">
        <f>IF(日別集計!Y132="","",日別集計!Y132)</f>
        <v>21</v>
      </c>
      <c r="K132" s="50">
        <f>IF(日別集計!Z132="","",日別集計!Z132)</f>
        <v>19</v>
      </c>
      <c r="L132" s="50">
        <f>IF(日別集計!AA132="","",日別集計!AA132)</f>
        <v>3</v>
      </c>
      <c r="M132" s="50">
        <f>IF(日別集計!AB132="","",日別集計!AB132)</f>
        <v>4</v>
      </c>
      <c r="N132" s="50">
        <f>IF(日別集計!AC132="","",日別集計!AC132)</f>
        <v>2</v>
      </c>
      <c r="O132" s="50">
        <f>IF(日別集計!AD132="","",日別集計!AD132)</f>
        <v>163</v>
      </c>
      <c r="P132" s="50">
        <f>IF(日別集計!AE132="","",日別集計!AE132)</f>
        <v>89</v>
      </c>
      <c r="Q132" s="50">
        <f>IF(日別集計!AF132="","",日別集計!AF132)</f>
        <v>252</v>
      </c>
      <c r="R132" s="57" t="str">
        <f>IF(日別集計!AG132="","",日別集計!AG132)</f>
        <v>床張り</v>
      </c>
    </row>
    <row r="133" spans="1:18" ht="16.5" x14ac:dyDescent="0.3">
      <c r="A133" s="48">
        <f>IF(日別集計!A133="","",日別集計!A133)</f>
        <v>46260</v>
      </c>
      <c r="B133" s="49" t="str">
        <f>IF(日別集計!B133="","",日別集計!B133)</f>
        <v>水</v>
      </c>
      <c r="C133" s="50">
        <f>IF(日別集計!R133="","",日別集計!R133)</f>
        <v>0</v>
      </c>
      <c r="D133" s="50">
        <f>IF(日別集計!S133="","",日別集計!S133)</f>
        <v>7</v>
      </c>
      <c r="E133" s="50">
        <f>IF(日別集計!T133="","",日別集計!T133)</f>
        <v>6</v>
      </c>
      <c r="F133" s="50">
        <f>IF(日別集計!U133="","",日別集計!U133)</f>
        <v>30</v>
      </c>
      <c r="G133" s="50">
        <f>IF(日別集計!V133="","",日別集計!V133)</f>
        <v>51</v>
      </c>
      <c r="H133" s="50">
        <f>IF(日別集計!W133="","",日別集計!W133)</f>
        <v>87</v>
      </c>
      <c r="I133" s="50">
        <f>IF(日別集計!X133="","",日別集計!X133)</f>
        <v>22</v>
      </c>
      <c r="J133" s="50">
        <f>IF(日別集計!Y133="","",日別集計!Y133)</f>
        <v>24</v>
      </c>
      <c r="K133" s="50">
        <f>IF(日別集計!Z133="","",日別集計!Z133)</f>
        <v>19</v>
      </c>
      <c r="L133" s="50">
        <f>IF(日別集計!AA133="","",日別集計!AA133)</f>
        <v>3</v>
      </c>
      <c r="M133" s="50">
        <f>IF(日別集計!AB133="","",日別集計!AB133)</f>
        <v>4</v>
      </c>
      <c r="N133" s="50">
        <f>IF(日別集計!AC133="","",日別集計!AC133)</f>
        <v>2</v>
      </c>
      <c r="O133" s="50">
        <f>IF(日別集計!AD133="","",日別集計!AD133)</f>
        <v>166</v>
      </c>
      <c r="P133" s="50">
        <f>IF(日別集計!AE133="","",日別集計!AE133)</f>
        <v>89</v>
      </c>
      <c r="Q133" s="50">
        <f>IF(日別集計!AF133="","",日別集計!AF133)</f>
        <v>255</v>
      </c>
      <c r="R133" s="57" t="str">
        <f>IF(日別集計!AG133="","",日別集計!AG133)</f>
        <v>床張り及び幅木取付</v>
      </c>
    </row>
    <row r="134" spans="1:18" ht="16.5" x14ac:dyDescent="0.3">
      <c r="A134" s="48">
        <f>IF(日別集計!A134="","",日別集計!A134)</f>
        <v>46261</v>
      </c>
      <c r="B134" s="49" t="str">
        <f>IF(日別集計!B134="","",日別集計!B134)</f>
        <v>木</v>
      </c>
      <c r="C134" s="50">
        <f>IF(日別集計!R134="","",日別集計!R134)</f>
        <v>0</v>
      </c>
      <c r="D134" s="50">
        <f>IF(日別集計!S134="","",日別集計!S134)</f>
        <v>7</v>
      </c>
      <c r="E134" s="50">
        <f>IF(日別集計!T134="","",日別集計!T134)</f>
        <v>6</v>
      </c>
      <c r="F134" s="50">
        <f>IF(日別集計!U134="","",日別集計!U134)</f>
        <v>30</v>
      </c>
      <c r="G134" s="50">
        <f>IF(日別集計!V134="","",日別集計!V134)</f>
        <v>51</v>
      </c>
      <c r="H134" s="50">
        <f>IF(日別集計!W134="","",日別集計!W134)</f>
        <v>87</v>
      </c>
      <c r="I134" s="50">
        <f>IF(日別集計!X134="","",日別集計!X134)</f>
        <v>22</v>
      </c>
      <c r="J134" s="50">
        <f>IF(日別集計!Y134="","",日別集計!Y134)</f>
        <v>24</v>
      </c>
      <c r="K134" s="50">
        <f>IF(日別集計!Z134="","",日別集計!Z134)</f>
        <v>19</v>
      </c>
      <c r="L134" s="50">
        <f>IF(日別集計!AA134="","",日別集計!AA134)</f>
        <v>6</v>
      </c>
      <c r="M134" s="50">
        <f>IF(日別集計!AB134="","",日別集計!AB134)</f>
        <v>4</v>
      </c>
      <c r="N134" s="50">
        <f>IF(日別集計!AC134="","",日別集計!AC134)</f>
        <v>2</v>
      </c>
      <c r="O134" s="50">
        <f>IF(日別集計!AD134="","",日別集計!AD134)</f>
        <v>166</v>
      </c>
      <c r="P134" s="50">
        <f>IF(日別集計!AE134="","",日別集計!AE134)</f>
        <v>92</v>
      </c>
      <c r="Q134" s="50">
        <f>IF(日別集計!AF134="","",日別集計!AF134)</f>
        <v>258</v>
      </c>
      <c r="R134" s="57" t="str">
        <f>IF(日別集計!AG134="","",日別集計!AG134)</f>
        <v>自社作業員の記載なし</v>
      </c>
    </row>
    <row r="135" spans="1:18" ht="16.5" x14ac:dyDescent="0.3">
      <c r="A135" s="48">
        <f>IF(日別集計!A135="","",日別集計!A135)</f>
        <v>46262</v>
      </c>
      <c r="B135" s="49" t="str">
        <f>IF(日別集計!B135="","",日別集計!B135)</f>
        <v>金</v>
      </c>
      <c r="C135" s="50">
        <f>IF(日別集計!R135="","",日別集計!R135)</f>
        <v>0</v>
      </c>
      <c r="D135" s="50">
        <f>IF(日別集計!S135="","",日別集計!S135)</f>
        <v>7</v>
      </c>
      <c r="E135" s="50">
        <f>IF(日別集計!T135="","",日別集計!T135)</f>
        <v>6</v>
      </c>
      <c r="F135" s="50">
        <f>IF(日別集計!U135="","",日別集計!U135)</f>
        <v>30</v>
      </c>
      <c r="G135" s="50">
        <f>IF(日別集計!V135="","",日別集計!V135)</f>
        <v>51</v>
      </c>
      <c r="H135" s="50">
        <f>IF(日別集計!W135="","",日別集計!W135)</f>
        <v>87</v>
      </c>
      <c r="I135" s="50">
        <f>IF(日別集計!X135="","",日別集計!X135)</f>
        <v>22</v>
      </c>
      <c r="J135" s="50">
        <f>IF(日別集計!Y135="","",日別集計!Y135)</f>
        <v>24</v>
      </c>
      <c r="K135" s="50">
        <f>IF(日別集計!Z135="","",日別集計!Z135)</f>
        <v>19</v>
      </c>
      <c r="L135" s="50">
        <f>IF(日別集計!AA135="","",日別集計!AA135)</f>
        <v>6</v>
      </c>
      <c r="M135" s="50">
        <f>IF(日別集計!AB135="","",日別集計!AB135)</f>
        <v>4</v>
      </c>
      <c r="N135" s="50">
        <f>IF(日別集計!AC135="","",日別集計!AC135)</f>
        <v>4</v>
      </c>
      <c r="O135" s="50">
        <f>IF(日別集計!AD135="","",日別集計!AD135)</f>
        <v>168</v>
      </c>
      <c r="P135" s="50">
        <f>IF(日別集計!AE135="","",日別集計!AE135)</f>
        <v>92</v>
      </c>
      <c r="Q135" s="50">
        <f>IF(日別集計!AF135="","",日別集計!AF135)</f>
        <v>260</v>
      </c>
      <c r="R135" s="57" t="str">
        <f>IF(日別集計!AG135="","",日別集計!AG135)</f>
        <v>ブロック打ち出し及び検査前片付け、検査11時（設計 斉藤参加）</v>
      </c>
    </row>
    <row r="136" spans="1:18" ht="16.5" x14ac:dyDescent="0.3">
      <c r="A136" s="51">
        <f>IF(日別集計!A136="","",日別集計!A136)</f>
        <v>46263</v>
      </c>
      <c r="B136" s="52" t="str">
        <f>IF(日別集計!B136="","",日別集計!B136)</f>
        <v>土</v>
      </c>
      <c r="C136" s="53">
        <f>IF(日別集計!R136="","",日別集計!R136)</f>
        <v>0</v>
      </c>
      <c r="D136" s="53">
        <f>IF(日別集計!S136="","",日別集計!S136)</f>
        <v>7</v>
      </c>
      <c r="E136" s="53">
        <f>IF(日別集計!T136="","",日別集計!T136)</f>
        <v>6</v>
      </c>
      <c r="F136" s="53">
        <f>IF(日別集計!U136="","",日別集計!U136)</f>
        <v>30</v>
      </c>
      <c r="G136" s="53">
        <f>IF(日別集計!V136="","",日別集計!V136)</f>
        <v>51</v>
      </c>
      <c r="H136" s="53">
        <f>IF(日別集計!W136="","",日別集計!W136)</f>
        <v>87</v>
      </c>
      <c r="I136" s="53">
        <f>IF(日別集計!X136="","",日別集計!X136)</f>
        <v>22</v>
      </c>
      <c r="J136" s="53">
        <f>IF(日別集計!Y136="","",日別集計!Y136)</f>
        <v>24</v>
      </c>
      <c r="K136" s="53">
        <f>IF(日別集計!Z136="","",日別集計!Z136)</f>
        <v>19</v>
      </c>
      <c r="L136" s="53">
        <f>IF(日別集計!AA136="","",日別集計!AA136)</f>
        <v>6</v>
      </c>
      <c r="M136" s="53">
        <f>IF(日別集計!AB136="","",日別集計!AB136)</f>
        <v>4</v>
      </c>
      <c r="N136" s="53">
        <f>IF(日別集計!AC136="","",日別集計!AC136)</f>
        <v>5</v>
      </c>
      <c r="O136" s="53">
        <f>IF(日別集計!AD136="","",日別集計!AD136)</f>
        <v>169</v>
      </c>
      <c r="P136" s="53">
        <f>IF(日別集計!AE136="","",日別集計!AE136)</f>
        <v>92</v>
      </c>
      <c r="Q136" s="53">
        <f>IF(日別集計!AF136="","",日別集計!AF136)</f>
        <v>261</v>
      </c>
      <c r="R136" s="58" t="str">
        <f>IF(日別集計!AG136="","",日別集計!AG136)</f>
        <v>現場の片付け・清掃及び品物調達調査</v>
      </c>
    </row>
    <row r="137" spans="1:18" ht="16.5" x14ac:dyDescent="0.3">
      <c r="A137" s="51">
        <f>IF(日別集計!A137="","",日別集計!A137)</f>
        <v>46264</v>
      </c>
      <c r="B137" s="52" t="str">
        <f>IF(日別集計!B137="","",日別集計!B137)</f>
        <v>日</v>
      </c>
      <c r="C137" s="53">
        <f>IF(日別集計!R137="","",日別集計!R137)</f>
        <v>0</v>
      </c>
      <c r="D137" s="53">
        <f>IF(日別集計!S137="","",日別集計!S137)</f>
        <v>7</v>
      </c>
      <c r="E137" s="53">
        <f>IF(日別集計!T137="","",日別集計!T137)</f>
        <v>6</v>
      </c>
      <c r="F137" s="53">
        <f>IF(日別集計!U137="","",日別集計!U137)</f>
        <v>30</v>
      </c>
      <c r="G137" s="53">
        <f>IF(日別集計!V137="","",日別集計!V137)</f>
        <v>51</v>
      </c>
      <c r="H137" s="53">
        <f>IF(日別集計!W137="","",日別集計!W137)</f>
        <v>87</v>
      </c>
      <c r="I137" s="53">
        <f>IF(日別集計!X137="","",日別集計!X137)</f>
        <v>22</v>
      </c>
      <c r="J137" s="53">
        <f>IF(日別集計!Y137="","",日別集計!Y137)</f>
        <v>24</v>
      </c>
      <c r="K137" s="53">
        <f>IF(日別集計!Z137="","",日別集計!Z137)</f>
        <v>19</v>
      </c>
      <c r="L137" s="53">
        <f>IF(日別集計!AA137="","",日別集計!AA137)</f>
        <v>8</v>
      </c>
      <c r="M137" s="53">
        <f>IF(日別集計!AB137="","",日別集計!AB137)</f>
        <v>4</v>
      </c>
      <c r="N137" s="53">
        <f>IF(日別集計!AC137="","",日別集計!AC137)</f>
        <v>9</v>
      </c>
      <c r="O137" s="53">
        <f>IF(日別集計!AD137="","",日別集計!AD137)</f>
        <v>173</v>
      </c>
      <c r="P137" s="53">
        <f>IF(日別集計!AE137="","",日別集計!AE137)</f>
        <v>94</v>
      </c>
      <c r="Q137" s="53">
        <f>IF(日別集計!AF137="","",日別集計!AF137)</f>
        <v>267</v>
      </c>
      <c r="R137" s="58" t="str">
        <f>IF(日別集計!AG137="","",日別集計!AG137)</f>
        <v>防風ネット巻き上げ、中城住宅建築予定のお客様 現場案内</v>
      </c>
    </row>
    <row r="138" spans="1:18" ht="16.5" x14ac:dyDescent="0.3">
      <c r="A138" s="48">
        <f>IF(日別集計!A138="","",日別集計!A138)</f>
        <v>46265</v>
      </c>
      <c r="B138" s="49" t="str">
        <f>IF(日別集計!B138="","",日別集計!B138)</f>
        <v>月</v>
      </c>
      <c r="C138" s="50">
        <f>IF(日別集計!R138="","",日別集計!R138)</f>
        <v>0</v>
      </c>
      <c r="D138" s="50">
        <f>IF(日別集計!S138="","",日別集計!S138)</f>
        <v>7</v>
      </c>
      <c r="E138" s="50">
        <f>IF(日別集計!T138="","",日別集計!T138)</f>
        <v>6</v>
      </c>
      <c r="F138" s="50">
        <f>IF(日別集計!U138="","",日別集計!U138)</f>
        <v>30</v>
      </c>
      <c r="G138" s="50">
        <f>IF(日別集計!V138="","",日別集計!V138)</f>
        <v>51</v>
      </c>
      <c r="H138" s="50">
        <f>IF(日別集計!W138="","",日別集計!W138)</f>
        <v>87</v>
      </c>
      <c r="I138" s="50">
        <f>IF(日別集計!X138="","",日別集計!X138)</f>
        <v>22</v>
      </c>
      <c r="J138" s="50">
        <f>IF(日別集計!Y138="","",日別集計!Y138)</f>
        <v>27</v>
      </c>
      <c r="K138" s="50">
        <f>IF(日別集計!Z138="","",日別集計!Z138)</f>
        <v>19</v>
      </c>
      <c r="L138" s="50">
        <f>IF(日別集計!AA138="","",日別集計!AA138)</f>
        <v>8</v>
      </c>
      <c r="M138" s="50">
        <f>IF(日別集計!AB138="","",日別集計!AB138)</f>
        <v>4</v>
      </c>
      <c r="N138" s="50">
        <f>IF(日別集計!AC138="","",日別集計!AC138)</f>
        <v>9</v>
      </c>
      <c r="O138" s="50">
        <f>IF(日別集計!AD138="","",日別集計!AD138)</f>
        <v>175</v>
      </c>
      <c r="P138" s="50">
        <f>IF(日別集計!AE138="","",日別集計!AE138)</f>
        <v>95</v>
      </c>
      <c r="Q138" s="50">
        <f>IF(日別集計!AF138="","",日別集計!AF138)</f>
        <v>270</v>
      </c>
      <c r="R138" s="57" t="str">
        <f>IF(日別集計!AG138="","",日別集計!AG138)</f>
        <v>内部床ボンド清掃</v>
      </c>
    </row>
    <row r="139" spans="1:18" ht="16.5" x14ac:dyDescent="0.3">
      <c r="A139" s="48">
        <f>IF(日別集計!A139="","",日別集計!A139)</f>
        <v>46266</v>
      </c>
      <c r="B139" s="49" t="str">
        <f>IF(日別集計!B139="","",日別集計!B139)</f>
        <v>火</v>
      </c>
      <c r="C139" s="50">
        <f>IF(日別集計!R139="","",日別集計!R139)</f>
        <v>0</v>
      </c>
      <c r="D139" s="50">
        <f>IF(日別集計!S139="","",日別集計!S139)</f>
        <v>7</v>
      </c>
      <c r="E139" s="50">
        <f>IF(日別集計!T139="","",日別集計!T139)</f>
        <v>6</v>
      </c>
      <c r="F139" s="50">
        <f>IF(日別集計!U139="","",日別集計!U139)</f>
        <v>30</v>
      </c>
      <c r="G139" s="50">
        <f>IF(日別集計!V139="","",日別集計!V139)</f>
        <v>51</v>
      </c>
      <c r="H139" s="50">
        <f>IF(日別集計!W139="","",日別集計!W139)</f>
        <v>87</v>
      </c>
      <c r="I139" s="50">
        <f>IF(日別集計!X139="","",日別集計!X139)</f>
        <v>22</v>
      </c>
      <c r="J139" s="50">
        <f>IF(日別集計!Y139="","",日別集計!Y139)</f>
        <v>28</v>
      </c>
      <c r="K139" s="50">
        <f>IF(日別集計!Z139="","",日別集計!Z139)</f>
        <v>19</v>
      </c>
      <c r="L139" s="50">
        <f>IF(日別集計!AA139="","",日別集計!AA139)</f>
        <v>8</v>
      </c>
      <c r="M139" s="50">
        <f>IF(日別集計!AB139="","",日別集計!AB139)</f>
        <v>6</v>
      </c>
      <c r="N139" s="50">
        <f>IF(日別集計!AC139="","",日別集計!AC139)</f>
        <v>9</v>
      </c>
      <c r="O139" s="50">
        <f>IF(日別集計!AD139="","",日別集計!AD139)</f>
        <v>177</v>
      </c>
      <c r="P139" s="50">
        <f>IF(日別集計!AE139="","",日別集計!AE139)</f>
        <v>96</v>
      </c>
      <c r="Q139" s="50">
        <f>IF(日別集計!AF139="","",日別集計!AF139)</f>
        <v>273</v>
      </c>
      <c r="R139" s="57" t="str">
        <f>IF(日別集計!AG139="","",日別集計!AG139)</f>
        <v>外構土間整地</v>
      </c>
    </row>
    <row r="140" spans="1:18" ht="16.5" x14ac:dyDescent="0.3">
      <c r="A140" s="48">
        <f>IF(日別集計!A140="","",日別集計!A140)</f>
        <v>46267</v>
      </c>
      <c r="B140" s="49" t="str">
        <f>IF(日別集計!B140="","",日別集計!B140)</f>
        <v>水</v>
      </c>
      <c r="C140" s="50">
        <f>IF(日別集計!R140="","",日別集計!R140)</f>
        <v>0</v>
      </c>
      <c r="D140" s="50">
        <f>IF(日別集計!S140="","",日別集計!S140)</f>
        <v>7</v>
      </c>
      <c r="E140" s="50">
        <f>IF(日別集計!T140="","",日別集計!T140)</f>
        <v>6</v>
      </c>
      <c r="F140" s="50">
        <f>IF(日別集計!U140="","",日別集計!U140)</f>
        <v>30</v>
      </c>
      <c r="G140" s="50">
        <f>IF(日別集計!V140="","",日別集計!V140)</f>
        <v>51</v>
      </c>
      <c r="H140" s="50">
        <f>IF(日別集計!W140="","",日別集計!W140)</f>
        <v>87</v>
      </c>
      <c r="I140" s="50">
        <f>IF(日別集計!X140="","",日別集計!X140)</f>
        <v>22</v>
      </c>
      <c r="J140" s="50">
        <f>IF(日別集計!Y140="","",日別集計!Y140)</f>
        <v>28</v>
      </c>
      <c r="K140" s="50">
        <f>IF(日別集計!Z140="","",日別集計!Z140)</f>
        <v>19</v>
      </c>
      <c r="L140" s="50">
        <f>IF(日別集計!AA140="","",日別集計!AA140)</f>
        <v>8</v>
      </c>
      <c r="M140" s="50">
        <f>IF(日別集計!AB140="","",日別集計!AB140)</f>
        <v>9</v>
      </c>
      <c r="N140" s="50">
        <f>IF(日別集計!AC140="","",日別集計!AC140)</f>
        <v>9</v>
      </c>
      <c r="O140" s="50">
        <f>IF(日別集計!AD140="","",日別集計!AD140)</f>
        <v>180</v>
      </c>
      <c r="P140" s="50">
        <f>IF(日別集計!AE140="","",日別集計!AE140)</f>
        <v>96</v>
      </c>
      <c r="Q140" s="50">
        <f>IF(日別集計!AF140="","",日別集計!AF140)</f>
        <v>276</v>
      </c>
      <c r="R140" s="57" t="str">
        <f>IF(日別集計!AG140="","",日別集計!AG140)</f>
        <v>外構土間整地掘削（2tダンプ追加）</v>
      </c>
    </row>
  </sheetData>
  <printOptions horizontalCentered="1"/>
  <pageMargins left="0.4" right="0.4" top="0.5" bottom="0.5" header="0.25" footer="0.25"/>
  <pageSetup paperSize="9" fitToHeight="0" orientation="landscape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  <pageSetUpPr fitToPage="1"/>
  </sheetPr>
  <dimension ref="A1:A2"/>
  <sheetViews>
    <sheetView zoomScale="90" zoomScaleNormal="90" workbookViewId="0"/>
  </sheetViews>
  <sheetFormatPr defaultColWidth="8.7421875" defaultRowHeight="15" x14ac:dyDescent="0.2"/>
  <sheetData>
    <row r="1" spans="1:1" ht="18.75" x14ac:dyDescent="0.25">
      <c r="A1" s="3" t="s">
        <v>497</v>
      </c>
    </row>
    <row r="2" spans="1:1" x14ac:dyDescent="0.2">
      <c r="A2" s="15" t="s">
        <v>498</v>
      </c>
    </row>
  </sheetData>
  <printOptions horizontalCentered="1"/>
  <pageMargins left="0.4" right="0.4" top="0.5" bottom="0.5" header="0.25" footer="0.25"/>
  <pageSetup paperSize="9" orientation="landscape" horizontalDpi="300" verticalDpi="300"/>
  <headerFooter>
    <oddHeader>&amp;R&amp;8 谷直美様住宅新築工事　現場日報</oddHeader>
    <oddFooter>&amp;C&amp;8 &amp;A　&amp;P /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  <pageSetUpPr fitToPage="1"/>
  </sheetPr>
  <dimension ref="A1:O44"/>
  <sheetViews>
    <sheetView zoomScale="90" zoomScaleNormal="90" workbookViewId="0"/>
  </sheetViews>
  <sheetFormatPr defaultColWidth="8.7421875" defaultRowHeight="15" x14ac:dyDescent="0.2"/>
  <cols>
    <col min="1" max="1" width="13.98828125" customWidth="1"/>
    <col min="2" max="3" width="9.01171875" customWidth="1"/>
    <col min="4" max="4" width="9.953125" customWidth="1"/>
    <col min="5" max="5" width="7.93359375" customWidth="1"/>
    <col min="6" max="6" width="9.01171875" customWidth="1"/>
    <col min="7" max="7" width="7.93359375" customWidth="1"/>
    <col min="8" max="8" width="18.0234375" customWidth="1"/>
    <col min="9" max="10" width="9.01171875" customWidth="1"/>
    <col min="11" max="11" width="18.0234375" customWidth="1"/>
    <col min="12" max="15" width="9.01171875" customWidth="1"/>
  </cols>
  <sheetData>
    <row r="1" spans="1:11" ht="18.75" x14ac:dyDescent="0.25">
      <c r="A1" s="3" t="s">
        <v>499</v>
      </c>
    </row>
    <row r="2" spans="1:11" ht="16.5" x14ac:dyDescent="0.3">
      <c r="A2" s="15" t="s">
        <v>500</v>
      </c>
    </row>
    <row r="4" spans="1:11" ht="30" customHeight="1" x14ac:dyDescent="0.2">
      <c r="A4" s="5" t="s">
        <v>109</v>
      </c>
      <c r="B4" s="5" t="s">
        <v>501</v>
      </c>
      <c r="C4" s="5" t="s">
        <v>502</v>
      </c>
      <c r="D4" s="5" t="s">
        <v>503</v>
      </c>
      <c r="E4" s="5" t="s">
        <v>504</v>
      </c>
      <c r="F4" s="5" t="s">
        <v>505</v>
      </c>
      <c r="H4" s="5" t="s">
        <v>96</v>
      </c>
      <c r="I4" s="5" t="s">
        <v>501</v>
      </c>
      <c r="J4" s="5" t="s">
        <v>505</v>
      </c>
      <c r="K4" s="5" t="s">
        <v>506</v>
      </c>
    </row>
    <row r="5" spans="1:11" ht="17.25" x14ac:dyDescent="0.35">
      <c r="A5" s="45" t="s">
        <v>368</v>
      </c>
      <c r="B5" s="45">
        <f>SUMIFS(台帳!$I$2:$I$2000,台帳!$E$2:$E$2000,A5)</f>
        <v>0</v>
      </c>
      <c r="C5" s="28"/>
      <c r="D5" s="45" t="str">
        <f>IF(C5="","",C5-B5)</f>
        <v/>
      </c>
      <c r="E5" s="59" t="str">
        <f>IF(OR(C5="",C5=0),"",B5/C5)</f>
        <v/>
      </c>
      <c r="F5" s="45">
        <f>SUMPRODUCT(--(台帳!$E$2:$E$2000=A5),--(台帳!$I$2:$I$2000&gt;0))</f>
        <v>0</v>
      </c>
      <c r="H5" s="45" t="s">
        <v>123</v>
      </c>
      <c r="I5" s="45">
        <f>SUMIFS(台帳!$I$2:$I$2000,台帳!$G$2:$G$2000,H5)</f>
        <v>0</v>
      </c>
      <c r="J5" s="45">
        <f>COUNTIFS(台帳!$G$2:$G$2000,H5,台帳!$I$2:$I$2000,"&gt;0")</f>
        <v>0</v>
      </c>
      <c r="K5" s="45" t="str">
        <f>IFERROR(INDEX(台帳!$F$2:$F$2000,MATCH(H5,台帳!$G$2:$G$2000,0)),"")</f>
        <v>残土運搬</v>
      </c>
    </row>
    <row r="6" spans="1:11" ht="17.25" x14ac:dyDescent="0.35">
      <c r="A6" s="45" t="s">
        <v>372</v>
      </c>
      <c r="B6" s="45">
        <f>SUMIFS(台帳!$I$2:$I$2000,台帳!$E$2:$E$2000,A6)</f>
        <v>7</v>
      </c>
      <c r="C6" s="28"/>
      <c r="D6" s="45" t="str">
        <f>IF(C6="","",C6-B6)</f>
        <v/>
      </c>
      <c r="E6" s="59" t="str">
        <f>IF(OR(C6="",C6=0),"",B6/C6)</f>
        <v/>
      </c>
      <c r="F6" s="45">
        <f>SUMPRODUCT(--(台帳!$E$2:$E$2000=A6),--(台帳!$I$2:$I$2000&gt;0))</f>
        <v>7</v>
      </c>
      <c r="H6" s="45" t="s">
        <v>129</v>
      </c>
      <c r="I6" s="45">
        <f>SUMIFS(台帳!$I$2:$I$2000,台帳!$G$2:$G$2000,H6)</f>
        <v>0</v>
      </c>
      <c r="J6" s="45">
        <f>COUNTIFS(台帳!$G$2:$G$2000,H6,台帳!$I$2:$I$2000,"&gt;0")</f>
        <v>0</v>
      </c>
      <c r="K6" s="45" t="str">
        <f>IFERROR(INDEX(台帳!$F$2:$F$2000,MATCH(H6,台帳!$G$2:$G$2000,0)),"")</f>
        <v>残土運搬</v>
      </c>
    </row>
    <row r="7" spans="1:11" ht="17.25" x14ac:dyDescent="0.35">
      <c r="A7" s="45" t="s">
        <v>375</v>
      </c>
      <c r="B7" s="45">
        <f>SUMIFS(台帳!$I$2:$I$2000,台帳!$E$2:$E$2000,A7)</f>
        <v>6</v>
      </c>
      <c r="C7" s="28"/>
      <c r="D7" s="45" t="str">
        <f>IF(C7="","",C7-B7)</f>
        <v/>
      </c>
      <c r="E7" s="59" t="str">
        <f>IF(OR(C7="",C7=0),"",B7/C7)</f>
        <v/>
      </c>
      <c r="F7" s="45">
        <f>SUMPRODUCT(--(台帳!$E$2:$E$2000=A7),--(台帳!$I$2:$I$2000&gt;0))</f>
        <v>6</v>
      </c>
      <c r="H7" s="45" t="s">
        <v>140</v>
      </c>
      <c r="I7" s="45">
        <f>SUMIFS(台帳!$I$2:$I$2000,台帳!$G$2:$G$2000,H7)</f>
        <v>30</v>
      </c>
      <c r="J7" s="45">
        <f>COUNTIFS(台帳!$G$2:$G$2000,H7,台帳!$I$2:$I$2000,"&gt;0")</f>
        <v>9</v>
      </c>
      <c r="K7" s="45" t="str">
        <f>IFERROR(INDEX(台帳!$F$2:$F$2000,MATCH(H7,台帳!$G$2:$G$2000,0)),"")</f>
        <v>地盤改良</v>
      </c>
    </row>
    <row r="8" spans="1:11" ht="17.25" x14ac:dyDescent="0.35">
      <c r="A8" s="45" t="s">
        <v>377</v>
      </c>
      <c r="B8" s="45">
        <f>SUMIFS(台帳!$I$2:$I$2000,台帳!$E$2:$E$2000,A8)</f>
        <v>30</v>
      </c>
      <c r="C8" s="28"/>
      <c r="D8" s="45" t="str">
        <f>IF(C8="","",C8-B8)</f>
        <v/>
      </c>
      <c r="E8" s="59" t="str">
        <f>IF(OR(C8="",C8=0),"",B8/C8)</f>
        <v/>
      </c>
      <c r="F8" s="45">
        <f>SUMPRODUCT(--(台帳!$E$2:$E$2000=A8),--(台帳!$I$2:$I$2000&gt;0))</f>
        <v>9</v>
      </c>
      <c r="H8" s="45" t="s">
        <v>247</v>
      </c>
      <c r="I8" s="45">
        <f>SUMIFS(台帳!$I$2:$I$2000,台帳!$G$2:$G$2000,H8)</f>
        <v>2</v>
      </c>
      <c r="J8" s="45">
        <f>COUNTIFS(台帳!$G$2:$G$2000,H8,台帳!$I$2:$I$2000,"&gt;0")</f>
        <v>1</v>
      </c>
      <c r="K8" s="45" t="str">
        <f>IFERROR(INDEX(台帳!$F$2:$F$2000,MATCH(H8,台帳!$G$2:$G$2000,0)),"")</f>
        <v>外壁防水シート</v>
      </c>
    </row>
    <row r="9" spans="1:11" ht="17.25" x14ac:dyDescent="0.35">
      <c r="A9" s="45" t="s">
        <v>380</v>
      </c>
      <c r="B9" s="45">
        <f>SUMIFS(台帳!$I$2:$I$2000,台帳!$E$2:$E$2000,A9)</f>
        <v>51</v>
      </c>
      <c r="C9" s="28"/>
      <c r="D9" s="45" t="str">
        <f>IF(C9="","",C9-B9)</f>
        <v/>
      </c>
      <c r="E9" s="59" t="str">
        <f>IF(OR(C9="",C9=0),"",B9/C9)</f>
        <v/>
      </c>
      <c r="F9" s="45">
        <f>SUMPRODUCT(--(台帳!$E$2:$E$2000=A9),--(台帳!$I$2:$I$2000&gt;0))</f>
        <v>49</v>
      </c>
      <c r="H9" s="45" t="s">
        <v>253</v>
      </c>
      <c r="I9" s="45">
        <f>SUMIFS(台帳!$I$2:$I$2000,台帳!$G$2:$G$2000,H9)</f>
        <v>19</v>
      </c>
      <c r="J9" s="45">
        <f>COUNTIFS(台帳!$G$2:$G$2000,H9,台帳!$I$2:$I$2000,"&gt;0")</f>
        <v>8</v>
      </c>
      <c r="K9" s="45" t="str">
        <f>IFERROR(INDEX(台帳!$F$2:$F$2000,MATCH(H9,台帳!$G$2:$G$2000,0)),"")</f>
        <v>電気配線</v>
      </c>
    </row>
    <row r="10" spans="1:11" ht="17.25" x14ac:dyDescent="0.35">
      <c r="A10" s="45" t="s">
        <v>382</v>
      </c>
      <c r="B10" s="45">
        <f>SUMIFS(台帳!$I$2:$I$2000,台帳!$E$2:$E$2000,A10)</f>
        <v>87</v>
      </c>
      <c r="C10" s="28"/>
      <c r="D10" s="45" t="str">
        <f>IF(C10="","",C10-B10)</f>
        <v/>
      </c>
      <c r="E10" s="59" t="str">
        <f>IF(OR(C10="",C10=0),"",B10/C10)</f>
        <v/>
      </c>
      <c r="F10" s="45">
        <f>SUMPRODUCT(--(台帳!$E$2:$E$2000=A10),--(台帳!$I$2:$I$2000&gt;0))</f>
        <v>87</v>
      </c>
      <c r="H10" s="45" t="s">
        <v>256</v>
      </c>
      <c r="I10" s="45">
        <f>SUMIFS(台帳!$I$2:$I$2000,台帳!$G$2:$G$2000,H10)</f>
        <v>11</v>
      </c>
      <c r="J10" s="45">
        <f>COUNTIFS(台帳!$G$2:$G$2000,H10,台帳!$I$2:$I$2000,"&gt;0")</f>
        <v>4</v>
      </c>
      <c r="K10" s="45" t="str">
        <f>IFERROR(INDEX(台帳!$F$2:$F$2000,MATCH(H10,台帳!$G$2:$G$2000,0)),"")</f>
        <v>外壁サイディング</v>
      </c>
    </row>
    <row r="11" spans="1:11" ht="17.25" x14ac:dyDescent="0.35">
      <c r="A11" s="45" t="s">
        <v>384</v>
      </c>
      <c r="B11" s="45">
        <f>SUMIFS(台帳!$I$2:$I$2000,台帳!$E$2:$E$2000,A11)</f>
        <v>22</v>
      </c>
      <c r="C11" s="28"/>
      <c r="D11" s="45" t="str">
        <f>IF(C11="","",C11-B11)</f>
        <v/>
      </c>
      <c r="E11" s="59" t="str">
        <f>IF(OR(C11="",C11=0),"",B11/C11)</f>
        <v/>
      </c>
      <c r="F11" s="45">
        <f>SUMPRODUCT(--(台帳!$E$2:$E$2000=A11),--(台帳!$I$2:$I$2000&gt;0))</f>
        <v>10</v>
      </c>
      <c r="H11" s="45" t="s">
        <v>275</v>
      </c>
      <c r="I11" s="45">
        <f>SUMIFS(台帳!$I$2:$I$2000,台帳!$G$2:$G$2000,H11)</f>
        <v>2</v>
      </c>
      <c r="J11" s="45">
        <f>COUNTIFS(台帳!$G$2:$G$2000,H11,台帳!$I$2:$I$2000,"&gt;0")</f>
        <v>2</v>
      </c>
      <c r="K11" s="45" t="str">
        <f>IFERROR(INDEX(台帳!$F$2:$F$2000,MATCH(H11,台帳!$G$2:$G$2000,0)),"")</f>
        <v>コーキング</v>
      </c>
    </row>
    <row r="12" spans="1:11" ht="17.25" x14ac:dyDescent="0.35">
      <c r="A12" s="45" t="s">
        <v>387</v>
      </c>
      <c r="B12" s="45">
        <f>SUMIFS(台帳!$I$2:$I$2000,台帳!$E$2:$E$2000,A12)</f>
        <v>28</v>
      </c>
      <c r="C12" s="28"/>
      <c r="D12" s="45" t="str">
        <f>IF(C12="","",C12-B12)</f>
        <v/>
      </c>
      <c r="E12" s="59" t="str">
        <f>IF(OR(C12="",C12=0),"",B12/C12)</f>
        <v/>
      </c>
      <c r="F12" s="45">
        <f>SUMPRODUCT(--(台帳!$E$2:$E$2000=A12),--(台帳!$I$2:$I$2000&gt;0))</f>
        <v>25</v>
      </c>
      <c r="H12" s="45" t="s">
        <v>185</v>
      </c>
      <c r="I12" s="45">
        <f>SUMIFS(台帳!$I$2:$I$2000,台帳!$G$2:$G$2000,H12)</f>
        <v>1</v>
      </c>
      <c r="J12" s="45">
        <f>COUNTIFS(台帳!$G$2:$G$2000,H12,台帳!$I$2:$I$2000,"&gt;0")</f>
        <v>1</v>
      </c>
      <c r="K12" s="45" t="str">
        <f>IFERROR(INDEX(台帳!$F$2:$F$2000,MATCH(H12,台帳!$G$2:$G$2000,0)),"")</f>
        <v>左官工事</v>
      </c>
    </row>
    <row r="13" spans="1:11" ht="17.25" x14ac:dyDescent="0.35">
      <c r="A13" s="45" t="s">
        <v>389</v>
      </c>
      <c r="B13" s="45">
        <f>SUMIFS(台帳!$I$2:$I$2000,台帳!$E$2:$E$2000,A13)</f>
        <v>19</v>
      </c>
      <c r="C13" s="28"/>
      <c r="D13" s="45" t="str">
        <f>IF(C13="","",C13-B13)</f>
        <v/>
      </c>
      <c r="E13" s="59" t="str">
        <f>IF(OR(C13="",C13=0),"",B13/C13)</f>
        <v/>
      </c>
      <c r="F13" s="45">
        <f>SUMPRODUCT(--(台帳!$E$2:$E$2000=A13),--(台帳!$I$2:$I$2000&gt;0))</f>
        <v>8</v>
      </c>
      <c r="H13" s="45" t="s">
        <v>188</v>
      </c>
      <c r="I13" s="45">
        <f>SUMIFS(台帳!$I$2:$I$2000,台帳!$G$2:$G$2000,H13)</f>
        <v>3</v>
      </c>
      <c r="J13" s="45">
        <f>COUNTIFS(台帳!$G$2:$G$2000,H13,台帳!$I$2:$I$2000,"&gt;0")</f>
        <v>2</v>
      </c>
      <c r="K13" s="45" t="str">
        <f>IFERROR(INDEX(台帳!$F$2:$F$2000,MATCH(H13,台帳!$G$2:$G$2000,0)),"")</f>
        <v>ポンプ工事</v>
      </c>
    </row>
    <row r="14" spans="1:11" ht="17.25" x14ac:dyDescent="0.35">
      <c r="A14" s="45" t="s">
        <v>392</v>
      </c>
      <c r="B14" s="45">
        <f>SUMIFS(台帳!$I$2:$I$2000,台帳!$E$2:$E$2000,A14)</f>
        <v>8</v>
      </c>
      <c r="C14" s="28"/>
      <c r="D14" s="45" t="str">
        <f>IF(C14="","",C14-B14)</f>
        <v/>
      </c>
      <c r="E14" s="59" t="str">
        <f>IF(OR(C14="",C14=0),"",B14/C14)</f>
        <v/>
      </c>
      <c r="F14" s="45">
        <f>SUMPRODUCT(--(台帳!$E$2:$E$2000=A14),--(台帳!$I$2:$I$2000&gt;0))</f>
        <v>4</v>
      </c>
      <c r="H14" s="45" t="s">
        <v>173</v>
      </c>
      <c r="I14" s="45">
        <f>SUMIFS(台帳!$I$2:$I$2000,台帳!$G$2:$G$2000,H14)</f>
        <v>2</v>
      </c>
      <c r="J14" s="45">
        <f>COUNTIFS(台帳!$G$2:$G$2000,H14,台帳!$I$2:$I$2000,"&gt;0")</f>
        <v>1</v>
      </c>
      <c r="K14" s="45" t="str">
        <f>IFERROR(INDEX(台帳!$F$2:$F$2000,MATCH(H14,台帳!$G$2:$G$2000,0)),"")</f>
        <v>鉄筋工事</v>
      </c>
    </row>
    <row r="15" spans="1:11" ht="17.25" x14ac:dyDescent="0.35">
      <c r="A15" s="45" t="s">
        <v>394</v>
      </c>
      <c r="B15" s="45">
        <f>SUMIFS(台帳!$I$2:$I$2000,台帳!$E$2:$E$2000,A15)</f>
        <v>9</v>
      </c>
      <c r="C15" s="28"/>
      <c r="D15" s="45" t="str">
        <f>IF(C15="","",C15-B15)</f>
        <v/>
      </c>
      <c r="E15" s="59" t="str">
        <f>IF(OR(C15="",C15=0),"",B15/C15)</f>
        <v/>
      </c>
      <c r="F15" s="45">
        <f>SUMPRODUCT(--(台帳!$E$2:$E$2000=A15),--(台帳!$I$2:$I$2000&gt;0))</f>
        <v>9</v>
      </c>
      <c r="H15" s="45" t="s">
        <v>213</v>
      </c>
      <c r="I15" s="45">
        <f>SUMIFS(台帳!$I$2:$I$2000,台帳!$G$2:$G$2000,H15)</f>
        <v>0</v>
      </c>
      <c r="J15" s="45">
        <f>COUNTIFS(台帳!$G$2:$G$2000,H15,台帳!$I$2:$I$2000,"&gt;0")</f>
        <v>0</v>
      </c>
      <c r="K15" s="45" t="str">
        <f>IFERROR(INDEX(台帳!$F$2:$F$2000,MATCH(H15,台帳!$G$2:$G$2000,0)),"")</f>
        <v>設備配管</v>
      </c>
    </row>
    <row r="16" spans="1:11" ht="17.25" x14ac:dyDescent="0.35">
      <c r="A16" s="45" t="s">
        <v>396</v>
      </c>
      <c r="B16" s="45">
        <f>SUMIFS(台帳!$I$2:$I$2000,台帳!$E$2:$E$2000,A16)</f>
        <v>9</v>
      </c>
      <c r="C16" s="28"/>
      <c r="D16" s="45" t="str">
        <f>IF(C16="","",C16-B16)</f>
        <v/>
      </c>
      <c r="E16" s="59" t="str">
        <f>IF(OR(C16="",C16=0),"",B16/C16)</f>
        <v/>
      </c>
      <c r="F16" s="45">
        <f>SUMPRODUCT(--(台帳!$E$2:$E$2000=A16),--(台帳!$I$2:$I$2000&gt;0))</f>
        <v>9</v>
      </c>
      <c r="H16" s="45" t="s">
        <v>272</v>
      </c>
      <c r="I16" s="45">
        <f>SUMIFS(台帳!$I$2:$I$2000,台帳!$G$2:$G$2000,H16)</f>
        <v>2</v>
      </c>
      <c r="J16" s="45">
        <f>COUNTIFS(台帳!$G$2:$G$2000,H16,台帳!$I$2:$I$2000,"&gt;0")</f>
        <v>1</v>
      </c>
      <c r="K16" s="45" t="str">
        <f>IFERROR(INDEX(台帳!$F$2:$F$2000,MATCH(H16,台帳!$G$2:$G$2000,0)),"")</f>
        <v>ユニットバス設置</v>
      </c>
    </row>
    <row r="17" spans="1:11" ht="17.25" x14ac:dyDescent="0.35">
      <c r="A17" s="60" t="s">
        <v>421</v>
      </c>
      <c r="B17" s="60">
        <f>SUM(B5:B16)</f>
        <v>276</v>
      </c>
      <c r="C17" s="60">
        <f>SUM(C5:C16)</f>
        <v>0</v>
      </c>
      <c r="D17" s="60">
        <f>SUM(D5:D16)</f>
        <v>0</v>
      </c>
      <c r="E17" s="61" t="str">
        <f>IF(C17=0,"",B17/C17)</f>
        <v/>
      </c>
      <c r="F17" s="60"/>
      <c r="H17" s="45" t="s">
        <v>226</v>
      </c>
      <c r="I17" s="45">
        <f>SUMIFS(台帳!$I$2:$I$2000,台帳!$G$2:$G$2000,H17)</f>
        <v>0</v>
      </c>
      <c r="J17" s="45">
        <f>COUNTIFS(台帳!$G$2:$G$2000,H17,台帳!$I$2:$I$2000,"&gt;0")</f>
        <v>0</v>
      </c>
      <c r="K17" s="45" t="str">
        <f>IFERROR(INDEX(台帳!$F$2:$F$2000,MATCH(H17,台帳!$G$2:$G$2000,0)),"")</f>
        <v>上棟</v>
      </c>
    </row>
    <row r="18" spans="1:11" x14ac:dyDescent="0.2">
      <c r="H18" s="45" t="s">
        <v>191</v>
      </c>
      <c r="I18" s="45">
        <f>SUMIFS(台帳!$I$2:$I$2000,台帳!$G$2:$G$2000,H18)</f>
        <v>0</v>
      </c>
      <c r="J18" s="45">
        <f>COUNTIFS(台帳!$G$2:$G$2000,H18,台帳!$I$2:$I$2000,"&gt;0")</f>
        <v>0</v>
      </c>
      <c r="K18" s="45" t="str">
        <f>IFERROR(INDEX(台帳!$F$2:$F$2000,MATCH(H18,台帳!$G$2:$G$2000,0)),"")</f>
        <v>基礎コンクリート打設</v>
      </c>
    </row>
    <row r="19" spans="1:11" x14ac:dyDescent="0.2">
      <c r="H19" s="45" t="s">
        <v>298</v>
      </c>
      <c r="I19" s="45">
        <f>SUMIFS(台帳!$I$2:$I$2000,台帳!$G$2:$G$2000,H19)</f>
        <v>4</v>
      </c>
      <c r="J19" s="45">
        <f>COUNTIFS(台帳!$G$2:$G$2000,H19,台帳!$I$2:$I$2000,"&gt;0")</f>
        <v>2</v>
      </c>
      <c r="K19" s="45" t="str">
        <f>IFERROR(INDEX(台帳!$F$2:$F$2000,MATCH(H19,台帳!$G$2:$G$2000,0)),"")</f>
        <v>屋根工事</v>
      </c>
    </row>
    <row r="20" spans="1:11" x14ac:dyDescent="0.2">
      <c r="H20" s="45" t="s">
        <v>307</v>
      </c>
      <c r="I20" s="45">
        <f>SUMIFS(台帳!$I$2:$I$2000,台帳!$G$2:$G$2000,H20)</f>
        <v>7</v>
      </c>
      <c r="J20" s="45">
        <f>COUNTIFS(台帳!$G$2:$G$2000,H20,台帳!$I$2:$I$2000,"&gt;0")</f>
        <v>4</v>
      </c>
      <c r="K20" s="45" t="str">
        <f>IFERROR(INDEX(台帳!$F$2:$F$2000,MATCH(H20,台帳!$G$2:$G$2000,0)),"")</f>
        <v>クロス工事</v>
      </c>
    </row>
    <row r="21" spans="1:11" x14ac:dyDescent="0.2">
      <c r="H21" s="45" t="s">
        <v>323</v>
      </c>
      <c r="I21" s="45">
        <f>SUMIFS(台帳!$I$2:$I$2000,台帳!$G$2:$G$2000,H21)</f>
        <v>2</v>
      </c>
      <c r="J21" s="45">
        <f>COUNTIFS(台帳!$G$2:$G$2000,H21,台帳!$I$2:$I$2000,"&gt;0")</f>
        <v>2</v>
      </c>
      <c r="K21" s="45" t="str">
        <f>IFERROR(INDEX(台帳!$F$2:$F$2000,MATCH(H21,台帳!$G$2:$G$2000,0)),"")</f>
        <v>造作（框・幅木）</v>
      </c>
    </row>
    <row r="22" spans="1:11" x14ac:dyDescent="0.2">
      <c r="H22" s="45" t="s">
        <v>326</v>
      </c>
      <c r="I22" s="45">
        <f>SUMIFS(台帳!$I$2:$I$2000,台帳!$G$2:$G$2000,H22)</f>
        <v>3</v>
      </c>
      <c r="J22" s="45">
        <f>COUNTIFS(台帳!$G$2:$G$2000,H22,台帳!$I$2:$I$2000,"&gt;0")</f>
        <v>1</v>
      </c>
      <c r="K22" s="45" t="str">
        <f>IFERROR(INDEX(台帳!$F$2:$F$2000,MATCH(H22,台帳!$G$2:$G$2000,0)),"")</f>
        <v>足場</v>
      </c>
    </row>
    <row r="23" spans="1:11" x14ac:dyDescent="0.2">
      <c r="H23" s="45" t="s">
        <v>329</v>
      </c>
      <c r="I23" s="45">
        <f>SUMIFS(台帳!$I$2:$I$2000,台帳!$G$2:$G$2000,H23)</f>
        <v>1</v>
      </c>
      <c r="J23" s="45">
        <f>COUNTIFS(台帳!$G$2:$G$2000,H23,台帳!$I$2:$I$2000,"&gt;0")</f>
        <v>1</v>
      </c>
      <c r="K23" s="45" t="str">
        <f>IFERROR(INDEX(台帳!$F$2:$F$2000,MATCH(H23,台帳!$G$2:$G$2000,0)),"")</f>
        <v>ガス工事</v>
      </c>
    </row>
    <row r="24" spans="1:11" x14ac:dyDescent="0.2">
      <c r="H24" s="45" t="s">
        <v>339</v>
      </c>
      <c r="I24" s="45">
        <f>SUMIFS(台帳!$I$2:$I$2000,台帳!$G$2:$G$2000,H24)</f>
        <v>5</v>
      </c>
      <c r="J24" s="45">
        <f>COUNTIFS(台帳!$G$2:$G$2000,H24,台帳!$I$2:$I$2000,"&gt;0")</f>
        <v>2</v>
      </c>
      <c r="K24" s="45" t="str">
        <f>IFERROR(INDEX(台帳!$F$2:$F$2000,MATCH(H24,台帳!$G$2:$G$2000,0)),"")</f>
        <v>設備配管</v>
      </c>
    </row>
    <row r="25" spans="1:11" x14ac:dyDescent="0.2">
      <c r="H25" s="45" t="s">
        <v>353</v>
      </c>
      <c r="I25" s="45">
        <f>SUMIFS(台帳!$I$2:$I$2000,台帳!$G$2:$G$2000,H25)</f>
        <v>2</v>
      </c>
      <c r="J25" s="45">
        <f>COUNTIFS(台帳!$G$2:$G$2000,H25,台帳!$I$2:$I$2000,"&gt;0")</f>
        <v>2</v>
      </c>
      <c r="K25" s="45" t="str">
        <f>IFERROR(INDEX(台帳!$F$2:$F$2000,MATCH(H25,台帳!$G$2:$G$2000,0)),"")</f>
        <v>タイル工事</v>
      </c>
    </row>
    <row r="26" spans="1:11" x14ac:dyDescent="0.2">
      <c r="H26" s="60" t="s">
        <v>421</v>
      </c>
      <c r="I26" s="60">
        <f>SUM(I5:I25)</f>
        <v>96</v>
      </c>
      <c r="J26" s="60"/>
      <c r="K26" s="60"/>
    </row>
    <row r="36" spans="1:15" ht="39.75" customHeight="1" x14ac:dyDescent="0.2">
      <c r="A36" s="5" t="s">
        <v>367</v>
      </c>
      <c r="B36" s="5" t="s">
        <v>368</v>
      </c>
      <c r="C36" s="5" t="s">
        <v>372</v>
      </c>
      <c r="D36" s="5" t="s">
        <v>375</v>
      </c>
      <c r="E36" s="5" t="s">
        <v>377</v>
      </c>
      <c r="F36" s="5" t="s">
        <v>380</v>
      </c>
      <c r="G36" s="5" t="s">
        <v>382</v>
      </c>
      <c r="H36" s="5" t="s">
        <v>384</v>
      </c>
      <c r="I36" s="5" t="s">
        <v>387</v>
      </c>
      <c r="J36" s="5" t="s">
        <v>389</v>
      </c>
      <c r="K36" s="5" t="s">
        <v>392</v>
      </c>
      <c r="L36" s="5" t="s">
        <v>394</v>
      </c>
      <c r="M36" s="5" t="s">
        <v>396</v>
      </c>
      <c r="N36" s="5" t="s">
        <v>507</v>
      </c>
      <c r="O36" s="5" t="s">
        <v>505</v>
      </c>
    </row>
    <row r="37" spans="1:15" ht="17.25" x14ac:dyDescent="0.35">
      <c r="A37" s="45" t="s">
        <v>117</v>
      </c>
      <c r="B37" s="46">
        <f>SUMIFS(台帳!$I$2:$I$2000,台帳!$G$2:$G$2000,$A37,台帳!$E$2:$E$2000,B$36)</f>
        <v>0</v>
      </c>
      <c r="C37" s="46">
        <f>SUMIFS(台帳!$I$2:$I$2000,台帳!$G$2:$G$2000,$A37,台帳!$E$2:$E$2000,C$36)</f>
        <v>3</v>
      </c>
      <c r="D37" s="46">
        <f>SUMIFS(台帳!$I$2:$I$2000,台帳!$G$2:$G$2000,$A37,台帳!$E$2:$E$2000,D$36)</f>
        <v>3</v>
      </c>
      <c r="E37" s="46">
        <f>SUMIFS(台帳!$I$2:$I$2000,台帳!$G$2:$G$2000,$A37,台帳!$E$2:$E$2000,E$36)</f>
        <v>0</v>
      </c>
      <c r="F37" s="46">
        <f>SUMIFS(台帳!$I$2:$I$2000,台帳!$G$2:$G$2000,$A37,台帳!$E$2:$E$2000,F$36)</f>
        <v>13</v>
      </c>
      <c r="G37" s="46">
        <f>SUMIFS(台帳!$I$2:$I$2000,台帳!$G$2:$G$2000,$A37,台帳!$E$2:$E$2000,G$36)</f>
        <v>26</v>
      </c>
      <c r="H37" s="46">
        <f>SUMIFS(台帳!$I$2:$I$2000,台帳!$G$2:$G$2000,$A37,台帳!$E$2:$E$2000,H$36)</f>
        <v>0</v>
      </c>
      <c r="I37" s="46">
        <f>SUMIFS(台帳!$I$2:$I$2000,台帳!$G$2:$G$2000,$A37,台帳!$E$2:$E$2000,I$36)</f>
        <v>7</v>
      </c>
      <c r="J37" s="46">
        <f>SUMIFS(台帳!$I$2:$I$2000,台帳!$G$2:$G$2000,$A37,台帳!$E$2:$E$2000,J$36)</f>
        <v>0</v>
      </c>
      <c r="K37" s="46">
        <f>SUMIFS(台帳!$I$2:$I$2000,台帳!$G$2:$G$2000,$A37,台帳!$E$2:$E$2000,K$36)</f>
        <v>0</v>
      </c>
      <c r="L37" s="46">
        <f>SUMIFS(台帳!$I$2:$I$2000,台帳!$G$2:$G$2000,$A37,台帳!$E$2:$E$2000,L$36)</f>
        <v>4</v>
      </c>
      <c r="M37" s="46">
        <f>SUMIFS(台帳!$I$2:$I$2000,台帳!$G$2:$G$2000,$A37,台帳!$E$2:$E$2000,M$36)</f>
        <v>4</v>
      </c>
      <c r="N37" s="46">
        <f>SUM(B37:M37)</f>
        <v>60</v>
      </c>
      <c r="O37" s="46">
        <f>COUNTIFS(台帳!$G$2:$G$2000,A37,台帳!$I$2:$I$2000,"&gt;0")</f>
        <v>60</v>
      </c>
    </row>
    <row r="38" spans="1:15" ht="17.25" x14ac:dyDescent="0.35">
      <c r="A38" s="45" t="s">
        <v>128</v>
      </c>
      <c r="B38" s="46">
        <f>SUMIFS(台帳!$I$2:$I$2000,台帳!$G$2:$G$2000,$A38,台帳!$E$2:$E$2000,B$36)</f>
        <v>0</v>
      </c>
      <c r="C38" s="46">
        <f>SUMIFS(台帳!$I$2:$I$2000,台帳!$G$2:$G$2000,$A38,台帳!$E$2:$E$2000,C$36)</f>
        <v>2</v>
      </c>
      <c r="D38" s="46">
        <f>SUMIFS(台帳!$I$2:$I$2000,台帳!$G$2:$G$2000,$A38,台帳!$E$2:$E$2000,D$36)</f>
        <v>3</v>
      </c>
      <c r="E38" s="46">
        <f>SUMIFS(台帳!$I$2:$I$2000,台帳!$G$2:$G$2000,$A38,台帳!$E$2:$E$2000,E$36)</f>
        <v>0</v>
      </c>
      <c r="F38" s="46">
        <f>SUMIFS(台帳!$I$2:$I$2000,台帳!$G$2:$G$2000,$A38,台帳!$E$2:$E$2000,F$36)</f>
        <v>11</v>
      </c>
      <c r="G38" s="46">
        <f>SUMIFS(台帳!$I$2:$I$2000,台帳!$G$2:$G$2000,$A38,台帳!$E$2:$E$2000,G$36)</f>
        <v>7</v>
      </c>
      <c r="H38" s="46">
        <f>SUMIFS(台帳!$I$2:$I$2000,台帳!$G$2:$G$2000,$A38,台帳!$E$2:$E$2000,H$36)</f>
        <v>0</v>
      </c>
      <c r="I38" s="46">
        <f>SUMIFS(台帳!$I$2:$I$2000,台帳!$G$2:$G$2000,$A38,台帳!$E$2:$E$2000,I$36)</f>
        <v>0</v>
      </c>
      <c r="J38" s="46">
        <f>SUMIFS(台帳!$I$2:$I$2000,台帳!$G$2:$G$2000,$A38,台帳!$E$2:$E$2000,J$36)</f>
        <v>0</v>
      </c>
      <c r="K38" s="46">
        <f>SUMIFS(台帳!$I$2:$I$2000,台帳!$G$2:$G$2000,$A38,台帳!$E$2:$E$2000,K$36)</f>
        <v>0</v>
      </c>
      <c r="L38" s="46">
        <f>SUMIFS(台帳!$I$2:$I$2000,台帳!$G$2:$G$2000,$A38,台帳!$E$2:$E$2000,L$36)</f>
        <v>1</v>
      </c>
      <c r="M38" s="46">
        <f>SUMIFS(台帳!$I$2:$I$2000,台帳!$G$2:$G$2000,$A38,台帳!$E$2:$E$2000,M$36)</f>
        <v>0</v>
      </c>
      <c r="N38" s="46">
        <f>SUM(B38:M38)</f>
        <v>24</v>
      </c>
      <c r="O38" s="46">
        <f>COUNTIFS(台帳!$G$2:$G$2000,A38,台帳!$I$2:$I$2000,"&gt;0")</f>
        <v>24</v>
      </c>
    </row>
    <row r="39" spans="1:15" ht="17.25" x14ac:dyDescent="0.35">
      <c r="A39" s="45" t="s">
        <v>166</v>
      </c>
      <c r="B39" s="46">
        <f>SUMIFS(台帳!$I$2:$I$2000,台帳!$G$2:$G$2000,$A39,台帳!$E$2:$E$2000,B$36)</f>
        <v>0</v>
      </c>
      <c r="C39" s="46">
        <f>SUMIFS(台帳!$I$2:$I$2000,台帳!$G$2:$G$2000,$A39,台帳!$E$2:$E$2000,C$36)</f>
        <v>0</v>
      </c>
      <c r="D39" s="46">
        <f>SUMIFS(台帳!$I$2:$I$2000,台帳!$G$2:$G$2000,$A39,台帳!$E$2:$E$2000,D$36)</f>
        <v>0</v>
      </c>
      <c r="E39" s="46">
        <f>SUMIFS(台帳!$I$2:$I$2000,台帳!$G$2:$G$2000,$A39,台帳!$E$2:$E$2000,E$36)</f>
        <v>0</v>
      </c>
      <c r="F39" s="46">
        <f>SUMIFS(台帳!$I$2:$I$2000,台帳!$G$2:$G$2000,$A39,台帳!$E$2:$E$2000,F$36)</f>
        <v>11</v>
      </c>
      <c r="G39" s="46">
        <f>SUMIFS(台帳!$I$2:$I$2000,台帳!$G$2:$G$2000,$A39,台帳!$E$2:$E$2000,G$36)</f>
        <v>26</v>
      </c>
      <c r="H39" s="46">
        <f>SUMIFS(台帳!$I$2:$I$2000,台帳!$G$2:$G$2000,$A39,台帳!$E$2:$E$2000,H$36)</f>
        <v>0</v>
      </c>
      <c r="I39" s="46">
        <f>SUMIFS(台帳!$I$2:$I$2000,台帳!$G$2:$G$2000,$A39,台帳!$E$2:$E$2000,I$36)</f>
        <v>5</v>
      </c>
      <c r="J39" s="46">
        <f>SUMIFS(台帳!$I$2:$I$2000,台帳!$G$2:$G$2000,$A39,台帳!$E$2:$E$2000,J$36)</f>
        <v>0</v>
      </c>
      <c r="K39" s="46">
        <f>SUMIFS(台帳!$I$2:$I$2000,台帳!$G$2:$G$2000,$A39,台帳!$E$2:$E$2000,K$36)</f>
        <v>0</v>
      </c>
      <c r="L39" s="46">
        <f>SUMIFS(台帳!$I$2:$I$2000,台帳!$G$2:$G$2000,$A39,台帳!$E$2:$E$2000,L$36)</f>
        <v>0</v>
      </c>
      <c r="M39" s="46">
        <f>SUMIFS(台帳!$I$2:$I$2000,台帳!$G$2:$G$2000,$A39,台帳!$E$2:$E$2000,M$36)</f>
        <v>3</v>
      </c>
      <c r="N39" s="46">
        <f>SUM(B39:M39)</f>
        <v>45</v>
      </c>
      <c r="O39" s="46">
        <f>COUNTIFS(台帳!$G$2:$G$2000,A39,台帳!$I$2:$I$2000,"&gt;0")</f>
        <v>45</v>
      </c>
    </row>
    <row r="40" spans="1:15" ht="17.25" x14ac:dyDescent="0.35">
      <c r="A40" s="45" t="s">
        <v>121</v>
      </c>
      <c r="B40" s="46">
        <f>SUMIFS(台帳!$I$2:$I$2000,台帳!$G$2:$G$2000,$A40,台帳!$E$2:$E$2000,B$36)</f>
        <v>0</v>
      </c>
      <c r="C40" s="46">
        <f>SUMIFS(台帳!$I$2:$I$2000,台帳!$G$2:$G$2000,$A40,台帳!$E$2:$E$2000,C$36)</f>
        <v>2</v>
      </c>
      <c r="D40" s="46">
        <f>SUMIFS(台帳!$I$2:$I$2000,台帳!$G$2:$G$2000,$A40,台帳!$E$2:$E$2000,D$36)</f>
        <v>0</v>
      </c>
      <c r="E40" s="46">
        <f>SUMIFS(台帳!$I$2:$I$2000,台帳!$G$2:$G$2000,$A40,台帳!$E$2:$E$2000,E$36)</f>
        <v>0</v>
      </c>
      <c r="F40" s="46">
        <f>SUMIFS(台帳!$I$2:$I$2000,台帳!$G$2:$G$2000,$A40,台帳!$E$2:$E$2000,F$36)</f>
        <v>7</v>
      </c>
      <c r="G40" s="46">
        <f>SUMIFS(台帳!$I$2:$I$2000,台帳!$G$2:$G$2000,$A40,台帳!$E$2:$E$2000,G$36)</f>
        <v>13</v>
      </c>
      <c r="H40" s="46">
        <f>SUMIFS(台帳!$I$2:$I$2000,台帳!$G$2:$G$2000,$A40,台帳!$E$2:$E$2000,H$36)</f>
        <v>0</v>
      </c>
      <c r="I40" s="46">
        <f>SUMIFS(台帳!$I$2:$I$2000,台帳!$G$2:$G$2000,$A40,台帳!$E$2:$E$2000,I$36)</f>
        <v>0</v>
      </c>
      <c r="J40" s="46">
        <f>SUMIFS(台帳!$I$2:$I$2000,台帳!$G$2:$G$2000,$A40,台帳!$E$2:$E$2000,J$36)</f>
        <v>0</v>
      </c>
      <c r="K40" s="46">
        <f>SUMIFS(台帳!$I$2:$I$2000,台帳!$G$2:$G$2000,$A40,台帳!$E$2:$E$2000,K$36)</f>
        <v>0</v>
      </c>
      <c r="L40" s="46">
        <f>SUMIFS(台帳!$I$2:$I$2000,台帳!$G$2:$G$2000,$A40,台帳!$E$2:$E$2000,L$36)</f>
        <v>0</v>
      </c>
      <c r="M40" s="46">
        <f>SUMIFS(台帳!$I$2:$I$2000,台帳!$G$2:$G$2000,$A40,台帳!$E$2:$E$2000,M$36)</f>
        <v>0</v>
      </c>
      <c r="N40" s="46">
        <f>SUM(B40:M40)</f>
        <v>22</v>
      </c>
      <c r="O40" s="46">
        <f>COUNTIFS(台帳!$G$2:$G$2000,A40,台帳!$I$2:$I$2000,"&gt;0")</f>
        <v>22</v>
      </c>
    </row>
    <row r="41" spans="1:15" ht="17.25" x14ac:dyDescent="0.35">
      <c r="A41" s="45" t="s">
        <v>196</v>
      </c>
      <c r="B41" s="46">
        <f>SUMIFS(台帳!$I$2:$I$2000,台帳!$G$2:$G$2000,$A41,台帳!$E$2:$E$2000,B$36)</f>
        <v>0</v>
      </c>
      <c r="C41" s="46">
        <f>SUMIFS(台帳!$I$2:$I$2000,台帳!$G$2:$G$2000,$A41,台帳!$E$2:$E$2000,C$36)</f>
        <v>0</v>
      </c>
      <c r="D41" s="46">
        <f>SUMIFS(台帳!$I$2:$I$2000,台帳!$G$2:$G$2000,$A41,台帳!$E$2:$E$2000,D$36)</f>
        <v>0</v>
      </c>
      <c r="E41" s="46">
        <f>SUMIFS(台帳!$I$2:$I$2000,台帳!$G$2:$G$2000,$A41,台帳!$E$2:$E$2000,E$36)</f>
        <v>0</v>
      </c>
      <c r="F41" s="46">
        <f>SUMIFS(台帳!$I$2:$I$2000,台帳!$G$2:$G$2000,$A41,台帳!$E$2:$E$2000,F$36)</f>
        <v>3</v>
      </c>
      <c r="G41" s="46">
        <f>SUMIFS(台帳!$I$2:$I$2000,台帳!$G$2:$G$2000,$A41,台帳!$E$2:$E$2000,G$36)</f>
        <v>1</v>
      </c>
      <c r="H41" s="46">
        <f>SUMIFS(台帳!$I$2:$I$2000,台帳!$G$2:$G$2000,$A41,台帳!$E$2:$E$2000,H$36)</f>
        <v>0</v>
      </c>
      <c r="I41" s="46">
        <f>SUMIFS(台帳!$I$2:$I$2000,台帳!$G$2:$G$2000,$A41,台帳!$E$2:$E$2000,I$36)</f>
        <v>0</v>
      </c>
      <c r="J41" s="46">
        <f>SUMIFS(台帳!$I$2:$I$2000,台帳!$G$2:$G$2000,$A41,台帳!$E$2:$E$2000,J$36)</f>
        <v>0</v>
      </c>
      <c r="K41" s="46">
        <f>SUMIFS(台帳!$I$2:$I$2000,台帳!$G$2:$G$2000,$A41,台帳!$E$2:$E$2000,K$36)</f>
        <v>0</v>
      </c>
      <c r="L41" s="46">
        <f>SUMIFS(台帳!$I$2:$I$2000,台帳!$G$2:$G$2000,$A41,台帳!$E$2:$E$2000,L$36)</f>
        <v>0</v>
      </c>
      <c r="M41" s="46">
        <f>SUMIFS(台帳!$I$2:$I$2000,台帳!$G$2:$G$2000,$A41,台帳!$E$2:$E$2000,M$36)</f>
        <v>1</v>
      </c>
      <c r="N41" s="46">
        <f>SUM(B41:M41)</f>
        <v>5</v>
      </c>
      <c r="O41" s="46">
        <f>COUNTIFS(台帳!$G$2:$G$2000,A41,台帳!$I$2:$I$2000,"&gt;0")</f>
        <v>5</v>
      </c>
    </row>
    <row r="42" spans="1:15" ht="17.25" x14ac:dyDescent="0.35">
      <c r="A42" s="45" t="s">
        <v>260</v>
      </c>
      <c r="B42" s="46">
        <f>SUMIFS(台帳!$I$2:$I$2000,台帳!$G$2:$G$2000,$A42,台帳!$E$2:$E$2000,B$36)</f>
        <v>0</v>
      </c>
      <c r="C42" s="46">
        <f>SUMIFS(台帳!$I$2:$I$2000,台帳!$G$2:$G$2000,$A42,台帳!$E$2:$E$2000,C$36)</f>
        <v>0</v>
      </c>
      <c r="D42" s="46">
        <f>SUMIFS(台帳!$I$2:$I$2000,台帳!$G$2:$G$2000,$A42,台帳!$E$2:$E$2000,D$36)</f>
        <v>0</v>
      </c>
      <c r="E42" s="46">
        <f>SUMIFS(台帳!$I$2:$I$2000,台帳!$G$2:$G$2000,$A42,台帳!$E$2:$E$2000,E$36)</f>
        <v>0</v>
      </c>
      <c r="F42" s="46">
        <f>SUMIFS(台帳!$I$2:$I$2000,台帳!$G$2:$G$2000,$A42,台帳!$E$2:$E$2000,F$36)</f>
        <v>0</v>
      </c>
      <c r="G42" s="46">
        <f>SUMIFS(台帳!$I$2:$I$2000,台帳!$G$2:$G$2000,$A42,台帳!$E$2:$E$2000,G$36)</f>
        <v>11</v>
      </c>
      <c r="H42" s="46">
        <f>SUMIFS(台帳!$I$2:$I$2000,台帳!$G$2:$G$2000,$A42,台帳!$E$2:$E$2000,H$36)</f>
        <v>0</v>
      </c>
      <c r="I42" s="46">
        <f>SUMIFS(台帳!$I$2:$I$2000,台帳!$G$2:$G$2000,$A42,台帳!$E$2:$E$2000,I$36)</f>
        <v>7</v>
      </c>
      <c r="J42" s="46">
        <f>SUMIFS(台帳!$I$2:$I$2000,台帳!$G$2:$G$2000,$A42,台帳!$E$2:$E$2000,J$36)</f>
        <v>0</v>
      </c>
      <c r="K42" s="46">
        <f>SUMIFS(台帳!$I$2:$I$2000,台帳!$G$2:$G$2000,$A42,台帳!$E$2:$E$2000,K$36)</f>
        <v>0</v>
      </c>
      <c r="L42" s="46">
        <f>SUMIFS(台帳!$I$2:$I$2000,台帳!$G$2:$G$2000,$A42,台帳!$E$2:$E$2000,L$36)</f>
        <v>4</v>
      </c>
      <c r="M42" s="46">
        <f>SUMIFS(台帳!$I$2:$I$2000,台帳!$G$2:$G$2000,$A42,台帳!$E$2:$E$2000,M$36)</f>
        <v>0</v>
      </c>
      <c r="N42" s="46">
        <f>SUM(B42:M42)</f>
        <v>22</v>
      </c>
      <c r="O42" s="46">
        <f>COUNTIFS(台帳!$G$2:$G$2000,A42,台帳!$I$2:$I$2000,"&gt;0")</f>
        <v>22</v>
      </c>
    </row>
    <row r="43" spans="1:15" ht="17.25" x14ac:dyDescent="0.35">
      <c r="A43" s="45" t="s">
        <v>285</v>
      </c>
      <c r="B43" s="46">
        <f>SUMIFS(台帳!$I$2:$I$2000,台帳!$G$2:$G$2000,$A43,台帳!$E$2:$E$2000,B$36)</f>
        <v>0</v>
      </c>
      <c r="C43" s="46">
        <f>SUMIFS(台帳!$I$2:$I$2000,台帳!$G$2:$G$2000,$A43,台帳!$E$2:$E$2000,C$36)</f>
        <v>0</v>
      </c>
      <c r="D43" s="46">
        <f>SUMIFS(台帳!$I$2:$I$2000,台帳!$G$2:$G$2000,$A43,台帳!$E$2:$E$2000,D$36)</f>
        <v>0</v>
      </c>
      <c r="E43" s="46">
        <f>SUMIFS(台帳!$I$2:$I$2000,台帳!$G$2:$G$2000,$A43,台帳!$E$2:$E$2000,E$36)</f>
        <v>0</v>
      </c>
      <c r="F43" s="46">
        <f>SUMIFS(台帳!$I$2:$I$2000,台帳!$G$2:$G$2000,$A43,台帳!$E$2:$E$2000,F$36)</f>
        <v>0</v>
      </c>
      <c r="G43" s="46">
        <f>SUMIFS(台帳!$I$2:$I$2000,台帳!$G$2:$G$2000,$A43,台帳!$E$2:$E$2000,G$36)</f>
        <v>1</v>
      </c>
      <c r="H43" s="46">
        <f>SUMIFS(台帳!$I$2:$I$2000,台帳!$G$2:$G$2000,$A43,台帳!$E$2:$E$2000,H$36)</f>
        <v>0</v>
      </c>
      <c r="I43" s="46">
        <f>SUMIFS(台帳!$I$2:$I$2000,台帳!$G$2:$G$2000,$A43,台帳!$E$2:$E$2000,I$36)</f>
        <v>0</v>
      </c>
      <c r="J43" s="46">
        <f>SUMIFS(台帳!$I$2:$I$2000,台帳!$G$2:$G$2000,$A43,台帳!$E$2:$E$2000,J$36)</f>
        <v>0</v>
      </c>
      <c r="K43" s="46">
        <f>SUMIFS(台帳!$I$2:$I$2000,台帳!$G$2:$G$2000,$A43,台帳!$E$2:$E$2000,K$36)</f>
        <v>0</v>
      </c>
      <c r="L43" s="46">
        <f>SUMIFS(台帳!$I$2:$I$2000,台帳!$G$2:$G$2000,$A43,台帳!$E$2:$E$2000,L$36)</f>
        <v>0</v>
      </c>
      <c r="M43" s="46">
        <f>SUMIFS(台帳!$I$2:$I$2000,台帳!$G$2:$G$2000,$A43,台帳!$E$2:$E$2000,M$36)</f>
        <v>1</v>
      </c>
      <c r="N43" s="46">
        <f>SUM(B43:M43)</f>
        <v>2</v>
      </c>
      <c r="O43" s="46">
        <f>COUNTIFS(台帳!$G$2:$G$2000,A43,台帳!$I$2:$I$2000,"&gt;0")</f>
        <v>2</v>
      </c>
    </row>
    <row r="44" spans="1:15" x14ac:dyDescent="0.2">
      <c r="A44" s="60" t="s">
        <v>421</v>
      </c>
      <c r="B44" s="60">
        <f>SUM(B37:B43)</f>
        <v>0</v>
      </c>
      <c r="C44" s="60">
        <f>SUM(C37:C43)</f>
        <v>7</v>
      </c>
      <c r="D44" s="60">
        <f>SUM(D37:D43)</f>
        <v>6</v>
      </c>
      <c r="E44" s="60">
        <f>SUM(E37:E43)</f>
        <v>0</v>
      </c>
      <c r="F44" s="60">
        <f>SUM(F37:F43)</f>
        <v>45</v>
      </c>
      <c r="G44" s="60">
        <f>SUM(G37:G43)</f>
        <v>85</v>
      </c>
      <c r="H44" s="60">
        <f>SUM(H37:H43)</f>
        <v>0</v>
      </c>
      <c r="I44" s="60">
        <f>SUM(I37:I43)</f>
        <v>19</v>
      </c>
      <c r="J44" s="60">
        <f>SUM(J37:J43)</f>
        <v>0</v>
      </c>
      <c r="K44" s="60">
        <f>SUM(K37:K43)</f>
        <v>0</v>
      </c>
      <c r="L44" s="60">
        <f>SUM(L37:L43)</f>
        <v>9</v>
      </c>
      <c r="M44" s="60">
        <f>SUM(M37:M43)</f>
        <v>9</v>
      </c>
      <c r="N44" s="60">
        <f>SUM(N37:N43)</f>
        <v>180</v>
      </c>
      <c r="O44" s="60">
        <f>SUM(O37:O43)</f>
        <v>180</v>
      </c>
    </row>
  </sheetData>
  <printOptions horizontalCentered="1"/>
  <pageMargins left="0.4" right="0.4" top="0.5" bottom="0.5" header="0.25" footer="0.25"/>
  <pageSetup paperSize="9" orientation="landscape" horizontalDpi="300" verticalDpi="300"/>
  <headerFooter>
    <oddHeader>&amp;R&amp;8 谷直美様住宅新築工事　現場日報</oddHeader>
    <oddFooter>&amp;C&amp;8 &amp;A　&amp;P / &amp;N</oddFooter>
  </headerFooter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  <pageSetUpPr fitToPage="1"/>
  </sheetPr>
  <dimension ref="A1:G46"/>
  <sheetViews>
    <sheetView zoomScale="90" zoomScaleNormal="90" workbookViewId="0"/>
  </sheetViews>
  <sheetFormatPr defaultColWidth="8.7421875" defaultRowHeight="15" x14ac:dyDescent="0.2"/>
  <cols>
    <col min="1" max="1" width="16.0078125" customWidth="1"/>
    <col min="2" max="2" width="22.05859375" customWidth="1"/>
    <col min="3" max="4" width="9.01171875" customWidth="1"/>
    <col min="5" max="5" width="11.97265625" customWidth="1"/>
    <col min="6" max="6" width="7.93359375" customWidth="1"/>
    <col min="7" max="7" width="9.953125" customWidth="1"/>
  </cols>
  <sheetData>
    <row r="1" spans="1:7" ht="18.75" x14ac:dyDescent="0.25">
      <c r="A1" s="3" t="s">
        <v>508</v>
      </c>
    </row>
    <row r="2" spans="1:7" x14ac:dyDescent="0.2">
      <c r="A2" s="15" t="s">
        <v>509</v>
      </c>
    </row>
    <row r="4" spans="1:7" ht="30" customHeight="1" x14ac:dyDescent="0.2">
      <c r="A4" s="5" t="s">
        <v>109</v>
      </c>
      <c r="B4" s="5" t="s">
        <v>91</v>
      </c>
      <c r="C4" s="5" t="s">
        <v>501</v>
      </c>
      <c r="D4" s="5" t="s">
        <v>502</v>
      </c>
      <c r="E4" s="5" t="s">
        <v>503</v>
      </c>
      <c r="F4" s="5" t="s">
        <v>504</v>
      </c>
      <c r="G4" s="5" t="s">
        <v>505</v>
      </c>
    </row>
    <row r="5" spans="1:7" ht="17.25" x14ac:dyDescent="0.35">
      <c r="A5" s="62" t="s">
        <v>368</v>
      </c>
      <c r="B5" s="45" t="s">
        <v>369</v>
      </c>
      <c r="C5" s="45">
        <f>SUMIFS(台帳!$I$2:$I$2000,台帳!$F$2:$F$2000,B5)</f>
        <v>0</v>
      </c>
      <c r="D5" s="28"/>
      <c r="E5" s="45" t="str">
        <f>IF(D5="","",D5-C5)</f>
        <v/>
      </c>
      <c r="F5" s="59" t="str">
        <f>IF(OR(D5="",D5=0),"",C5/D5)</f>
        <v/>
      </c>
      <c r="G5" s="45">
        <f>SUMPRODUCT(--(台帳!$F$2:$F$2000=B5),--(台帳!$I$2:$I$2000&gt;0))</f>
        <v>0</v>
      </c>
    </row>
    <row r="6" spans="1:7" ht="17.25" x14ac:dyDescent="0.35">
      <c r="A6" s="62" t="s">
        <v>368</v>
      </c>
      <c r="B6" s="45" t="s">
        <v>153</v>
      </c>
      <c r="C6" s="45">
        <f>SUMIFS(台帳!$I$2:$I$2000,台帳!$F$2:$F$2000,B6)</f>
        <v>0</v>
      </c>
      <c r="D6" s="28"/>
      <c r="E6" s="45" t="str">
        <f>IF(D6="","",D6-C6)</f>
        <v/>
      </c>
      <c r="F6" s="59" t="str">
        <f>IF(OR(D6="",D6=0),"",C6/D6)</f>
        <v/>
      </c>
      <c r="G6" s="45">
        <f>SUMPRODUCT(--(台帳!$F$2:$F$2000=B6),--(台帳!$I$2:$I$2000&gt;0))</f>
        <v>0</v>
      </c>
    </row>
    <row r="7" spans="1:7" ht="17.25" x14ac:dyDescent="0.35">
      <c r="A7" s="62" t="s">
        <v>372</v>
      </c>
      <c r="B7" s="45" t="s">
        <v>116</v>
      </c>
      <c r="C7" s="45">
        <f>SUMIFS(台帳!$I$2:$I$2000,台帳!$F$2:$F$2000,B7)</f>
        <v>7</v>
      </c>
      <c r="D7" s="28"/>
      <c r="E7" s="45" t="str">
        <f>IF(D7="","",D7-C7)</f>
        <v/>
      </c>
      <c r="F7" s="59" t="str">
        <f>IF(OR(D7="",D7=0),"",C7/D7)</f>
        <v/>
      </c>
      <c r="G7" s="45">
        <f>SUMPRODUCT(--(台帳!$F$2:$F$2000=B7),--(台帳!$I$2:$I$2000&gt;0))</f>
        <v>7</v>
      </c>
    </row>
    <row r="8" spans="1:7" ht="17.25" x14ac:dyDescent="0.35">
      <c r="A8" s="62" t="s">
        <v>372</v>
      </c>
      <c r="B8" s="45" t="s">
        <v>122</v>
      </c>
      <c r="C8" s="45">
        <f>SUMIFS(台帳!$I$2:$I$2000,台帳!$F$2:$F$2000,B8)</f>
        <v>0</v>
      </c>
      <c r="D8" s="28"/>
      <c r="E8" s="45" t="str">
        <f>IF(D8="","",D8-C8)</f>
        <v/>
      </c>
      <c r="F8" s="59" t="str">
        <f>IF(OR(D8="",D8=0),"",C8/D8)</f>
        <v/>
      </c>
      <c r="G8" s="45">
        <f>SUMPRODUCT(--(台帳!$F$2:$F$2000=B8),--(台帳!$I$2:$I$2000&gt;0))</f>
        <v>0</v>
      </c>
    </row>
    <row r="9" spans="1:7" ht="17.25" x14ac:dyDescent="0.35">
      <c r="A9" s="62" t="s">
        <v>375</v>
      </c>
      <c r="B9" s="45" t="s">
        <v>135</v>
      </c>
      <c r="C9" s="45">
        <f>SUMIFS(台帳!$I$2:$I$2000,台帳!$F$2:$F$2000,B9)</f>
        <v>6</v>
      </c>
      <c r="D9" s="28"/>
      <c r="E9" s="45" t="str">
        <f>IF(D9="","",D9-C9)</f>
        <v/>
      </c>
      <c r="F9" s="59" t="str">
        <f>IF(OR(D9="",D9=0),"",C9/D9)</f>
        <v/>
      </c>
      <c r="G9" s="45">
        <f>SUMPRODUCT(--(台帳!$F$2:$F$2000=B9),--(台帳!$I$2:$I$2000&gt;0))</f>
        <v>6</v>
      </c>
    </row>
    <row r="10" spans="1:7" ht="17.25" x14ac:dyDescent="0.35">
      <c r="A10" s="62" t="s">
        <v>377</v>
      </c>
      <c r="B10" s="45" t="s">
        <v>139</v>
      </c>
      <c r="C10" s="45">
        <f>SUMIFS(台帳!$I$2:$I$2000,台帳!$F$2:$F$2000,B10)</f>
        <v>30</v>
      </c>
      <c r="D10" s="28"/>
      <c r="E10" s="45" t="str">
        <f>IF(D10="","",D10-C10)</f>
        <v/>
      </c>
      <c r="F10" s="59" t="str">
        <f>IF(OR(D10="",D10=0),"",C10/D10)</f>
        <v/>
      </c>
      <c r="G10" s="45">
        <f>SUMPRODUCT(--(台帳!$F$2:$F$2000=B10),--(台帳!$I$2:$I$2000&gt;0))</f>
        <v>9</v>
      </c>
    </row>
    <row r="11" spans="1:7" ht="17.25" x14ac:dyDescent="0.35">
      <c r="A11" s="62" t="s">
        <v>380</v>
      </c>
      <c r="B11" s="45" t="s">
        <v>149</v>
      </c>
      <c r="C11" s="45">
        <f>SUMIFS(台帳!$I$2:$I$2000,台帳!$F$2:$F$2000,B11)</f>
        <v>12</v>
      </c>
      <c r="D11" s="28"/>
      <c r="E11" s="45" t="str">
        <f>IF(D11="","",D11-C11)</f>
        <v/>
      </c>
      <c r="F11" s="59" t="str">
        <f>IF(OR(D11="",D11=0),"",C11/D11)</f>
        <v/>
      </c>
      <c r="G11" s="45">
        <f>SUMPRODUCT(--(台帳!$F$2:$F$2000=B11),--(台帳!$I$2:$I$2000&gt;0))</f>
        <v>12</v>
      </c>
    </row>
    <row r="12" spans="1:7" ht="17.25" x14ac:dyDescent="0.35">
      <c r="A12" s="62" t="s">
        <v>380</v>
      </c>
      <c r="B12" s="45" t="s">
        <v>167</v>
      </c>
      <c r="C12" s="45">
        <f>SUMIFS(台帳!$I$2:$I$2000,台帳!$F$2:$F$2000,B12)</f>
        <v>21</v>
      </c>
      <c r="D12" s="28"/>
      <c r="E12" s="45" t="str">
        <f>IF(D12="","",D12-C12)</f>
        <v/>
      </c>
      <c r="F12" s="59" t="str">
        <f>IF(OR(D12="",D12=0),"",C12/D12)</f>
        <v/>
      </c>
      <c r="G12" s="45">
        <f>SUMPRODUCT(--(台帳!$F$2:$F$2000=B12),--(台帳!$I$2:$I$2000&gt;0))</f>
        <v>21</v>
      </c>
    </row>
    <row r="13" spans="1:7" ht="17.25" x14ac:dyDescent="0.35">
      <c r="A13" s="62" t="s">
        <v>380</v>
      </c>
      <c r="B13" s="45" t="s">
        <v>172</v>
      </c>
      <c r="C13" s="45">
        <f>SUMIFS(台帳!$I$2:$I$2000,台帳!$F$2:$F$2000,B13)</f>
        <v>2</v>
      </c>
      <c r="D13" s="28"/>
      <c r="E13" s="45" t="str">
        <f>IF(D13="","",D13-C13)</f>
        <v/>
      </c>
      <c r="F13" s="59" t="str">
        <f>IF(OR(D13="",D13=0),"",C13/D13)</f>
        <v/>
      </c>
      <c r="G13" s="45">
        <f>SUMPRODUCT(--(台帳!$F$2:$F$2000=B13),--(台帳!$I$2:$I$2000&gt;0))</f>
        <v>1</v>
      </c>
    </row>
    <row r="14" spans="1:7" ht="17.25" x14ac:dyDescent="0.35">
      <c r="A14" s="62" t="s">
        <v>380</v>
      </c>
      <c r="B14" s="45" t="s">
        <v>178</v>
      </c>
      <c r="C14" s="45">
        <f>SUMIFS(台帳!$I$2:$I$2000,台帳!$F$2:$F$2000,B14)</f>
        <v>5</v>
      </c>
      <c r="D14" s="28"/>
      <c r="E14" s="45" t="str">
        <f>IF(D14="","",D14-C14)</f>
        <v/>
      </c>
      <c r="F14" s="59" t="str">
        <f>IF(OR(D14="",D14=0),"",C14/D14)</f>
        <v/>
      </c>
      <c r="G14" s="45">
        <f>SUMPRODUCT(--(台帳!$F$2:$F$2000=B14),--(台帳!$I$2:$I$2000&gt;0))</f>
        <v>5</v>
      </c>
    </row>
    <row r="15" spans="1:7" ht="17.25" x14ac:dyDescent="0.35">
      <c r="A15" s="62" t="s">
        <v>380</v>
      </c>
      <c r="B15" s="45" t="s">
        <v>182</v>
      </c>
      <c r="C15" s="45">
        <f>SUMIFS(台帳!$I$2:$I$2000,台帳!$F$2:$F$2000,B15)</f>
        <v>3</v>
      </c>
      <c r="D15" s="28"/>
      <c r="E15" s="45" t="str">
        <f>IF(D15="","",D15-C15)</f>
        <v/>
      </c>
      <c r="F15" s="59" t="str">
        <f>IF(OR(D15="",D15=0),"",C15/D15)</f>
        <v/>
      </c>
      <c r="G15" s="45">
        <f>SUMPRODUCT(--(台帳!$F$2:$F$2000=B15),--(台帳!$I$2:$I$2000&gt;0))</f>
        <v>3</v>
      </c>
    </row>
    <row r="16" spans="1:7" ht="17.25" x14ac:dyDescent="0.35">
      <c r="A16" s="62" t="s">
        <v>380</v>
      </c>
      <c r="B16" s="45" t="s">
        <v>187</v>
      </c>
      <c r="C16" s="45">
        <f>SUMIFS(台帳!$I$2:$I$2000,台帳!$F$2:$F$2000,B16)</f>
        <v>3</v>
      </c>
      <c r="D16" s="28"/>
      <c r="E16" s="45" t="str">
        <f>IF(D16="","",D16-C16)</f>
        <v/>
      </c>
      <c r="F16" s="59" t="str">
        <f>IF(OR(D16="",D16=0),"",C16/D16)</f>
        <v/>
      </c>
      <c r="G16" s="45">
        <f>SUMPRODUCT(--(台帳!$F$2:$F$2000=B16),--(台帳!$I$2:$I$2000&gt;0))</f>
        <v>2</v>
      </c>
    </row>
    <row r="17" spans="1:7" ht="17.25" x14ac:dyDescent="0.35">
      <c r="A17" s="62" t="s">
        <v>380</v>
      </c>
      <c r="B17" s="45" t="s">
        <v>204</v>
      </c>
      <c r="C17" s="45">
        <f>SUMIFS(台帳!$I$2:$I$2000,台帳!$F$2:$F$2000,B17)</f>
        <v>5</v>
      </c>
      <c r="D17" s="28"/>
      <c r="E17" s="45" t="str">
        <f>IF(D17="","",D17-C17)</f>
        <v/>
      </c>
      <c r="F17" s="59" t="str">
        <f>IF(OR(D17="",D17=0),"",C17/D17)</f>
        <v/>
      </c>
      <c r="G17" s="45">
        <f>SUMPRODUCT(--(台帳!$F$2:$F$2000=B17),--(台帳!$I$2:$I$2000&gt;0))</f>
        <v>5</v>
      </c>
    </row>
    <row r="18" spans="1:7" ht="17.25" x14ac:dyDescent="0.35">
      <c r="A18" s="62" t="s">
        <v>382</v>
      </c>
      <c r="B18" s="45" t="s">
        <v>209</v>
      </c>
      <c r="C18" s="45">
        <f>SUMIFS(台帳!$I$2:$I$2000,台帳!$F$2:$F$2000,B18)</f>
        <v>14</v>
      </c>
      <c r="D18" s="28"/>
      <c r="E18" s="45" t="str">
        <f>IF(D18="","",D18-C18)</f>
        <v/>
      </c>
      <c r="F18" s="59" t="str">
        <f>IF(OR(D18="",D18=0),"",C18/D18)</f>
        <v/>
      </c>
      <c r="G18" s="45">
        <f>SUMPRODUCT(--(台帳!$F$2:$F$2000=B18),--(台帳!$I$2:$I$2000&gt;0))</f>
        <v>14</v>
      </c>
    </row>
    <row r="19" spans="1:7" ht="17.25" x14ac:dyDescent="0.35">
      <c r="A19" s="62" t="s">
        <v>382</v>
      </c>
      <c r="B19" s="45" t="s">
        <v>222</v>
      </c>
      <c r="C19" s="45">
        <f>SUMIFS(台帳!$I$2:$I$2000,台帳!$F$2:$F$2000,B19)</f>
        <v>4</v>
      </c>
      <c r="D19" s="28"/>
      <c r="E19" s="45" t="str">
        <f>IF(D19="","",D19-C19)</f>
        <v/>
      </c>
      <c r="F19" s="59" t="str">
        <f>IF(OR(D19="",D19=0),"",C19/D19)</f>
        <v/>
      </c>
      <c r="G19" s="45">
        <f>SUMPRODUCT(--(台帳!$F$2:$F$2000=B19),--(台帳!$I$2:$I$2000&gt;0))</f>
        <v>4</v>
      </c>
    </row>
    <row r="20" spans="1:7" ht="17.25" x14ac:dyDescent="0.35">
      <c r="A20" s="62" t="s">
        <v>382</v>
      </c>
      <c r="B20" s="45" t="s">
        <v>230</v>
      </c>
      <c r="C20" s="45">
        <f>SUMIFS(台帳!$I$2:$I$2000,台帳!$F$2:$F$2000,B20)</f>
        <v>8</v>
      </c>
      <c r="D20" s="28"/>
      <c r="E20" s="45" t="str">
        <f>IF(D20="","",D20-C20)</f>
        <v/>
      </c>
      <c r="F20" s="59" t="str">
        <f>IF(OR(D20="",D20=0),"",C20/D20)</f>
        <v/>
      </c>
      <c r="G20" s="45">
        <f>SUMPRODUCT(--(台帳!$F$2:$F$2000=B20),--(台帳!$I$2:$I$2000&gt;0))</f>
        <v>8</v>
      </c>
    </row>
    <row r="21" spans="1:7" ht="17.25" x14ac:dyDescent="0.35">
      <c r="A21" s="62" t="s">
        <v>382</v>
      </c>
      <c r="B21" s="45" t="s">
        <v>233</v>
      </c>
      <c r="C21" s="45">
        <f>SUMIFS(台帳!$I$2:$I$2000,台帳!$F$2:$F$2000,B21)</f>
        <v>12</v>
      </c>
      <c r="D21" s="28"/>
      <c r="E21" s="45" t="str">
        <f>IF(D21="","",D21-C21)</f>
        <v/>
      </c>
      <c r="F21" s="59" t="str">
        <f>IF(OR(D21="",D21=0),"",C21/D21)</f>
        <v/>
      </c>
      <c r="G21" s="45">
        <f>SUMPRODUCT(--(台帳!$F$2:$F$2000=B21),--(台帳!$I$2:$I$2000&gt;0))</f>
        <v>12</v>
      </c>
    </row>
    <row r="22" spans="1:7" ht="17.25" x14ac:dyDescent="0.35">
      <c r="A22" s="62" t="s">
        <v>382</v>
      </c>
      <c r="B22" s="45" t="s">
        <v>398</v>
      </c>
      <c r="C22" s="45">
        <f>SUMIFS(台帳!$I$2:$I$2000,台帳!$F$2:$F$2000,B22)</f>
        <v>0</v>
      </c>
      <c r="D22" s="28"/>
      <c r="E22" s="45" t="str">
        <f>IF(D22="","",D22-C22)</f>
        <v/>
      </c>
      <c r="F22" s="59" t="str">
        <f>IF(OR(D22="",D22=0),"",C22/D22)</f>
        <v/>
      </c>
      <c r="G22" s="45">
        <f>SUMPRODUCT(--(台帳!$F$2:$F$2000=B22),--(台帳!$I$2:$I$2000&gt;0))</f>
        <v>0</v>
      </c>
    </row>
    <row r="23" spans="1:7" ht="17.25" x14ac:dyDescent="0.35">
      <c r="A23" s="62" t="s">
        <v>382</v>
      </c>
      <c r="B23" s="45" t="s">
        <v>258</v>
      </c>
      <c r="C23" s="45">
        <f>SUMIFS(台帳!$I$2:$I$2000,台帳!$F$2:$F$2000,B23)</f>
        <v>4</v>
      </c>
      <c r="D23" s="28"/>
      <c r="E23" s="45" t="str">
        <f>IF(D23="","",D23-C23)</f>
        <v/>
      </c>
      <c r="F23" s="59" t="str">
        <f>IF(OR(D23="",D23=0),"",C23/D23)</f>
        <v/>
      </c>
      <c r="G23" s="45">
        <f>SUMPRODUCT(--(台帳!$F$2:$F$2000=B23),--(台帳!$I$2:$I$2000&gt;0))</f>
        <v>4</v>
      </c>
    </row>
    <row r="24" spans="1:7" ht="17.25" x14ac:dyDescent="0.35">
      <c r="A24" s="62" t="s">
        <v>382</v>
      </c>
      <c r="B24" s="45" t="s">
        <v>283</v>
      </c>
      <c r="C24" s="45">
        <f>SUMIFS(台帳!$I$2:$I$2000,台帳!$F$2:$F$2000,B24)</f>
        <v>17</v>
      </c>
      <c r="D24" s="28"/>
      <c r="E24" s="45" t="str">
        <f>IF(D24="","",D24-C24)</f>
        <v/>
      </c>
      <c r="F24" s="59" t="str">
        <f>IF(OR(D24="",D24=0),"",C24/D24)</f>
        <v/>
      </c>
      <c r="G24" s="45">
        <f>SUMPRODUCT(--(台帳!$F$2:$F$2000=B24),--(台帳!$I$2:$I$2000&gt;0))</f>
        <v>17</v>
      </c>
    </row>
    <row r="25" spans="1:7" ht="17.25" x14ac:dyDescent="0.35">
      <c r="A25" s="62" t="s">
        <v>382</v>
      </c>
      <c r="B25" s="45" t="s">
        <v>400</v>
      </c>
      <c r="C25" s="45">
        <f>SUMIFS(台帳!$I$2:$I$2000,台帳!$F$2:$F$2000,B25)</f>
        <v>26</v>
      </c>
      <c r="D25" s="28"/>
      <c r="E25" s="45" t="str">
        <f>IF(D25="","",D25-C25)</f>
        <v/>
      </c>
      <c r="F25" s="59" t="str">
        <f>IF(OR(D25="",D25=0),"",C25/D25)</f>
        <v/>
      </c>
      <c r="G25" s="45">
        <f>SUMPRODUCT(--(台帳!$F$2:$F$2000=B25),--(台帳!$I$2:$I$2000&gt;0))</f>
        <v>26</v>
      </c>
    </row>
    <row r="26" spans="1:7" ht="17.25" x14ac:dyDescent="0.35">
      <c r="A26" s="62" t="s">
        <v>382</v>
      </c>
      <c r="B26" s="45" t="s">
        <v>322</v>
      </c>
      <c r="C26" s="45">
        <f>SUMIFS(台帳!$I$2:$I$2000,台帳!$F$2:$F$2000,B26)</f>
        <v>2</v>
      </c>
      <c r="D26" s="28"/>
      <c r="E26" s="45" t="str">
        <f>IF(D26="","",D26-C26)</f>
        <v/>
      </c>
      <c r="F26" s="59" t="str">
        <f>IF(OR(D26="",D26=0),"",C26/D26)</f>
        <v/>
      </c>
      <c r="G26" s="45">
        <f>SUMPRODUCT(--(台帳!$F$2:$F$2000=B26),--(台帳!$I$2:$I$2000&gt;0))</f>
        <v>2</v>
      </c>
    </row>
    <row r="27" spans="1:7" ht="17.25" x14ac:dyDescent="0.35">
      <c r="A27" s="62" t="s">
        <v>384</v>
      </c>
      <c r="B27" s="45" t="s">
        <v>297</v>
      </c>
      <c r="C27" s="45">
        <f>SUMIFS(台帳!$I$2:$I$2000,台帳!$F$2:$F$2000,B27)</f>
        <v>4</v>
      </c>
      <c r="D27" s="28"/>
      <c r="E27" s="45" t="str">
        <f>IF(D27="","",D27-C27)</f>
        <v/>
      </c>
      <c r="F27" s="59" t="str">
        <f>IF(OR(D27="",D27=0),"",C27/D27)</f>
        <v/>
      </c>
      <c r="G27" s="45">
        <f>SUMPRODUCT(--(台帳!$F$2:$F$2000=B27),--(台帳!$I$2:$I$2000&gt;0))</f>
        <v>2</v>
      </c>
    </row>
    <row r="28" spans="1:7" ht="17.25" x14ac:dyDescent="0.35">
      <c r="A28" s="62" t="s">
        <v>384</v>
      </c>
      <c r="B28" s="45" t="s">
        <v>246</v>
      </c>
      <c r="C28" s="45">
        <f>SUMIFS(台帳!$I$2:$I$2000,台帳!$F$2:$F$2000,B28)</f>
        <v>2</v>
      </c>
      <c r="D28" s="28"/>
      <c r="E28" s="45" t="str">
        <f>IF(D28="","",D28-C28)</f>
        <v/>
      </c>
      <c r="F28" s="59" t="str">
        <f>IF(OR(D28="",D28=0),"",C28/D28)</f>
        <v/>
      </c>
      <c r="G28" s="45">
        <f>SUMPRODUCT(--(台帳!$F$2:$F$2000=B28),--(台帳!$I$2:$I$2000&gt;0))</f>
        <v>1</v>
      </c>
    </row>
    <row r="29" spans="1:7" ht="17.25" x14ac:dyDescent="0.35">
      <c r="A29" s="62" t="s">
        <v>384</v>
      </c>
      <c r="B29" s="45" t="s">
        <v>255</v>
      </c>
      <c r="C29" s="45">
        <f>SUMIFS(台帳!$I$2:$I$2000,台帳!$F$2:$F$2000,B29)</f>
        <v>11</v>
      </c>
      <c r="D29" s="28"/>
      <c r="E29" s="45" t="str">
        <f>IF(D29="","",D29-C29)</f>
        <v/>
      </c>
      <c r="F29" s="59" t="str">
        <f>IF(OR(D29="",D29=0),"",C29/D29)</f>
        <v/>
      </c>
      <c r="G29" s="45">
        <f>SUMPRODUCT(--(台帳!$F$2:$F$2000=B29),--(台帳!$I$2:$I$2000&gt;0))</f>
        <v>4</v>
      </c>
    </row>
    <row r="30" spans="1:7" ht="17.25" x14ac:dyDescent="0.35">
      <c r="A30" s="62" t="s">
        <v>384</v>
      </c>
      <c r="B30" s="45" t="s">
        <v>274</v>
      </c>
      <c r="C30" s="45">
        <f>SUMIFS(台帳!$I$2:$I$2000,台帳!$F$2:$F$2000,B30)</f>
        <v>2</v>
      </c>
      <c r="D30" s="28"/>
      <c r="E30" s="45" t="str">
        <f>IF(D30="","",D30-C30)</f>
        <v/>
      </c>
      <c r="F30" s="59" t="str">
        <f>IF(OR(D30="",D30=0),"",C30/D30)</f>
        <v/>
      </c>
      <c r="G30" s="45">
        <f>SUMPRODUCT(--(台帳!$F$2:$F$2000=B30),--(台帳!$I$2:$I$2000&gt;0))</f>
        <v>2</v>
      </c>
    </row>
    <row r="31" spans="1:7" ht="17.25" x14ac:dyDescent="0.35">
      <c r="A31" s="62" t="s">
        <v>384</v>
      </c>
      <c r="B31" s="45" t="s">
        <v>325</v>
      </c>
      <c r="C31" s="45">
        <f>SUMIFS(台帳!$I$2:$I$2000,台帳!$F$2:$F$2000,B31)</f>
        <v>3</v>
      </c>
      <c r="D31" s="28"/>
      <c r="E31" s="45" t="str">
        <f>IF(D31="","",D31-C31)</f>
        <v/>
      </c>
      <c r="F31" s="59" t="str">
        <f>IF(OR(D31="",D31=0),"",C31/D31)</f>
        <v/>
      </c>
      <c r="G31" s="45">
        <f>SUMPRODUCT(--(台帳!$F$2:$F$2000=B31),--(台帳!$I$2:$I$2000&gt;0))</f>
        <v>1</v>
      </c>
    </row>
    <row r="32" spans="1:7" ht="17.25" x14ac:dyDescent="0.35">
      <c r="A32" s="62" t="s">
        <v>387</v>
      </c>
      <c r="B32" s="45" t="s">
        <v>306</v>
      </c>
      <c r="C32" s="45">
        <f>SUMIFS(台帳!$I$2:$I$2000,台帳!$F$2:$F$2000,B32)</f>
        <v>7</v>
      </c>
      <c r="D32" s="28"/>
      <c r="E32" s="45" t="str">
        <f>IF(D32="","",D32-C32)</f>
        <v/>
      </c>
      <c r="F32" s="59" t="str">
        <f>IF(OR(D32="",D32=0),"",C32/D32)</f>
        <v/>
      </c>
      <c r="G32" s="45">
        <f>SUMPRODUCT(--(台帳!$F$2:$F$2000=B32),--(台帳!$I$2:$I$2000&gt;0))</f>
        <v>4</v>
      </c>
    </row>
    <row r="33" spans="1:7" ht="17.25" x14ac:dyDescent="0.35">
      <c r="A33" s="62" t="s">
        <v>387</v>
      </c>
      <c r="B33" s="45" t="s">
        <v>316</v>
      </c>
      <c r="C33" s="45">
        <f>SUMIFS(台帳!$I$2:$I$2000,台帳!$F$2:$F$2000,B33)</f>
        <v>19</v>
      </c>
      <c r="D33" s="28"/>
      <c r="E33" s="45" t="str">
        <f>IF(D33="","",D33-C33)</f>
        <v/>
      </c>
      <c r="F33" s="59" t="str">
        <f>IF(OR(D33="",D33=0),"",C33/D33)</f>
        <v/>
      </c>
      <c r="G33" s="45">
        <f>SUMPRODUCT(--(台帳!$F$2:$F$2000=B33),--(台帳!$I$2:$I$2000&gt;0))</f>
        <v>19</v>
      </c>
    </row>
    <row r="34" spans="1:7" ht="17.25" x14ac:dyDescent="0.35">
      <c r="A34" s="62" t="s">
        <v>387</v>
      </c>
      <c r="B34" s="45" t="s">
        <v>352</v>
      </c>
      <c r="C34" s="45">
        <f>SUMIFS(台帳!$I$2:$I$2000,台帳!$F$2:$F$2000,B34)</f>
        <v>2</v>
      </c>
      <c r="D34" s="28"/>
      <c r="E34" s="45" t="str">
        <f>IF(D34="","",D34-C34)</f>
        <v/>
      </c>
      <c r="F34" s="59" t="str">
        <f>IF(OR(D34="",D34=0),"",C34/D34)</f>
        <v/>
      </c>
      <c r="G34" s="45">
        <f>SUMPRODUCT(--(台帳!$F$2:$F$2000=B34),--(台帳!$I$2:$I$2000&gt;0))</f>
        <v>2</v>
      </c>
    </row>
    <row r="35" spans="1:7" ht="17.25" x14ac:dyDescent="0.35">
      <c r="A35" s="62" t="s">
        <v>389</v>
      </c>
      <c r="B35" s="45" t="s">
        <v>252</v>
      </c>
      <c r="C35" s="45">
        <f>SUMIFS(台帳!$I$2:$I$2000,台帳!$F$2:$F$2000,B35)</f>
        <v>17</v>
      </c>
      <c r="D35" s="28"/>
      <c r="E35" s="45" t="str">
        <f>IF(D35="","",D35-C35)</f>
        <v/>
      </c>
      <c r="F35" s="59" t="str">
        <f>IF(OR(D35="",D35=0),"",C35/D35)</f>
        <v/>
      </c>
      <c r="G35" s="45">
        <f>SUMPRODUCT(--(台帳!$F$2:$F$2000=B35),--(台帳!$I$2:$I$2000&gt;0))</f>
        <v>7</v>
      </c>
    </row>
    <row r="36" spans="1:7" ht="17.25" x14ac:dyDescent="0.35">
      <c r="A36" s="62" t="s">
        <v>389</v>
      </c>
      <c r="B36" s="45" t="s">
        <v>334</v>
      </c>
      <c r="C36" s="45">
        <f>SUMIFS(台帳!$I$2:$I$2000,台帳!$F$2:$F$2000,B36)</f>
        <v>2</v>
      </c>
      <c r="D36" s="28"/>
      <c r="E36" s="45" t="str">
        <f>IF(D36="","",D36-C36)</f>
        <v/>
      </c>
      <c r="F36" s="59" t="str">
        <f>IF(OR(D36="",D36=0),"",C36/D36)</f>
        <v/>
      </c>
      <c r="G36" s="45">
        <f>SUMPRODUCT(--(台帳!$F$2:$F$2000=B36),--(台帳!$I$2:$I$2000&gt;0))</f>
        <v>1</v>
      </c>
    </row>
    <row r="37" spans="1:7" ht="17.25" x14ac:dyDescent="0.35">
      <c r="A37" s="62" t="s">
        <v>392</v>
      </c>
      <c r="B37" s="45" t="s">
        <v>212</v>
      </c>
      <c r="C37" s="45">
        <f>SUMIFS(台帳!$I$2:$I$2000,台帳!$F$2:$F$2000,B37)</f>
        <v>3</v>
      </c>
      <c r="D37" s="28"/>
      <c r="E37" s="45" t="str">
        <f>IF(D37="","",D37-C37)</f>
        <v/>
      </c>
      <c r="F37" s="59" t="str">
        <f>IF(OR(D37="",D37=0),"",C37/D37)</f>
        <v/>
      </c>
      <c r="G37" s="45">
        <f>SUMPRODUCT(--(台帳!$F$2:$F$2000=B37),--(台帳!$I$2:$I$2000&gt;0))</f>
        <v>1</v>
      </c>
    </row>
    <row r="38" spans="1:7" ht="17.25" x14ac:dyDescent="0.35">
      <c r="A38" s="62" t="s">
        <v>392</v>
      </c>
      <c r="B38" s="45" t="s">
        <v>271</v>
      </c>
      <c r="C38" s="45">
        <f>SUMIFS(台帳!$I$2:$I$2000,台帳!$F$2:$F$2000,B38)</f>
        <v>2</v>
      </c>
      <c r="D38" s="28"/>
      <c r="E38" s="45" t="str">
        <f>IF(D38="","",D38-C38)</f>
        <v/>
      </c>
      <c r="F38" s="59" t="str">
        <f>IF(OR(D38="",D38=0),"",C38/D38)</f>
        <v/>
      </c>
      <c r="G38" s="45">
        <f>SUMPRODUCT(--(台帳!$F$2:$F$2000=B38),--(台帳!$I$2:$I$2000&gt;0))</f>
        <v>1</v>
      </c>
    </row>
    <row r="39" spans="1:7" ht="17.25" x14ac:dyDescent="0.35">
      <c r="A39" s="62" t="s">
        <v>392</v>
      </c>
      <c r="B39" s="45" t="s">
        <v>348</v>
      </c>
      <c r="C39" s="45">
        <f>SUMIFS(台帳!$I$2:$I$2000,台帳!$F$2:$F$2000,B39)</f>
        <v>2</v>
      </c>
      <c r="D39" s="28"/>
      <c r="E39" s="45" t="str">
        <f>IF(D39="","",D39-C39)</f>
        <v/>
      </c>
      <c r="F39" s="59" t="str">
        <f>IF(OR(D39="",D39=0),"",C39/D39)</f>
        <v/>
      </c>
      <c r="G39" s="45">
        <f>SUMPRODUCT(--(台帳!$F$2:$F$2000=B39),--(台帳!$I$2:$I$2000&gt;0))</f>
        <v>1</v>
      </c>
    </row>
    <row r="40" spans="1:7" ht="17.25" x14ac:dyDescent="0.35">
      <c r="A40" s="62" t="s">
        <v>392</v>
      </c>
      <c r="B40" s="45" t="s">
        <v>328</v>
      </c>
      <c r="C40" s="45">
        <f>SUMIFS(台帳!$I$2:$I$2000,台帳!$F$2:$F$2000,B40)</f>
        <v>1</v>
      </c>
      <c r="D40" s="28"/>
      <c r="E40" s="45" t="str">
        <f>IF(D40="","",D40-C40)</f>
        <v/>
      </c>
      <c r="F40" s="59" t="str">
        <f>IF(OR(D40="",D40=0),"",C40/D40)</f>
        <v/>
      </c>
      <c r="G40" s="45">
        <f>SUMPRODUCT(--(台帳!$F$2:$F$2000=B40),--(台帳!$I$2:$I$2000&gt;0))</f>
        <v>1</v>
      </c>
    </row>
    <row r="41" spans="1:7" ht="17.25" x14ac:dyDescent="0.35">
      <c r="A41" s="62" t="s">
        <v>394</v>
      </c>
      <c r="B41" s="45" t="s">
        <v>356</v>
      </c>
      <c r="C41" s="45">
        <f>SUMIFS(台帳!$I$2:$I$2000,台帳!$F$2:$F$2000,B41)</f>
        <v>5</v>
      </c>
      <c r="D41" s="28"/>
      <c r="E41" s="45" t="str">
        <f>IF(D41="","",D41-C41)</f>
        <v/>
      </c>
      <c r="F41" s="59" t="str">
        <f>IF(OR(D41="",D41=0),"",C41/D41)</f>
        <v/>
      </c>
      <c r="G41" s="45">
        <f>SUMPRODUCT(--(台帳!$F$2:$F$2000=B41),--(台帳!$I$2:$I$2000&gt;0))</f>
        <v>5</v>
      </c>
    </row>
    <row r="42" spans="1:7" ht="17.25" x14ac:dyDescent="0.35">
      <c r="A42" s="62" t="s">
        <v>394</v>
      </c>
      <c r="B42" s="45" t="s">
        <v>310</v>
      </c>
      <c r="C42" s="45">
        <f>SUMIFS(台帳!$I$2:$I$2000,台帳!$F$2:$F$2000,B42)</f>
        <v>4</v>
      </c>
      <c r="D42" s="28"/>
      <c r="E42" s="45" t="str">
        <f>IF(D42="","",D42-C42)</f>
        <v/>
      </c>
      <c r="F42" s="59" t="str">
        <f>IF(OR(D42="",D42=0),"",C42/D42)</f>
        <v/>
      </c>
      <c r="G42" s="45">
        <f>SUMPRODUCT(--(台帳!$F$2:$F$2000=B42),--(台帳!$I$2:$I$2000&gt;0))</f>
        <v>4</v>
      </c>
    </row>
    <row r="43" spans="1:7" ht="17.25" x14ac:dyDescent="0.35">
      <c r="A43" s="62" t="s">
        <v>396</v>
      </c>
      <c r="B43" s="45" t="s">
        <v>242</v>
      </c>
      <c r="C43" s="45">
        <f>SUMIFS(台帳!$I$2:$I$2000,台帳!$F$2:$F$2000,B43)</f>
        <v>7</v>
      </c>
      <c r="D43" s="28"/>
      <c r="E43" s="45" t="str">
        <f>IF(D43="","",D43-C43)</f>
        <v/>
      </c>
      <c r="F43" s="59" t="str">
        <f>IF(OR(D43="",D43=0),"",C43/D43)</f>
        <v/>
      </c>
      <c r="G43" s="45">
        <f>SUMPRODUCT(--(台帳!$F$2:$F$2000=B43),--(台帳!$I$2:$I$2000&gt;0))</f>
        <v>7</v>
      </c>
    </row>
    <row r="44" spans="1:7" ht="17.25" x14ac:dyDescent="0.35">
      <c r="A44" s="62" t="s">
        <v>396</v>
      </c>
      <c r="B44" s="45" t="s">
        <v>341</v>
      </c>
      <c r="C44" s="45">
        <f>SUMIFS(台帳!$I$2:$I$2000,台帳!$F$2:$F$2000,B44)</f>
        <v>2</v>
      </c>
      <c r="D44" s="28"/>
      <c r="E44" s="45" t="str">
        <f>IF(D44="","",D44-C44)</f>
        <v/>
      </c>
      <c r="F44" s="59" t="str">
        <f>IF(OR(D44="",D44=0),"",C44/D44)</f>
        <v/>
      </c>
      <c r="G44" s="45">
        <f>SUMPRODUCT(--(台帳!$F$2:$F$2000=B44),--(台帳!$I$2:$I$2000&gt;0))</f>
        <v>2</v>
      </c>
    </row>
    <row r="45" spans="1:7" ht="17.25" x14ac:dyDescent="0.35">
      <c r="A45" s="62" t="s">
        <v>396</v>
      </c>
      <c r="B45" s="45" t="s">
        <v>98</v>
      </c>
      <c r="C45" s="45">
        <f>SUMIFS(台帳!$I$2:$I$2000,台帳!$F$2:$F$2000,B45)</f>
        <v>0</v>
      </c>
      <c r="D45" s="28"/>
      <c r="E45" s="45" t="str">
        <f>IF(D45="","",D45-C45)</f>
        <v/>
      </c>
      <c r="F45" s="59" t="str">
        <f>IF(OR(D45="",D45=0),"",C45/D45)</f>
        <v/>
      </c>
      <c r="G45" s="45">
        <f>SUMPRODUCT(--(台帳!$F$2:$F$2000=B45),--(台帳!$I$2:$I$2000&gt;0))</f>
        <v>0</v>
      </c>
    </row>
    <row r="46" spans="1:7" ht="17.25" x14ac:dyDescent="0.35">
      <c r="A46" s="60"/>
      <c r="B46" s="60" t="s">
        <v>421</v>
      </c>
      <c r="C46" s="60">
        <f>SUM(C5:C45)</f>
        <v>276</v>
      </c>
      <c r="D46" s="60">
        <f>SUM(D5:D45)</f>
        <v>0</v>
      </c>
      <c r="E46" s="60">
        <f>SUM(E5:E45)</f>
        <v>0</v>
      </c>
      <c r="F46" s="61" t="str">
        <f>IF(D46=0,"",C46/D46)</f>
        <v/>
      </c>
      <c r="G46" s="60"/>
    </row>
  </sheetData>
  <printOptions horizontalCentered="1"/>
  <pageMargins left="0.4" right="0.4" top="0.5" bottom="0.5" header="0.25" footer="0.25"/>
  <pageSetup paperSize="9" orientation="portrait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0000"/>
    <pageSetUpPr fitToPage="1"/>
  </sheetPr>
  <dimension ref="A1:W58"/>
  <sheetViews>
    <sheetView zoomScale="90" zoomScaleNormal="90" workbookViewId="0">
      <pane xSplit="2" ySplit="4" topLeftCell="C5" activePane="bottomRight" state="frozen"/>
      <selection pane="bottomLeft" activeCell="A5" sqref="A5"/>
      <selection pane="topRight" activeCell="C1" sqref="C1"/>
      <selection pane="bottomRight"/>
    </sheetView>
  </sheetViews>
  <sheetFormatPr defaultColWidth="8.7421875" defaultRowHeight="15" x14ac:dyDescent="0.2"/>
  <cols>
    <col min="1" max="1" width="13.98828125" customWidth="1"/>
    <col min="2" max="2" width="18.0234375" customWidth="1"/>
    <col min="3" max="23" width="6.45703125" customWidth="1"/>
  </cols>
  <sheetData>
    <row r="1" spans="1:23" ht="18.75" x14ac:dyDescent="0.25">
      <c r="A1" s="3" t="s">
        <v>510</v>
      </c>
    </row>
    <row r="2" spans="1:23" x14ac:dyDescent="0.2">
      <c r="A2" s="15" t="s">
        <v>511</v>
      </c>
    </row>
    <row r="3" spans="1:23" ht="15.75" x14ac:dyDescent="0.25">
      <c r="C3" s="63" t="s">
        <v>512</v>
      </c>
      <c r="D3" s="63" t="s">
        <v>512</v>
      </c>
      <c r="E3" s="63" t="s">
        <v>513</v>
      </c>
      <c r="F3" s="63" t="s">
        <v>513</v>
      </c>
      <c r="G3" s="63" t="s">
        <v>513</v>
      </c>
      <c r="H3" s="63" t="s">
        <v>513</v>
      </c>
      <c r="I3" s="63" t="s">
        <v>514</v>
      </c>
      <c r="J3" s="63" t="s">
        <v>514</v>
      </c>
      <c r="K3" s="63" t="s">
        <v>514</v>
      </c>
      <c r="L3" s="63" t="s">
        <v>514</v>
      </c>
      <c r="M3" s="63" t="s">
        <v>514</v>
      </c>
      <c r="N3" s="63" t="s">
        <v>515</v>
      </c>
      <c r="O3" s="63" t="s">
        <v>515</v>
      </c>
      <c r="P3" s="63" t="s">
        <v>515</v>
      </c>
      <c r="Q3" s="63" t="s">
        <v>515</v>
      </c>
      <c r="R3" s="63" t="s">
        <v>516</v>
      </c>
      <c r="S3" s="63" t="s">
        <v>516</v>
      </c>
      <c r="T3" s="63" t="s">
        <v>516</v>
      </c>
      <c r="U3" s="63" t="s">
        <v>516</v>
      </c>
      <c r="V3" s="63" t="s">
        <v>516</v>
      </c>
    </row>
    <row r="4" spans="1:23" ht="16.5" x14ac:dyDescent="0.2">
      <c r="A4" s="5" t="s">
        <v>109</v>
      </c>
      <c r="B4" s="5" t="s">
        <v>91</v>
      </c>
      <c r="C4" s="64">
        <v>46132</v>
      </c>
      <c r="D4" s="64">
        <v>46139</v>
      </c>
      <c r="E4" s="64">
        <v>46146</v>
      </c>
      <c r="F4" s="64">
        <v>46153</v>
      </c>
      <c r="G4" s="64">
        <v>46160</v>
      </c>
      <c r="H4" s="64">
        <v>46167</v>
      </c>
      <c r="I4" s="64">
        <v>46174</v>
      </c>
      <c r="J4" s="64">
        <v>46181</v>
      </c>
      <c r="K4" s="64">
        <v>46188</v>
      </c>
      <c r="L4" s="64">
        <v>46195</v>
      </c>
      <c r="M4" s="64">
        <v>46202</v>
      </c>
      <c r="N4" s="64">
        <v>46209</v>
      </c>
      <c r="O4" s="64">
        <v>46216</v>
      </c>
      <c r="P4" s="64">
        <v>46223</v>
      </c>
      <c r="Q4" s="64">
        <v>46230</v>
      </c>
      <c r="R4" s="64">
        <v>46237</v>
      </c>
      <c r="S4" s="64">
        <v>46244</v>
      </c>
      <c r="T4" s="64">
        <v>46251</v>
      </c>
      <c r="U4" s="64">
        <v>46258</v>
      </c>
      <c r="V4" s="64">
        <v>46265</v>
      </c>
      <c r="W4" s="5" t="s">
        <v>421</v>
      </c>
    </row>
    <row r="5" spans="1:23" ht="17.25" x14ac:dyDescent="0.35">
      <c r="A5" s="65" t="s">
        <v>368</v>
      </c>
      <c r="B5" s="65" t="s">
        <v>517</v>
      </c>
      <c r="C5" s="66">
        <f>SUMIFS(台帳!$I$2:$I$2000,台帳!$E$2:$E$2000,$A5,台帳!$A$2:$A$2000,"&gt;="&amp;C$4,台帳!$A$2:$A$2000,"&lt;"&amp;(C$4+7))</f>
        <v>0</v>
      </c>
      <c r="D5" s="66">
        <f>SUMIFS(台帳!$I$2:$I$2000,台帳!$E$2:$E$2000,$A5,台帳!$A$2:$A$2000,"&gt;="&amp;D$4,台帳!$A$2:$A$2000,"&lt;"&amp;(D$4+7))</f>
        <v>0</v>
      </c>
      <c r="E5" s="66">
        <f>SUMIFS(台帳!$I$2:$I$2000,台帳!$E$2:$E$2000,$A5,台帳!$A$2:$A$2000,"&gt;="&amp;E$4,台帳!$A$2:$A$2000,"&lt;"&amp;(E$4+7))</f>
        <v>0</v>
      </c>
      <c r="F5" s="66">
        <f>SUMIFS(台帳!$I$2:$I$2000,台帳!$E$2:$E$2000,$A5,台帳!$A$2:$A$2000,"&gt;="&amp;F$4,台帳!$A$2:$A$2000,"&lt;"&amp;(F$4+7))</f>
        <v>0</v>
      </c>
      <c r="G5" s="66">
        <f>SUMIFS(台帳!$I$2:$I$2000,台帳!$E$2:$E$2000,$A5,台帳!$A$2:$A$2000,"&gt;="&amp;G$4,台帳!$A$2:$A$2000,"&lt;"&amp;(G$4+7))</f>
        <v>0</v>
      </c>
      <c r="H5" s="66">
        <f>SUMIFS(台帳!$I$2:$I$2000,台帳!$E$2:$E$2000,$A5,台帳!$A$2:$A$2000,"&gt;="&amp;H$4,台帳!$A$2:$A$2000,"&lt;"&amp;(H$4+7))</f>
        <v>0</v>
      </c>
      <c r="I5" s="66">
        <f>SUMIFS(台帳!$I$2:$I$2000,台帳!$E$2:$E$2000,$A5,台帳!$A$2:$A$2000,"&gt;="&amp;I$4,台帳!$A$2:$A$2000,"&lt;"&amp;(I$4+7))</f>
        <v>0</v>
      </c>
      <c r="J5" s="66">
        <f>SUMIFS(台帳!$I$2:$I$2000,台帳!$E$2:$E$2000,$A5,台帳!$A$2:$A$2000,"&gt;="&amp;J$4,台帳!$A$2:$A$2000,"&lt;"&amp;(J$4+7))</f>
        <v>0</v>
      </c>
      <c r="K5" s="66">
        <f>SUMIFS(台帳!$I$2:$I$2000,台帳!$E$2:$E$2000,$A5,台帳!$A$2:$A$2000,"&gt;="&amp;K$4,台帳!$A$2:$A$2000,"&lt;"&amp;(K$4+7))</f>
        <v>0</v>
      </c>
      <c r="L5" s="66">
        <f>SUMIFS(台帳!$I$2:$I$2000,台帳!$E$2:$E$2000,$A5,台帳!$A$2:$A$2000,"&gt;="&amp;L$4,台帳!$A$2:$A$2000,"&lt;"&amp;(L$4+7))</f>
        <v>0</v>
      </c>
      <c r="M5" s="66">
        <f>SUMIFS(台帳!$I$2:$I$2000,台帳!$E$2:$E$2000,$A5,台帳!$A$2:$A$2000,"&gt;="&amp;M$4,台帳!$A$2:$A$2000,"&lt;"&amp;(M$4+7))</f>
        <v>0</v>
      </c>
      <c r="N5" s="66">
        <f>SUMIFS(台帳!$I$2:$I$2000,台帳!$E$2:$E$2000,$A5,台帳!$A$2:$A$2000,"&gt;="&amp;N$4,台帳!$A$2:$A$2000,"&lt;"&amp;(N$4+7))</f>
        <v>0</v>
      </c>
      <c r="O5" s="66">
        <f>SUMIFS(台帳!$I$2:$I$2000,台帳!$E$2:$E$2000,$A5,台帳!$A$2:$A$2000,"&gt;="&amp;O$4,台帳!$A$2:$A$2000,"&lt;"&amp;(O$4+7))</f>
        <v>0</v>
      </c>
      <c r="P5" s="66">
        <f>SUMIFS(台帳!$I$2:$I$2000,台帳!$E$2:$E$2000,$A5,台帳!$A$2:$A$2000,"&gt;="&amp;P$4,台帳!$A$2:$A$2000,"&lt;"&amp;(P$4+7))</f>
        <v>0</v>
      </c>
      <c r="Q5" s="66">
        <f>SUMIFS(台帳!$I$2:$I$2000,台帳!$E$2:$E$2000,$A5,台帳!$A$2:$A$2000,"&gt;="&amp;Q$4,台帳!$A$2:$A$2000,"&lt;"&amp;(Q$4+7))</f>
        <v>0</v>
      </c>
      <c r="R5" s="66">
        <f>SUMIFS(台帳!$I$2:$I$2000,台帳!$E$2:$E$2000,$A5,台帳!$A$2:$A$2000,"&gt;="&amp;R$4,台帳!$A$2:$A$2000,"&lt;"&amp;(R$4+7))</f>
        <v>0</v>
      </c>
      <c r="S5" s="66">
        <f>SUMIFS(台帳!$I$2:$I$2000,台帳!$E$2:$E$2000,$A5,台帳!$A$2:$A$2000,"&gt;="&amp;S$4,台帳!$A$2:$A$2000,"&lt;"&amp;(S$4+7))</f>
        <v>0</v>
      </c>
      <c r="T5" s="66">
        <f>SUMIFS(台帳!$I$2:$I$2000,台帳!$E$2:$E$2000,$A5,台帳!$A$2:$A$2000,"&gt;="&amp;T$4,台帳!$A$2:$A$2000,"&lt;"&amp;(T$4+7))</f>
        <v>0</v>
      </c>
      <c r="U5" s="66">
        <f>SUMIFS(台帳!$I$2:$I$2000,台帳!$E$2:$E$2000,$A5,台帳!$A$2:$A$2000,"&gt;="&amp;U$4,台帳!$A$2:$A$2000,"&lt;"&amp;(U$4+7))</f>
        <v>0</v>
      </c>
      <c r="V5" s="66">
        <f>SUMIFS(台帳!$I$2:$I$2000,台帳!$E$2:$E$2000,$A5,台帳!$A$2:$A$2000,"&gt;="&amp;V$4,台帳!$A$2:$A$2000,"&lt;"&amp;(V$4+7))</f>
        <v>0</v>
      </c>
      <c r="W5" s="60">
        <f>SUM(C5:V5)</f>
        <v>0</v>
      </c>
    </row>
    <row r="6" spans="1:23" ht="17.25" x14ac:dyDescent="0.35">
      <c r="A6" s="62" t="s">
        <v>368</v>
      </c>
      <c r="B6" s="45" t="s">
        <v>369</v>
      </c>
      <c r="C6" s="46">
        <f>SUMIFS(台帳!$I$2:$I$2000,台帳!$F$2:$F$2000,$B6,台帳!$A$2:$A$2000,"&gt;="&amp;C$4,台帳!$A$2:$A$2000,"&lt;"&amp;(C$4+7))</f>
        <v>0</v>
      </c>
      <c r="D6" s="46">
        <f>SUMIFS(台帳!$I$2:$I$2000,台帳!$F$2:$F$2000,$B6,台帳!$A$2:$A$2000,"&gt;="&amp;D$4,台帳!$A$2:$A$2000,"&lt;"&amp;(D$4+7))</f>
        <v>0</v>
      </c>
      <c r="E6" s="46">
        <f>SUMIFS(台帳!$I$2:$I$2000,台帳!$F$2:$F$2000,$B6,台帳!$A$2:$A$2000,"&gt;="&amp;E$4,台帳!$A$2:$A$2000,"&lt;"&amp;(E$4+7))</f>
        <v>0</v>
      </c>
      <c r="F6" s="46">
        <f>SUMIFS(台帳!$I$2:$I$2000,台帳!$F$2:$F$2000,$B6,台帳!$A$2:$A$2000,"&gt;="&amp;F$4,台帳!$A$2:$A$2000,"&lt;"&amp;(F$4+7))</f>
        <v>0</v>
      </c>
      <c r="G6" s="46">
        <f>SUMIFS(台帳!$I$2:$I$2000,台帳!$F$2:$F$2000,$B6,台帳!$A$2:$A$2000,"&gt;="&amp;G$4,台帳!$A$2:$A$2000,"&lt;"&amp;(G$4+7))</f>
        <v>0</v>
      </c>
      <c r="H6" s="46">
        <f>SUMIFS(台帳!$I$2:$I$2000,台帳!$F$2:$F$2000,$B6,台帳!$A$2:$A$2000,"&gt;="&amp;H$4,台帳!$A$2:$A$2000,"&lt;"&amp;(H$4+7))</f>
        <v>0</v>
      </c>
      <c r="I6" s="46">
        <f>SUMIFS(台帳!$I$2:$I$2000,台帳!$F$2:$F$2000,$B6,台帳!$A$2:$A$2000,"&gt;="&amp;I$4,台帳!$A$2:$A$2000,"&lt;"&amp;(I$4+7))</f>
        <v>0</v>
      </c>
      <c r="J6" s="46">
        <f>SUMIFS(台帳!$I$2:$I$2000,台帳!$F$2:$F$2000,$B6,台帳!$A$2:$A$2000,"&gt;="&amp;J$4,台帳!$A$2:$A$2000,"&lt;"&amp;(J$4+7))</f>
        <v>0</v>
      </c>
      <c r="K6" s="46">
        <f>SUMIFS(台帳!$I$2:$I$2000,台帳!$F$2:$F$2000,$B6,台帳!$A$2:$A$2000,"&gt;="&amp;K$4,台帳!$A$2:$A$2000,"&lt;"&amp;(K$4+7))</f>
        <v>0</v>
      </c>
      <c r="L6" s="46">
        <f>SUMIFS(台帳!$I$2:$I$2000,台帳!$F$2:$F$2000,$B6,台帳!$A$2:$A$2000,"&gt;="&amp;L$4,台帳!$A$2:$A$2000,"&lt;"&amp;(L$4+7))</f>
        <v>0</v>
      </c>
      <c r="M6" s="46">
        <f>SUMIFS(台帳!$I$2:$I$2000,台帳!$F$2:$F$2000,$B6,台帳!$A$2:$A$2000,"&gt;="&amp;M$4,台帳!$A$2:$A$2000,"&lt;"&amp;(M$4+7))</f>
        <v>0</v>
      </c>
      <c r="N6" s="46">
        <f>SUMIFS(台帳!$I$2:$I$2000,台帳!$F$2:$F$2000,$B6,台帳!$A$2:$A$2000,"&gt;="&amp;N$4,台帳!$A$2:$A$2000,"&lt;"&amp;(N$4+7))</f>
        <v>0</v>
      </c>
      <c r="O6" s="46">
        <f>SUMIFS(台帳!$I$2:$I$2000,台帳!$F$2:$F$2000,$B6,台帳!$A$2:$A$2000,"&gt;="&amp;O$4,台帳!$A$2:$A$2000,"&lt;"&amp;(O$4+7))</f>
        <v>0</v>
      </c>
      <c r="P6" s="46">
        <f>SUMIFS(台帳!$I$2:$I$2000,台帳!$F$2:$F$2000,$B6,台帳!$A$2:$A$2000,"&gt;="&amp;P$4,台帳!$A$2:$A$2000,"&lt;"&amp;(P$4+7))</f>
        <v>0</v>
      </c>
      <c r="Q6" s="46">
        <f>SUMIFS(台帳!$I$2:$I$2000,台帳!$F$2:$F$2000,$B6,台帳!$A$2:$A$2000,"&gt;="&amp;Q$4,台帳!$A$2:$A$2000,"&lt;"&amp;(Q$4+7))</f>
        <v>0</v>
      </c>
      <c r="R6" s="46">
        <f>SUMIFS(台帳!$I$2:$I$2000,台帳!$F$2:$F$2000,$B6,台帳!$A$2:$A$2000,"&gt;="&amp;R$4,台帳!$A$2:$A$2000,"&lt;"&amp;(R$4+7))</f>
        <v>0</v>
      </c>
      <c r="S6" s="46">
        <f>SUMIFS(台帳!$I$2:$I$2000,台帳!$F$2:$F$2000,$B6,台帳!$A$2:$A$2000,"&gt;="&amp;S$4,台帳!$A$2:$A$2000,"&lt;"&amp;(S$4+7))</f>
        <v>0</v>
      </c>
      <c r="T6" s="46">
        <f>SUMIFS(台帳!$I$2:$I$2000,台帳!$F$2:$F$2000,$B6,台帳!$A$2:$A$2000,"&gt;="&amp;T$4,台帳!$A$2:$A$2000,"&lt;"&amp;(T$4+7))</f>
        <v>0</v>
      </c>
      <c r="U6" s="46">
        <f>SUMIFS(台帳!$I$2:$I$2000,台帳!$F$2:$F$2000,$B6,台帳!$A$2:$A$2000,"&gt;="&amp;U$4,台帳!$A$2:$A$2000,"&lt;"&amp;(U$4+7))</f>
        <v>0</v>
      </c>
      <c r="V6" s="46">
        <f>SUMIFS(台帳!$I$2:$I$2000,台帳!$F$2:$F$2000,$B6,台帳!$A$2:$A$2000,"&gt;="&amp;V$4,台帳!$A$2:$A$2000,"&lt;"&amp;(V$4+7))</f>
        <v>0</v>
      </c>
      <c r="W6" s="45">
        <f>SUM(C6:V6)</f>
        <v>0</v>
      </c>
    </row>
    <row r="7" spans="1:23" ht="17.25" x14ac:dyDescent="0.35">
      <c r="A7" s="62" t="s">
        <v>368</v>
      </c>
      <c r="B7" s="45" t="s">
        <v>153</v>
      </c>
      <c r="C7" s="46">
        <f>SUMIFS(台帳!$I$2:$I$2000,台帳!$F$2:$F$2000,$B7,台帳!$A$2:$A$2000,"&gt;="&amp;C$4,台帳!$A$2:$A$2000,"&lt;"&amp;(C$4+7))</f>
        <v>0</v>
      </c>
      <c r="D7" s="46">
        <f>SUMIFS(台帳!$I$2:$I$2000,台帳!$F$2:$F$2000,$B7,台帳!$A$2:$A$2000,"&gt;="&amp;D$4,台帳!$A$2:$A$2000,"&lt;"&amp;(D$4+7))</f>
        <v>0</v>
      </c>
      <c r="E7" s="46">
        <f>SUMIFS(台帳!$I$2:$I$2000,台帳!$F$2:$F$2000,$B7,台帳!$A$2:$A$2000,"&gt;="&amp;E$4,台帳!$A$2:$A$2000,"&lt;"&amp;(E$4+7))</f>
        <v>0</v>
      </c>
      <c r="F7" s="46">
        <f>SUMIFS(台帳!$I$2:$I$2000,台帳!$F$2:$F$2000,$B7,台帳!$A$2:$A$2000,"&gt;="&amp;F$4,台帳!$A$2:$A$2000,"&lt;"&amp;(F$4+7))</f>
        <v>0</v>
      </c>
      <c r="G7" s="46">
        <f>SUMIFS(台帳!$I$2:$I$2000,台帳!$F$2:$F$2000,$B7,台帳!$A$2:$A$2000,"&gt;="&amp;G$4,台帳!$A$2:$A$2000,"&lt;"&amp;(G$4+7))</f>
        <v>0</v>
      </c>
      <c r="H7" s="46">
        <f>SUMIFS(台帳!$I$2:$I$2000,台帳!$F$2:$F$2000,$B7,台帳!$A$2:$A$2000,"&gt;="&amp;H$4,台帳!$A$2:$A$2000,"&lt;"&amp;(H$4+7))</f>
        <v>0</v>
      </c>
      <c r="I7" s="46">
        <f>SUMIFS(台帳!$I$2:$I$2000,台帳!$F$2:$F$2000,$B7,台帳!$A$2:$A$2000,"&gt;="&amp;I$4,台帳!$A$2:$A$2000,"&lt;"&amp;(I$4+7))</f>
        <v>0</v>
      </c>
      <c r="J7" s="46">
        <f>SUMIFS(台帳!$I$2:$I$2000,台帳!$F$2:$F$2000,$B7,台帳!$A$2:$A$2000,"&gt;="&amp;J$4,台帳!$A$2:$A$2000,"&lt;"&amp;(J$4+7))</f>
        <v>0</v>
      </c>
      <c r="K7" s="46">
        <f>SUMIFS(台帳!$I$2:$I$2000,台帳!$F$2:$F$2000,$B7,台帳!$A$2:$A$2000,"&gt;="&amp;K$4,台帳!$A$2:$A$2000,"&lt;"&amp;(K$4+7))</f>
        <v>0</v>
      </c>
      <c r="L7" s="46">
        <f>SUMIFS(台帳!$I$2:$I$2000,台帳!$F$2:$F$2000,$B7,台帳!$A$2:$A$2000,"&gt;="&amp;L$4,台帳!$A$2:$A$2000,"&lt;"&amp;(L$4+7))</f>
        <v>0</v>
      </c>
      <c r="M7" s="46">
        <f>SUMIFS(台帳!$I$2:$I$2000,台帳!$F$2:$F$2000,$B7,台帳!$A$2:$A$2000,"&gt;="&amp;M$4,台帳!$A$2:$A$2000,"&lt;"&amp;(M$4+7))</f>
        <v>0</v>
      </c>
      <c r="N7" s="46">
        <f>SUMIFS(台帳!$I$2:$I$2000,台帳!$F$2:$F$2000,$B7,台帳!$A$2:$A$2000,"&gt;="&amp;N$4,台帳!$A$2:$A$2000,"&lt;"&amp;(N$4+7))</f>
        <v>0</v>
      </c>
      <c r="O7" s="46">
        <f>SUMIFS(台帳!$I$2:$I$2000,台帳!$F$2:$F$2000,$B7,台帳!$A$2:$A$2000,"&gt;="&amp;O$4,台帳!$A$2:$A$2000,"&lt;"&amp;(O$4+7))</f>
        <v>0</v>
      </c>
      <c r="P7" s="46">
        <f>SUMIFS(台帳!$I$2:$I$2000,台帳!$F$2:$F$2000,$B7,台帳!$A$2:$A$2000,"&gt;="&amp;P$4,台帳!$A$2:$A$2000,"&lt;"&amp;(P$4+7))</f>
        <v>0</v>
      </c>
      <c r="Q7" s="46">
        <f>SUMIFS(台帳!$I$2:$I$2000,台帳!$F$2:$F$2000,$B7,台帳!$A$2:$A$2000,"&gt;="&amp;Q$4,台帳!$A$2:$A$2000,"&lt;"&amp;(Q$4+7))</f>
        <v>0</v>
      </c>
      <c r="R7" s="46">
        <f>SUMIFS(台帳!$I$2:$I$2000,台帳!$F$2:$F$2000,$B7,台帳!$A$2:$A$2000,"&gt;="&amp;R$4,台帳!$A$2:$A$2000,"&lt;"&amp;(R$4+7))</f>
        <v>0</v>
      </c>
      <c r="S7" s="46">
        <f>SUMIFS(台帳!$I$2:$I$2000,台帳!$F$2:$F$2000,$B7,台帳!$A$2:$A$2000,"&gt;="&amp;S$4,台帳!$A$2:$A$2000,"&lt;"&amp;(S$4+7))</f>
        <v>0</v>
      </c>
      <c r="T7" s="46">
        <f>SUMIFS(台帳!$I$2:$I$2000,台帳!$F$2:$F$2000,$B7,台帳!$A$2:$A$2000,"&gt;="&amp;T$4,台帳!$A$2:$A$2000,"&lt;"&amp;(T$4+7))</f>
        <v>0</v>
      </c>
      <c r="U7" s="46">
        <f>SUMIFS(台帳!$I$2:$I$2000,台帳!$F$2:$F$2000,$B7,台帳!$A$2:$A$2000,"&gt;="&amp;U$4,台帳!$A$2:$A$2000,"&lt;"&amp;(U$4+7))</f>
        <v>0</v>
      </c>
      <c r="V7" s="46">
        <f>SUMIFS(台帳!$I$2:$I$2000,台帳!$F$2:$F$2000,$B7,台帳!$A$2:$A$2000,"&gt;="&amp;V$4,台帳!$A$2:$A$2000,"&lt;"&amp;(V$4+7))</f>
        <v>0</v>
      </c>
      <c r="W7" s="45">
        <f>SUM(C7:V7)</f>
        <v>0</v>
      </c>
    </row>
    <row r="8" spans="1:23" ht="17.25" x14ac:dyDescent="0.35">
      <c r="A8" s="65" t="s">
        <v>372</v>
      </c>
      <c r="B8" s="65" t="s">
        <v>517</v>
      </c>
      <c r="C8" s="66">
        <f>SUMIFS(台帳!$I$2:$I$2000,台帳!$E$2:$E$2000,$A8,台帳!$A$2:$A$2000,"&gt;="&amp;C$4,台帳!$A$2:$A$2000,"&lt;"&amp;(C$4+7))</f>
        <v>7</v>
      </c>
      <c r="D8" s="66">
        <f>SUMIFS(台帳!$I$2:$I$2000,台帳!$E$2:$E$2000,$A8,台帳!$A$2:$A$2000,"&gt;="&amp;D$4,台帳!$A$2:$A$2000,"&lt;"&amp;(D$4+7))</f>
        <v>0</v>
      </c>
      <c r="E8" s="66">
        <f>SUMIFS(台帳!$I$2:$I$2000,台帳!$E$2:$E$2000,$A8,台帳!$A$2:$A$2000,"&gt;="&amp;E$4,台帳!$A$2:$A$2000,"&lt;"&amp;(E$4+7))</f>
        <v>0</v>
      </c>
      <c r="F8" s="66">
        <f>SUMIFS(台帳!$I$2:$I$2000,台帳!$E$2:$E$2000,$A8,台帳!$A$2:$A$2000,"&gt;="&amp;F$4,台帳!$A$2:$A$2000,"&lt;"&amp;(F$4+7))</f>
        <v>0</v>
      </c>
      <c r="G8" s="66">
        <f>SUMIFS(台帳!$I$2:$I$2000,台帳!$E$2:$E$2000,$A8,台帳!$A$2:$A$2000,"&gt;="&amp;G$4,台帳!$A$2:$A$2000,"&lt;"&amp;(G$4+7))</f>
        <v>0</v>
      </c>
      <c r="H8" s="66">
        <f>SUMIFS(台帳!$I$2:$I$2000,台帳!$E$2:$E$2000,$A8,台帳!$A$2:$A$2000,"&gt;="&amp;H$4,台帳!$A$2:$A$2000,"&lt;"&amp;(H$4+7))</f>
        <v>0</v>
      </c>
      <c r="I8" s="66">
        <f>SUMIFS(台帳!$I$2:$I$2000,台帳!$E$2:$E$2000,$A8,台帳!$A$2:$A$2000,"&gt;="&amp;I$4,台帳!$A$2:$A$2000,"&lt;"&amp;(I$4+7))</f>
        <v>0</v>
      </c>
      <c r="J8" s="66">
        <f>SUMIFS(台帳!$I$2:$I$2000,台帳!$E$2:$E$2000,$A8,台帳!$A$2:$A$2000,"&gt;="&amp;J$4,台帳!$A$2:$A$2000,"&lt;"&amp;(J$4+7))</f>
        <v>0</v>
      </c>
      <c r="K8" s="66">
        <f>SUMIFS(台帳!$I$2:$I$2000,台帳!$E$2:$E$2000,$A8,台帳!$A$2:$A$2000,"&gt;="&amp;K$4,台帳!$A$2:$A$2000,"&lt;"&amp;(K$4+7))</f>
        <v>0</v>
      </c>
      <c r="L8" s="66">
        <f>SUMIFS(台帳!$I$2:$I$2000,台帳!$E$2:$E$2000,$A8,台帳!$A$2:$A$2000,"&gt;="&amp;L$4,台帳!$A$2:$A$2000,"&lt;"&amp;(L$4+7))</f>
        <v>0</v>
      </c>
      <c r="M8" s="66">
        <f>SUMIFS(台帳!$I$2:$I$2000,台帳!$E$2:$E$2000,$A8,台帳!$A$2:$A$2000,"&gt;="&amp;M$4,台帳!$A$2:$A$2000,"&lt;"&amp;(M$4+7))</f>
        <v>0</v>
      </c>
      <c r="N8" s="66">
        <f>SUMIFS(台帳!$I$2:$I$2000,台帳!$E$2:$E$2000,$A8,台帳!$A$2:$A$2000,"&gt;="&amp;N$4,台帳!$A$2:$A$2000,"&lt;"&amp;(N$4+7))</f>
        <v>0</v>
      </c>
      <c r="O8" s="66">
        <f>SUMIFS(台帳!$I$2:$I$2000,台帳!$E$2:$E$2000,$A8,台帳!$A$2:$A$2000,"&gt;="&amp;O$4,台帳!$A$2:$A$2000,"&lt;"&amp;(O$4+7))</f>
        <v>0</v>
      </c>
      <c r="P8" s="66">
        <f>SUMIFS(台帳!$I$2:$I$2000,台帳!$E$2:$E$2000,$A8,台帳!$A$2:$A$2000,"&gt;="&amp;P$4,台帳!$A$2:$A$2000,"&lt;"&amp;(P$4+7))</f>
        <v>0</v>
      </c>
      <c r="Q8" s="66">
        <f>SUMIFS(台帳!$I$2:$I$2000,台帳!$E$2:$E$2000,$A8,台帳!$A$2:$A$2000,"&gt;="&amp;Q$4,台帳!$A$2:$A$2000,"&lt;"&amp;(Q$4+7))</f>
        <v>0</v>
      </c>
      <c r="R8" s="66">
        <f>SUMIFS(台帳!$I$2:$I$2000,台帳!$E$2:$E$2000,$A8,台帳!$A$2:$A$2000,"&gt;="&amp;R$4,台帳!$A$2:$A$2000,"&lt;"&amp;(R$4+7))</f>
        <v>0</v>
      </c>
      <c r="S8" s="66">
        <f>SUMIFS(台帳!$I$2:$I$2000,台帳!$E$2:$E$2000,$A8,台帳!$A$2:$A$2000,"&gt;="&amp;S$4,台帳!$A$2:$A$2000,"&lt;"&amp;(S$4+7))</f>
        <v>0</v>
      </c>
      <c r="T8" s="66">
        <f>SUMIFS(台帳!$I$2:$I$2000,台帳!$E$2:$E$2000,$A8,台帳!$A$2:$A$2000,"&gt;="&amp;T$4,台帳!$A$2:$A$2000,"&lt;"&amp;(T$4+7))</f>
        <v>0</v>
      </c>
      <c r="U8" s="66">
        <f>SUMIFS(台帳!$I$2:$I$2000,台帳!$E$2:$E$2000,$A8,台帳!$A$2:$A$2000,"&gt;="&amp;U$4,台帳!$A$2:$A$2000,"&lt;"&amp;(U$4+7))</f>
        <v>0</v>
      </c>
      <c r="V8" s="66">
        <f>SUMIFS(台帳!$I$2:$I$2000,台帳!$E$2:$E$2000,$A8,台帳!$A$2:$A$2000,"&gt;="&amp;V$4,台帳!$A$2:$A$2000,"&lt;"&amp;(V$4+7))</f>
        <v>0</v>
      </c>
      <c r="W8" s="60">
        <f>SUM(C8:V8)</f>
        <v>7</v>
      </c>
    </row>
    <row r="9" spans="1:23" ht="17.25" x14ac:dyDescent="0.35">
      <c r="A9" s="62" t="s">
        <v>372</v>
      </c>
      <c r="B9" s="45" t="s">
        <v>116</v>
      </c>
      <c r="C9" s="46">
        <f>SUMIFS(台帳!$I$2:$I$2000,台帳!$F$2:$F$2000,$B9,台帳!$A$2:$A$2000,"&gt;="&amp;C$4,台帳!$A$2:$A$2000,"&lt;"&amp;(C$4+7))</f>
        <v>7</v>
      </c>
      <c r="D9" s="46">
        <f>SUMIFS(台帳!$I$2:$I$2000,台帳!$F$2:$F$2000,$B9,台帳!$A$2:$A$2000,"&gt;="&amp;D$4,台帳!$A$2:$A$2000,"&lt;"&amp;(D$4+7))</f>
        <v>0</v>
      </c>
      <c r="E9" s="46">
        <f>SUMIFS(台帳!$I$2:$I$2000,台帳!$F$2:$F$2000,$B9,台帳!$A$2:$A$2000,"&gt;="&amp;E$4,台帳!$A$2:$A$2000,"&lt;"&amp;(E$4+7))</f>
        <v>0</v>
      </c>
      <c r="F9" s="46">
        <f>SUMIFS(台帳!$I$2:$I$2000,台帳!$F$2:$F$2000,$B9,台帳!$A$2:$A$2000,"&gt;="&amp;F$4,台帳!$A$2:$A$2000,"&lt;"&amp;(F$4+7))</f>
        <v>0</v>
      </c>
      <c r="G9" s="46">
        <f>SUMIFS(台帳!$I$2:$I$2000,台帳!$F$2:$F$2000,$B9,台帳!$A$2:$A$2000,"&gt;="&amp;G$4,台帳!$A$2:$A$2000,"&lt;"&amp;(G$4+7))</f>
        <v>0</v>
      </c>
      <c r="H9" s="46">
        <f>SUMIFS(台帳!$I$2:$I$2000,台帳!$F$2:$F$2000,$B9,台帳!$A$2:$A$2000,"&gt;="&amp;H$4,台帳!$A$2:$A$2000,"&lt;"&amp;(H$4+7))</f>
        <v>0</v>
      </c>
      <c r="I9" s="46">
        <f>SUMIFS(台帳!$I$2:$I$2000,台帳!$F$2:$F$2000,$B9,台帳!$A$2:$A$2000,"&gt;="&amp;I$4,台帳!$A$2:$A$2000,"&lt;"&amp;(I$4+7))</f>
        <v>0</v>
      </c>
      <c r="J9" s="46">
        <f>SUMIFS(台帳!$I$2:$I$2000,台帳!$F$2:$F$2000,$B9,台帳!$A$2:$A$2000,"&gt;="&amp;J$4,台帳!$A$2:$A$2000,"&lt;"&amp;(J$4+7))</f>
        <v>0</v>
      </c>
      <c r="K9" s="46">
        <f>SUMIFS(台帳!$I$2:$I$2000,台帳!$F$2:$F$2000,$B9,台帳!$A$2:$A$2000,"&gt;="&amp;K$4,台帳!$A$2:$A$2000,"&lt;"&amp;(K$4+7))</f>
        <v>0</v>
      </c>
      <c r="L9" s="46">
        <f>SUMIFS(台帳!$I$2:$I$2000,台帳!$F$2:$F$2000,$B9,台帳!$A$2:$A$2000,"&gt;="&amp;L$4,台帳!$A$2:$A$2000,"&lt;"&amp;(L$4+7))</f>
        <v>0</v>
      </c>
      <c r="M9" s="46">
        <f>SUMIFS(台帳!$I$2:$I$2000,台帳!$F$2:$F$2000,$B9,台帳!$A$2:$A$2000,"&gt;="&amp;M$4,台帳!$A$2:$A$2000,"&lt;"&amp;(M$4+7))</f>
        <v>0</v>
      </c>
      <c r="N9" s="46">
        <f>SUMIFS(台帳!$I$2:$I$2000,台帳!$F$2:$F$2000,$B9,台帳!$A$2:$A$2000,"&gt;="&amp;N$4,台帳!$A$2:$A$2000,"&lt;"&amp;(N$4+7))</f>
        <v>0</v>
      </c>
      <c r="O9" s="46">
        <f>SUMIFS(台帳!$I$2:$I$2000,台帳!$F$2:$F$2000,$B9,台帳!$A$2:$A$2000,"&gt;="&amp;O$4,台帳!$A$2:$A$2000,"&lt;"&amp;(O$4+7))</f>
        <v>0</v>
      </c>
      <c r="P9" s="46">
        <f>SUMIFS(台帳!$I$2:$I$2000,台帳!$F$2:$F$2000,$B9,台帳!$A$2:$A$2000,"&gt;="&amp;P$4,台帳!$A$2:$A$2000,"&lt;"&amp;(P$4+7))</f>
        <v>0</v>
      </c>
      <c r="Q9" s="46">
        <f>SUMIFS(台帳!$I$2:$I$2000,台帳!$F$2:$F$2000,$B9,台帳!$A$2:$A$2000,"&gt;="&amp;Q$4,台帳!$A$2:$A$2000,"&lt;"&amp;(Q$4+7))</f>
        <v>0</v>
      </c>
      <c r="R9" s="46">
        <f>SUMIFS(台帳!$I$2:$I$2000,台帳!$F$2:$F$2000,$B9,台帳!$A$2:$A$2000,"&gt;="&amp;R$4,台帳!$A$2:$A$2000,"&lt;"&amp;(R$4+7))</f>
        <v>0</v>
      </c>
      <c r="S9" s="46">
        <f>SUMIFS(台帳!$I$2:$I$2000,台帳!$F$2:$F$2000,$B9,台帳!$A$2:$A$2000,"&gt;="&amp;S$4,台帳!$A$2:$A$2000,"&lt;"&amp;(S$4+7))</f>
        <v>0</v>
      </c>
      <c r="T9" s="46">
        <f>SUMIFS(台帳!$I$2:$I$2000,台帳!$F$2:$F$2000,$B9,台帳!$A$2:$A$2000,"&gt;="&amp;T$4,台帳!$A$2:$A$2000,"&lt;"&amp;(T$4+7))</f>
        <v>0</v>
      </c>
      <c r="U9" s="46">
        <f>SUMIFS(台帳!$I$2:$I$2000,台帳!$F$2:$F$2000,$B9,台帳!$A$2:$A$2000,"&gt;="&amp;U$4,台帳!$A$2:$A$2000,"&lt;"&amp;(U$4+7))</f>
        <v>0</v>
      </c>
      <c r="V9" s="46">
        <f>SUMIFS(台帳!$I$2:$I$2000,台帳!$F$2:$F$2000,$B9,台帳!$A$2:$A$2000,"&gt;="&amp;V$4,台帳!$A$2:$A$2000,"&lt;"&amp;(V$4+7))</f>
        <v>0</v>
      </c>
      <c r="W9" s="45">
        <f>SUM(C9:V9)</f>
        <v>7</v>
      </c>
    </row>
    <row r="10" spans="1:23" ht="17.25" x14ac:dyDescent="0.35">
      <c r="A10" s="62" t="s">
        <v>372</v>
      </c>
      <c r="B10" s="45" t="s">
        <v>122</v>
      </c>
      <c r="C10" s="46">
        <f>SUMIFS(台帳!$I$2:$I$2000,台帳!$F$2:$F$2000,$B10,台帳!$A$2:$A$2000,"&gt;="&amp;C$4,台帳!$A$2:$A$2000,"&lt;"&amp;(C$4+7))</f>
        <v>0</v>
      </c>
      <c r="D10" s="46">
        <f>SUMIFS(台帳!$I$2:$I$2000,台帳!$F$2:$F$2000,$B10,台帳!$A$2:$A$2000,"&gt;="&amp;D$4,台帳!$A$2:$A$2000,"&lt;"&amp;(D$4+7))</f>
        <v>0</v>
      </c>
      <c r="E10" s="46">
        <f>SUMIFS(台帳!$I$2:$I$2000,台帳!$F$2:$F$2000,$B10,台帳!$A$2:$A$2000,"&gt;="&amp;E$4,台帳!$A$2:$A$2000,"&lt;"&amp;(E$4+7))</f>
        <v>0</v>
      </c>
      <c r="F10" s="46">
        <f>SUMIFS(台帳!$I$2:$I$2000,台帳!$F$2:$F$2000,$B10,台帳!$A$2:$A$2000,"&gt;="&amp;F$4,台帳!$A$2:$A$2000,"&lt;"&amp;(F$4+7))</f>
        <v>0</v>
      </c>
      <c r="G10" s="46">
        <f>SUMIFS(台帳!$I$2:$I$2000,台帳!$F$2:$F$2000,$B10,台帳!$A$2:$A$2000,"&gt;="&amp;G$4,台帳!$A$2:$A$2000,"&lt;"&amp;(G$4+7))</f>
        <v>0</v>
      </c>
      <c r="H10" s="46">
        <f>SUMIFS(台帳!$I$2:$I$2000,台帳!$F$2:$F$2000,$B10,台帳!$A$2:$A$2000,"&gt;="&amp;H$4,台帳!$A$2:$A$2000,"&lt;"&amp;(H$4+7))</f>
        <v>0</v>
      </c>
      <c r="I10" s="46">
        <f>SUMIFS(台帳!$I$2:$I$2000,台帳!$F$2:$F$2000,$B10,台帳!$A$2:$A$2000,"&gt;="&amp;I$4,台帳!$A$2:$A$2000,"&lt;"&amp;(I$4+7))</f>
        <v>0</v>
      </c>
      <c r="J10" s="46">
        <f>SUMIFS(台帳!$I$2:$I$2000,台帳!$F$2:$F$2000,$B10,台帳!$A$2:$A$2000,"&gt;="&amp;J$4,台帳!$A$2:$A$2000,"&lt;"&amp;(J$4+7))</f>
        <v>0</v>
      </c>
      <c r="K10" s="46">
        <f>SUMIFS(台帳!$I$2:$I$2000,台帳!$F$2:$F$2000,$B10,台帳!$A$2:$A$2000,"&gt;="&amp;K$4,台帳!$A$2:$A$2000,"&lt;"&amp;(K$4+7))</f>
        <v>0</v>
      </c>
      <c r="L10" s="46">
        <f>SUMIFS(台帳!$I$2:$I$2000,台帳!$F$2:$F$2000,$B10,台帳!$A$2:$A$2000,"&gt;="&amp;L$4,台帳!$A$2:$A$2000,"&lt;"&amp;(L$4+7))</f>
        <v>0</v>
      </c>
      <c r="M10" s="46">
        <f>SUMIFS(台帳!$I$2:$I$2000,台帳!$F$2:$F$2000,$B10,台帳!$A$2:$A$2000,"&gt;="&amp;M$4,台帳!$A$2:$A$2000,"&lt;"&amp;(M$4+7))</f>
        <v>0</v>
      </c>
      <c r="N10" s="46">
        <f>SUMIFS(台帳!$I$2:$I$2000,台帳!$F$2:$F$2000,$B10,台帳!$A$2:$A$2000,"&gt;="&amp;N$4,台帳!$A$2:$A$2000,"&lt;"&amp;(N$4+7))</f>
        <v>0</v>
      </c>
      <c r="O10" s="46">
        <f>SUMIFS(台帳!$I$2:$I$2000,台帳!$F$2:$F$2000,$B10,台帳!$A$2:$A$2000,"&gt;="&amp;O$4,台帳!$A$2:$A$2000,"&lt;"&amp;(O$4+7))</f>
        <v>0</v>
      </c>
      <c r="P10" s="46">
        <f>SUMIFS(台帳!$I$2:$I$2000,台帳!$F$2:$F$2000,$B10,台帳!$A$2:$A$2000,"&gt;="&amp;P$4,台帳!$A$2:$A$2000,"&lt;"&amp;(P$4+7))</f>
        <v>0</v>
      </c>
      <c r="Q10" s="46">
        <f>SUMIFS(台帳!$I$2:$I$2000,台帳!$F$2:$F$2000,$B10,台帳!$A$2:$A$2000,"&gt;="&amp;Q$4,台帳!$A$2:$A$2000,"&lt;"&amp;(Q$4+7))</f>
        <v>0</v>
      </c>
      <c r="R10" s="46">
        <f>SUMIFS(台帳!$I$2:$I$2000,台帳!$F$2:$F$2000,$B10,台帳!$A$2:$A$2000,"&gt;="&amp;R$4,台帳!$A$2:$A$2000,"&lt;"&amp;(R$4+7))</f>
        <v>0</v>
      </c>
      <c r="S10" s="46">
        <f>SUMIFS(台帳!$I$2:$I$2000,台帳!$F$2:$F$2000,$B10,台帳!$A$2:$A$2000,"&gt;="&amp;S$4,台帳!$A$2:$A$2000,"&lt;"&amp;(S$4+7))</f>
        <v>0</v>
      </c>
      <c r="T10" s="46">
        <f>SUMIFS(台帳!$I$2:$I$2000,台帳!$F$2:$F$2000,$B10,台帳!$A$2:$A$2000,"&gt;="&amp;T$4,台帳!$A$2:$A$2000,"&lt;"&amp;(T$4+7))</f>
        <v>0</v>
      </c>
      <c r="U10" s="46">
        <f>SUMIFS(台帳!$I$2:$I$2000,台帳!$F$2:$F$2000,$B10,台帳!$A$2:$A$2000,"&gt;="&amp;U$4,台帳!$A$2:$A$2000,"&lt;"&amp;(U$4+7))</f>
        <v>0</v>
      </c>
      <c r="V10" s="46">
        <f>SUMIFS(台帳!$I$2:$I$2000,台帳!$F$2:$F$2000,$B10,台帳!$A$2:$A$2000,"&gt;="&amp;V$4,台帳!$A$2:$A$2000,"&lt;"&amp;(V$4+7))</f>
        <v>0</v>
      </c>
      <c r="W10" s="45">
        <f>SUM(C10:V10)</f>
        <v>0</v>
      </c>
    </row>
    <row r="11" spans="1:23" ht="17.25" x14ac:dyDescent="0.35">
      <c r="A11" s="65" t="s">
        <v>375</v>
      </c>
      <c r="B11" s="65" t="s">
        <v>517</v>
      </c>
      <c r="C11" s="66">
        <f>SUMIFS(台帳!$I$2:$I$2000,台帳!$E$2:$E$2000,$A11,台帳!$A$2:$A$2000,"&gt;="&amp;C$4,台帳!$A$2:$A$2000,"&lt;"&amp;(C$4+7))</f>
        <v>0</v>
      </c>
      <c r="D11" s="66">
        <f>SUMIFS(台帳!$I$2:$I$2000,台帳!$E$2:$E$2000,$A11,台帳!$A$2:$A$2000,"&gt;="&amp;D$4,台帳!$A$2:$A$2000,"&lt;"&amp;(D$4+7))</f>
        <v>0</v>
      </c>
      <c r="E11" s="66">
        <f>SUMIFS(台帳!$I$2:$I$2000,台帳!$E$2:$E$2000,$A11,台帳!$A$2:$A$2000,"&gt;="&amp;E$4,台帳!$A$2:$A$2000,"&lt;"&amp;(E$4+7))</f>
        <v>0</v>
      </c>
      <c r="F11" s="66">
        <f>SUMIFS(台帳!$I$2:$I$2000,台帳!$E$2:$E$2000,$A11,台帳!$A$2:$A$2000,"&gt;="&amp;F$4,台帳!$A$2:$A$2000,"&lt;"&amp;(F$4+7))</f>
        <v>0</v>
      </c>
      <c r="G11" s="66">
        <f>SUMIFS(台帳!$I$2:$I$2000,台帳!$E$2:$E$2000,$A11,台帳!$A$2:$A$2000,"&gt;="&amp;G$4,台帳!$A$2:$A$2000,"&lt;"&amp;(G$4+7))</f>
        <v>6</v>
      </c>
      <c r="H11" s="66">
        <f>SUMIFS(台帳!$I$2:$I$2000,台帳!$E$2:$E$2000,$A11,台帳!$A$2:$A$2000,"&gt;="&amp;H$4,台帳!$A$2:$A$2000,"&lt;"&amp;(H$4+7))</f>
        <v>0</v>
      </c>
      <c r="I11" s="66">
        <f>SUMIFS(台帳!$I$2:$I$2000,台帳!$E$2:$E$2000,$A11,台帳!$A$2:$A$2000,"&gt;="&amp;I$4,台帳!$A$2:$A$2000,"&lt;"&amp;(I$4+7))</f>
        <v>0</v>
      </c>
      <c r="J11" s="66">
        <f>SUMIFS(台帳!$I$2:$I$2000,台帳!$E$2:$E$2000,$A11,台帳!$A$2:$A$2000,"&gt;="&amp;J$4,台帳!$A$2:$A$2000,"&lt;"&amp;(J$4+7))</f>
        <v>0</v>
      </c>
      <c r="K11" s="66">
        <f>SUMIFS(台帳!$I$2:$I$2000,台帳!$E$2:$E$2000,$A11,台帳!$A$2:$A$2000,"&gt;="&amp;K$4,台帳!$A$2:$A$2000,"&lt;"&amp;(K$4+7))</f>
        <v>0</v>
      </c>
      <c r="L11" s="66">
        <f>SUMIFS(台帳!$I$2:$I$2000,台帳!$E$2:$E$2000,$A11,台帳!$A$2:$A$2000,"&gt;="&amp;L$4,台帳!$A$2:$A$2000,"&lt;"&amp;(L$4+7))</f>
        <v>0</v>
      </c>
      <c r="M11" s="66">
        <f>SUMIFS(台帳!$I$2:$I$2000,台帳!$E$2:$E$2000,$A11,台帳!$A$2:$A$2000,"&gt;="&amp;M$4,台帳!$A$2:$A$2000,"&lt;"&amp;(M$4+7))</f>
        <v>0</v>
      </c>
      <c r="N11" s="66">
        <f>SUMIFS(台帳!$I$2:$I$2000,台帳!$E$2:$E$2000,$A11,台帳!$A$2:$A$2000,"&gt;="&amp;N$4,台帳!$A$2:$A$2000,"&lt;"&amp;(N$4+7))</f>
        <v>0</v>
      </c>
      <c r="O11" s="66">
        <f>SUMIFS(台帳!$I$2:$I$2000,台帳!$E$2:$E$2000,$A11,台帳!$A$2:$A$2000,"&gt;="&amp;O$4,台帳!$A$2:$A$2000,"&lt;"&amp;(O$4+7))</f>
        <v>0</v>
      </c>
      <c r="P11" s="66">
        <f>SUMIFS(台帳!$I$2:$I$2000,台帳!$E$2:$E$2000,$A11,台帳!$A$2:$A$2000,"&gt;="&amp;P$4,台帳!$A$2:$A$2000,"&lt;"&amp;(P$4+7))</f>
        <v>0</v>
      </c>
      <c r="Q11" s="66">
        <f>SUMIFS(台帳!$I$2:$I$2000,台帳!$E$2:$E$2000,$A11,台帳!$A$2:$A$2000,"&gt;="&amp;Q$4,台帳!$A$2:$A$2000,"&lt;"&amp;(Q$4+7))</f>
        <v>0</v>
      </c>
      <c r="R11" s="66">
        <f>SUMIFS(台帳!$I$2:$I$2000,台帳!$E$2:$E$2000,$A11,台帳!$A$2:$A$2000,"&gt;="&amp;R$4,台帳!$A$2:$A$2000,"&lt;"&amp;(R$4+7))</f>
        <v>0</v>
      </c>
      <c r="S11" s="66">
        <f>SUMIFS(台帳!$I$2:$I$2000,台帳!$E$2:$E$2000,$A11,台帳!$A$2:$A$2000,"&gt;="&amp;S$4,台帳!$A$2:$A$2000,"&lt;"&amp;(S$4+7))</f>
        <v>0</v>
      </c>
      <c r="T11" s="66">
        <f>SUMIFS(台帳!$I$2:$I$2000,台帳!$E$2:$E$2000,$A11,台帳!$A$2:$A$2000,"&gt;="&amp;T$4,台帳!$A$2:$A$2000,"&lt;"&amp;(T$4+7))</f>
        <v>0</v>
      </c>
      <c r="U11" s="66">
        <f>SUMIFS(台帳!$I$2:$I$2000,台帳!$E$2:$E$2000,$A11,台帳!$A$2:$A$2000,"&gt;="&amp;U$4,台帳!$A$2:$A$2000,"&lt;"&amp;(U$4+7))</f>
        <v>0</v>
      </c>
      <c r="V11" s="66">
        <f>SUMIFS(台帳!$I$2:$I$2000,台帳!$E$2:$E$2000,$A11,台帳!$A$2:$A$2000,"&gt;="&amp;V$4,台帳!$A$2:$A$2000,"&lt;"&amp;(V$4+7))</f>
        <v>0</v>
      </c>
      <c r="W11" s="60">
        <f>SUM(C11:V11)</f>
        <v>6</v>
      </c>
    </row>
    <row r="12" spans="1:23" ht="17.25" x14ac:dyDescent="0.35">
      <c r="A12" s="62" t="s">
        <v>375</v>
      </c>
      <c r="B12" s="45" t="s">
        <v>135</v>
      </c>
      <c r="C12" s="46">
        <f>SUMIFS(台帳!$I$2:$I$2000,台帳!$F$2:$F$2000,$B12,台帳!$A$2:$A$2000,"&gt;="&amp;C$4,台帳!$A$2:$A$2000,"&lt;"&amp;(C$4+7))</f>
        <v>0</v>
      </c>
      <c r="D12" s="46">
        <f>SUMIFS(台帳!$I$2:$I$2000,台帳!$F$2:$F$2000,$B12,台帳!$A$2:$A$2000,"&gt;="&amp;D$4,台帳!$A$2:$A$2000,"&lt;"&amp;(D$4+7))</f>
        <v>0</v>
      </c>
      <c r="E12" s="46">
        <f>SUMIFS(台帳!$I$2:$I$2000,台帳!$F$2:$F$2000,$B12,台帳!$A$2:$A$2000,"&gt;="&amp;E$4,台帳!$A$2:$A$2000,"&lt;"&amp;(E$4+7))</f>
        <v>0</v>
      </c>
      <c r="F12" s="46">
        <f>SUMIFS(台帳!$I$2:$I$2000,台帳!$F$2:$F$2000,$B12,台帳!$A$2:$A$2000,"&gt;="&amp;F$4,台帳!$A$2:$A$2000,"&lt;"&amp;(F$4+7))</f>
        <v>0</v>
      </c>
      <c r="G12" s="46">
        <f>SUMIFS(台帳!$I$2:$I$2000,台帳!$F$2:$F$2000,$B12,台帳!$A$2:$A$2000,"&gt;="&amp;G$4,台帳!$A$2:$A$2000,"&lt;"&amp;(G$4+7))</f>
        <v>6</v>
      </c>
      <c r="H12" s="46">
        <f>SUMIFS(台帳!$I$2:$I$2000,台帳!$F$2:$F$2000,$B12,台帳!$A$2:$A$2000,"&gt;="&amp;H$4,台帳!$A$2:$A$2000,"&lt;"&amp;(H$4+7))</f>
        <v>0</v>
      </c>
      <c r="I12" s="46">
        <f>SUMIFS(台帳!$I$2:$I$2000,台帳!$F$2:$F$2000,$B12,台帳!$A$2:$A$2000,"&gt;="&amp;I$4,台帳!$A$2:$A$2000,"&lt;"&amp;(I$4+7))</f>
        <v>0</v>
      </c>
      <c r="J12" s="46">
        <f>SUMIFS(台帳!$I$2:$I$2000,台帳!$F$2:$F$2000,$B12,台帳!$A$2:$A$2000,"&gt;="&amp;J$4,台帳!$A$2:$A$2000,"&lt;"&amp;(J$4+7))</f>
        <v>0</v>
      </c>
      <c r="K12" s="46">
        <f>SUMIFS(台帳!$I$2:$I$2000,台帳!$F$2:$F$2000,$B12,台帳!$A$2:$A$2000,"&gt;="&amp;K$4,台帳!$A$2:$A$2000,"&lt;"&amp;(K$4+7))</f>
        <v>0</v>
      </c>
      <c r="L12" s="46">
        <f>SUMIFS(台帳!$I$2:$I$2000,台帳!$F$2:$F$2000,$B12,台帳!$A$2:$A$2000,"&gt;="&amp;L$4,台帳!$A$2:$A$2000,"&lt;"&amp;(L$4+7))</f>
        <v>0</v>
      </c>
      <c r="M12" s="46">
        <f>SUMIFS(台帳!$I$2:$I$2000,台帳!$F$2:$F$2000,$B12,台帳!$A$2:$A$2000,"&gt;="&amp;M$4,台帳!$A$2:$A$2000,"&lt;"&amp;(M$4+7))</f>
        <v>0</v>
      </c>
      <c r="N12" s="46">
        <f>SUMIFS(台帳!$I$2:$I$2000,台帳!$F$2:$F$2000,$B12,台帳!$A$2:$A$2000,"&gt;="&amp;N$4,台帳!$A$2:$A$2000,"&lt;"&amp;(N$4+7))</f>
        <v>0</v>
      </c>
      <c r="O12" s="46">
        <f>SUMIFS(台帳!$I$2:$I$2000,台帳!$F$2:$F$2000,$B12,台帳!$A$2:$A$2000,"&gt;="&amp;O$4,台帳!$A$2:$A$2000,"&lt;"&amp;(O$4+7))</f>
        <v>0</v>
      </c>
      <c r="P12" s="46">
        <f>SUMIFS(台帳!$I$2:$I$2000,台帳!$F$2:$F$2000,$B12,台帳!$A$2:$A$2000,"&gt;="&amp;P$4,台帳!$A$2:$A$2000,"&lt;"&amp;(P$4+7))</f>
        <v>0</v>
      </c>
      <c r="Q12" s="46">
        <f>SUMIFS(台帳!$I$2:$I$2000,台帳!$F$2:$F$2000,$B12,台帳!$A$2:$A$2000,"&gt;="&amp;Q$4,台帳!$A$2:$A$2000,"&lt;"&amp;(Q$4+7))</f>
        <v>0</v>
      </c>
      <c r="R12" s="46">
        <f>SUMIFS(台帳!$I$2:$I$2000,台帳!$F$2:$F$2000,$B12,台帳!$A$2:$A$2000,"&gt;="&amp;R$4,台帳!$A$2:$A$2000,"&lt;"&amp;(R$4+7))</f>
        <v>0</v>
      </c>
      <c r="S12" s="46">
        <f>SUMIFS(台帳!$I$2:$I$2000,台帳!$F$2:$F$2000,$B12,台帳!$A$2:$A$2000,"&gt;="&amp;S$4,台帳!$A$2:$A$2000,"&lt;"&amp;(S$4+7))</f>
        <v>0</v>
      </c>
      <c r="T12" s="46">
        <f>SUMIFS(台帳!$I$2:$I$2000,台帳!$F$2:$F$2000,$B12,台帳!$A$2:$A$2000,"&gt;="&amp;T$4,台帳!$A$2:$A$2000,"&lt;"&amp;(T$4+7))</f>
        <v>0</v>
      </c>
      <c r="U12" s="46">
        <f>SUMIFS(台帳!$I$2:$I$2000,台帳!$F$2:$F$2000,$B12,台帳!$A$2:$A$2000,"&gt;="&amp;U$4,台帳!$A$2:$A$2000,"&lt;"&amp;(U$4+7))</f>
        <v>0</v>
      </c>
      <c r="V12" s="46">
        <f>SUMIFS(台帳!$I$2:$I$2000,台帳!$F$2:$F$2000,$B12,台帳!$A$2:$A$2000,"&gt;="&amp;V$4,台帳!$A$2:$A$2000,"&lt;"&amp;(V$4+7))</f>
        <v>0</v>
      </c>
      <c r="W12" s="45">
        <f>SUM(C12:V12)</f>
        <v>6</v>
      </c>
    </row>
    <row r="13" spans="1:23" ht="17.25" x14ac:dyDescent="0.35">
      <c r="A13" s="65" t="s">
        <v>377</v>
      </c>
      <c r="B13" s="65" t="s">
        <v>517</v>
      </c>
      <c r="C13" s="66">
        <f>SUMIFS(台帳!$I$2:$I$2000,台帳!$E$2:$E$2000,$A13,台帳!$A$2:$A$2000,"&gt;="&amp;C$4,台帳!$A$2:$A$2000,"&lt;"&amp;(C$4+7))</f>
        <v>0</v>
      </c>
      <c r="D13" s="66">
        <f>SUMIFS(台帳!$I$2:$I$2000,台帳!$E$2:$E$2000,$A13,台帳!$A$2:$A$2000,"&gt;="&amp;D$4,台帳!$A$2:$A$2000,"&lt;"&amp;(D$4+7))</f>
        <v>0</v>
      </c>
      <c r="E13" s="66">
        <f>SUMIFS(台帳!$I$2:$I$2000,台帳!$E$2:$E$2000,$A13,台帳!$A$2:$A$2000,"&gt;="&amp;E$4,台帳!$A$2:$A$2000,"&lt;"&amp;(E$4+7))</f>
        <v>0</v>
      </c>
      <c r="F13" s="66">
        <f>SUMIFS(台帳!$I$2:$I$2000,台帳!$E$2:$E$2000,$A13,台帳!$A$2:$A$2000,"&gt;="&amp;F$4,台帳!$A$2:$A$2000,"&lt;"&amp;(F$4+7))</f>
        <v>0</v>
      </c>
      <c r="G13" s="66">
        <f>SUMIFS(台帳!$I$2:$I$2000,台帳!$E$2:$E$2000,$A13,台帳!$A$2:$A$2000,"&gt;="&amp;G$4,台帳!$A$2:$A$2000,"&lt;"&amp;(G$4+7))</f>
        <v>0</v>
      </c>
      <c r="H13" s="66">
        <f>SUMIFS(台帳!$I$2:$I$2000,台帳!$E$2:$E$2000,$A13,台帳!$A$2:$A$2000,"&gt;="&amp;H$4,台帳!$A$2:$A$2000,"&lt;"&amp;(H$4+7))</f>
        <v>0</v>
      </c>
      <c r="I13" s="66">
        <f>SUMIFS(台帳!$I$2:$I$2000,台帳!$E$2:$E$2000,$A13,台帳!$A$2:$A$2000,"&gt;="&amp;I$4,台帳!$A$2:$A$2000,"&lt;"&amp;(I$4+7))</f>
        <v>0</v>
      </c>
      <c r="J13" s="66">
        <f>SUMIFS(台帳!$I$2:$I$2000,台帳!$E$2:$E$2000,$A13,台帳!$A$2:$A$2000,"&gt;="&amp;J$4,台帳!$A$2:$A$2000,"&lt;"&amp;(J$4+7))</f>
        <v>8</v>
      </c>
      <c r="K13" s="66">
        <f>SUMIFS(台帳!$I$2:$I$2000,台帳!$E$2:$E$2000,$A13,台帳!$A$2:$A$2000,"&gt;="&amp;K$4,台帳!$A$2:$A$2000,"&lt;"&amp;(K$4+7))</f>
        <v>16</v>
      </c>
      <c r="L13" s="66">
        <f>SUMIFS(台帳!$I$2:$I$2000,台帳!$E$2:$E$2000,$A13,台帳!$A$2:$A$2000,"&gt;="&amp;L$4,台帳!$A$2:$A$2000,"&lt;"&amp;(L$4+7))</f>
        <v>6</v>
      </c>
      <c r="M13" s="66">
        <f>SUMIFS(台帳!$I$2:$I$2000,台帳!$E$2:$E$2000,$A13,台帳!$A$2:$A$2000,"&gt;="&amp;M$4,台帳!$A$2:$A$2000,"&lt;"&amp;(M$4+7))</f>
        <v>0</v>
      </c>
      <c r="N13" s="66">
        <f>SUMIFS(台帳!$I$2:$I$2000,台帳!$E$2:$E$2000,$A13,台帳!$A$2:$A$2000,"&gt;="&amp;N$4,台帳!$A$2:$A$2000,"&lt;"&amp;(N$4+7))</f>
        <v>0</v>
      </c>
      <c r="O13" s="66">
        <f>SUMIFS(台帳!$I$2:$I$2000,台帳!$E$2:$E$2000,$A13,台帳!$A$2:$A$2000,"&gt;="&amp;O$4,台帳!$A$2:$A$2000,"&lt;"&amp;(O$4+7))</f>
        <v>0</v>
      </c>
      <c r="P13" s="66">
        <f>SUMIFS(台帳!$I$2:$I$2000,台帳!$E$2:$E$2000,$A13,台帳!$A$2:$A$2000,"&gt;="&amp;P$4,台帳!$A$2:$A$2000,"&lt;"&amp;(P$4+7))</f>
        <v>0</v>
      </c>
      <c r="Q13" s="66">
        <f>SUMIFS(台帳!$I$2:$I$2000,台帳!$E$2:$E$2000,$A13,台帳!$A$2:$A$2000,"&gt;="&amp;Q$4,台帳!$A$2:$A$2000,"&lt;"&amp;(Q$4+7))</f>
        <v>0</v>
      </c>
      <c r="R13" s="66">
        <f>SUMIFS(台帳!$I$2:$I$2000,台帳!$E$2:$E$2000,$A13,台帳!$A$2:$A$2000,"&gt;="&amp;R$4,台帳!$A$2:$A$2000,"&lt;"&amp;(R$4+7))</f>
        <v>0</v>
      </c>
      <c r="S13" s="66">
        <f>SUMIFS(台帳!$I$2:$I$2000,台帳!$E$2:$E$2000,$A13,台帳!$A$2:$A$2000,"&gt;="&amp;S$4,台帳!$A$2:$A$2000,"&lt;"&amp;(S$4+7))</f>
        <v>0</v>
      </c>
      <c r="T13" s="66">
        <f>SUMIFS(台帳!$I$2:$I$2000,台帳!$E$2:$E$2000,$A13,台帳!$A$2:$A$2000,"&gt;="&amp;T$4,台帳!$A$2:$A$2000,"&lt;"&amp;(T$4+7))</f>
        <v>0</v>
      </c>
      <c r="U13" s="66">
        <f>SUMIFS(台帳!$I$2:$I$2000,台帳!$E$2:$E$2000,$A13,台帳!$A$2:$A$2000,"&gt;="&amp;U$4,台帳!$A$2:$A$2000,"&lt;"&amp;(U$4+7))</f>
        <v>0</v>
      </c>
      <c r="V13" s="66">
        <f>SUMIFS(台帳!$I$2:$I$2000,台帳!$E$2:$E$2000,$A13,台帳!$A$2:$A$2000,"&gt;="&amp;V$4,台帳!$A$2:$A$2000,"&lt;"&amp;(V$4+7))</f>
        <v>0</v>
      </c>
      <c r="W13" s="60">
        <f>SUM(C13:V13)</f>
        <v>30</v>
      </c>
    </row>
    <row r="14" spans="1:23" ht="17.25" x14ac:dyDescent="0.35">
      <c r="A14" s="62" t="s">
        <v>377</v>
      </c>
      <c r="B14" s="45" t="s">
        <v>139</v>
      </c>
      <c r="C14" s="46">
        <f>SUMIFS(台帳!$I$2:$I$2000,台帳!$F$2:$F$2000,$B14,台帳!$A$2:$A$2000,"&gt;="&amp;C$4,台帳!$A$2:$A$2000,"&lt;"&amp;(C$4+7))</f>
        <v>0</v>
      </c>
      <c r="D14" s="46">
        <f>SUMIFS(台帳!$I$2:$I$2000,台帳!$F$2:$F$2000,$B14,台帳!$A$2:$A$2000,"&gt;="&amp;D$4,台帳!$A$2:$A$2000,"&lt;"&amp;(D$4+7))</f>
        <v>0</v>
      </c>
      <c r="E14" s="46">
        <f>SUMIFS(台帳!$I$2:$I$2000,台帳!$F$2:$F$2000,$B14,台帳!$A$2:$A$2000,"&gt;="&amp;E$4,台帳!$A$2:$A$2000,"&lt;"&amp;(E$4+7))</f>
        <v>0</v>
      </c>
      <c r="F14" s="46">
        <f>SUMIFS(台帳!$I$2:$I$2000,台帳!$F$2:$F$2000,$B14,台帳!$A$2:$A$2000,"&gt;="&amp;F$4,台帳!$A$2:$A$2000,"&lt;"&amp;(F$4+7))</f>
        <v>0</v>
      </c>
      <c r="G14" s="46">
        <f>SUMIFS(台帳!$I$2:$I$2000,台帳!$F$2:$F$2000,$B14,台帳!$A$2:$A$2000,"&gt;="&amp;G$4,台帳!$A$2:$A$2000,"&lt;"&amp;(G$4+7))</f>
        <v>0</v>
      </c>
      <c r="H14" s="46">
        <f>SUMIFS(台帳!$I$2:$I$2000,台帳!$F$2:$F$2000,$B14,台帳!$A$2:$A$2000,"&gt;="&amp;H$4,台帳!$A$2:$A$2000,"&lt;"&amp;(H$4+7))</f>
        <v>0</v>
      </c>
      <c r="I14" s="46">
        <f>SUMIFS(台帳!$I$2:$I$2000,台帳!$F$2:$F$2000,$B14,台帳!$A$2:$A$2000,"&gt;="&amp;I$4,台帳!$A$2:$A$2000,"&lt;"&amp;(I$4+7))</f>
        <v>0</v>
      </c>
      <c r="J14" s="46">
        <f>SUMIFS(台帳!$I$2:$I$2000,台帳!$F$2:$F$2000,$B14,台帳!$A$2:$A$2000,"&gt;="&amp;J$4,台帳!$A$2:$A$2000,"&lt;"&amp;(J$4+7))</f>
        <v>8</v>
      </c>
      <c r="K14" s="46">
        <f>SUMIFS(台帳!$I$2:$I$2000,台帳!$F$2:$F$2000,$B14,台帳!$A$2:$A$2000,"&gt;="&amp;K$4,台帳!$A$2:$A$2000,"&lt;"&amp;(K$4+7))</f>
        <v>16</v>
      </c>
      <c r="L14" s="46">
        <f>SUMIFS(台帳!$I$2:$I$2000,台帳!$F$2:$F$2000,$B14,台帳!$A$2:$A$2000,"&gt;="&amp;L$4,台帳!$A$2:$A$2000,"&lt;"&amp;(L$4+7))</f>
        <v>6</v>
      </c>
      <c r="M14" s="46">
        <f>SUMIFS(台帳!$I$2:$I$2000,台帳!$F$2:$F$2000,$B14,台帳!$A$2:$A$2000,"&gt;="&amp;M$4,台帳!$A$2:$A$2000,"&lt;"&amp;(M$4+7))</f>
        <v>0</v>
      </c>
      <c r="N14" s="46">
        <f>SUMIFS(台帳!$I$2:$I$2000,台帳!$F$2:$F$2000,$B14,台帳!$A$2:$A$2000,"&gt;="&amp;N$4,台帳!$A$2:$A$2000,"&lt;"&amp;(N$4+7))</f>
        <v>0</v>
      </c>
      <c r="O14" s="46">
        <f>SUMIFS(台帳!$I$2:$I$2000,台帳!$F$2:$F$2000,$B14,台帳!$A$2:$A$2000,"&gt;="&amp;O$4,台帳!$A$2:$A$2000,"&lt;"&amp;(O$4+7))</f>
        <v>0</v>
      </c>
      <c r="P14" s="46">
        <f>SUMIFS(台帳!$I$2:$I$2000,台帳!$F$2:$F$2000,$B14,台帳!$A$2:$A$2000,"&gt;="&amp;P$4,台帳!$A$2:$A$2000,"&lt;"&amp;(P$4+7))</f>
        <v>0</v>
      </c>
      <c r="Q14" s="46">
        <f>SUMIFS(台帳!$I$2:$I$2000,台帳!$F$2:$F$2000,$B14,台帳!$A$2:$A$2000,"&gt;="&amp;Q$4,台帳!$A$2:$A$2000,"&lt;"&amp;(Q$4+7))</f>
        <v>0</v>
      </c>
      <c r="R14" s="46">
        <f>SUMIFS(台帳!$I$2:$I$2000,台帳!$F$2:$F$2000,$B14,台帳!$A$2:$A$2000,"&gt;="&amp;R$4,台帳!$A$2:$A$2000,"&lt;"&amp;(R$4+7))</f>
        <v>0</v>
      </c>
      <c r="S14" s="46">
        <f>SUMIFS(台帳!$I$2:$I$2000,台帳!$F$2:$F$2000,$B14,台帳!$A$2:$A$2000,"&gt;="&amp;S$4,台帳!$A$2:$A$2000,"&lt;"&amp;(S$4+7))</f>
        <v>0</v>
      </c>
      <c r="T14" s="46">
        <f>SUMIFS(台帳!$I$2:$I$2000,台帳!$F$2:$F$2000,$B14,台帳!$A$2:$A$2000,"&gt;="&amp;T$4,台帳!$A$2:$A$2000,"&lt;"&amp;(T$4+7))</f>
        <v>0</v>
      </c>
      <c r="U14" s="46">
        <f>SUMIFS(台帳!$I$2:$I$2000,台帳!$F$2:$F$2000,$B14,台帳!$A$2:$A$2000,"&gt;="&amp;U$4,台帳!$A$2:$A$2000,"&lt;"&amp;(U$4+7))</f>
        <v>0</v>
      </c>
      <c r="V14" s="46">
        <f>SUMIFS(台帳!$I$2:$I$2000,台帳!$F$2:$F$2000,$B14,台帳!$A$2:$A$2000,"&gt;="&amp;V$4,台帳!$A$2:$A$2000,"&lt;"&amp;(V$4+7))</f>
        <v>0</v>
      </c>
      <c r="W14" s="45">
        <f>SUM(C14:V14)</f>
        <v>30</v>
      </c>
    </row>
    <row r="15" spans="1:23" ht="17.25" x14ac:dyDescent="0.35">
      <c r="A15" s="65" t="s">
        <v>380</v>
      </c>
      <c r="B15" s="65" t="s">
        <v>517</v>
      </c>
      <c r="C15" s="66">
        <f>SUMIFS(台帳!$I$2:$I$2000,台帳!$E$2:$E$2000,$A15,台帳!$A$2:$A$2000,"&gt;="&amp;C$4,台帳!$A$2:$A$2000,"&lt;"&amp;(C$4+7))</f>
        <v>0</v>
      </c>
      <c r="D15" s="66">
        <f>SUMIFS(台帳!$I$2:$I$2000,台帳!$E$2:$E$2000,$A15,台帳!$A$2:$A$2000,"&gt;="&amp;D$4,台帳!$A$2:$A$2000,"&lt;"&amp;(D$4+7))</f>
        <v>0</v>
      </c>
      <c r="E15" s="66">
        <f>SUMIFS(台帳!$I$2:$I$2000,台帳!$E$2:$E$2000,$A15,台帳!$A$2:$A$2000,"&gt;="&amp;E$4,台帳!$A$2:$A$2000,"&lt;"&amp;(E$4+7))</f>
        <v>0</v>
      </c>
      <c r="F15" s="66">
        <f>SUMIFS(台帳!$I$2:$I$2000,台帳!$E$2:$E$2000,$A15,台帳!$A$2:$A$2000,"&gt;="&amp;F$4,台帳!$A$2:$A$2000,"&lt;"&amp;(F$4+7))</f>
        <v>0</v>
      </c>
      <c r="G15" s="66">
        <f>SUMIFS(台帳!$I$2:$I$2000,台帳!$E$2:$E$2000,$A15,台帳!$A$2:$A$2000,"&gt;="&amp;G$4,台帳!$A$2:$A$2000,"&lt;"&amp;(G$4+7))</f>
        <v>0</v>
      </c>
      <c r="H15" s="66">
        <f>SUMIFS(台帳!$I$2:$I$2000,台帳!$E$2:$E$2000,$A15,台帳!$A$2:$A$2000,"&gt;="&amp;H$4,台帳!$A$2:$A$2000,"&lt;"&amp;(H$4+7))</f>
        <v>0</v>
      </c>
      <c r="I15" s="66">
        <f>SUMIFS(台帳!$I$2:$I$2000,台帳!$E$2:$E$2000,$A15,台帳!$A$2:$A$2000,"&gt;="&amp;I$4,台帳!$A$2:$A$2000,"&lt;"&amp;(I$4+7))</f>
        <v>0</v>
      </c>
      <c r="J15" s="66">
        <f>SUMIFS(台帳!$I$2:$I$2000,台帳!$E$2:$E$2000,$A15,台帳!$A$2:$A$2000,"&gt;="&amp;J$4,台帳!$A$2:$A$2000,"&lt;"&amp;(J$4+7))</f>
        <v>0</v>
      </c>
      <c r="K15" s="66">
        <f>SUMIFS(台帳!$I$2:$I$2000,台帳!$E$2:$E$2000,$A15,台帳!$A$2:$A$2000,"&gt;="&amp;K$4,台帳!$A$2:$A$2000,"&lt;"&amp;(K$4+7))</f>
        <v>0</v>
      </c>
      <c r="L15" s="66">
        <f>SUMIFS(台帳!$I$2:$I$2000,台帳!$E$2:$E$2000,$A15,台帳!$A$2:$A$2000,"&gt;="&amp;L$4,台帳!$A$2:$A$2000,"&lt;"&amp;(L$4+7))</f>
        <v>8</v>
      </c>
      <c r="M15" s="66">
        <f>SUMIFS(台帳!$I$2:$I$2000,台帳!$E$2:$E$2000,$A15,台帳!$A$2:$A$2000,"&gt;="&amp;M$4,台帳!$A$2:$A$2000,"&lt;"&amp;(M$4+7))</f>
        <v>24</v>
      </c>
      <c r="N15" s="66">
        <f>SUMIFS(台帳!$I$2:$I$2000,台帳!$E$2:$E$2000,$A15,台帳!$A$2:$A$2000,"&gt;="&amp;N$4,台帳!$A$2:$A$2000,"&lt;"&amp;(N$4+7))</f>
        <v>15</v>
      </c>
      <c r="O15" s="66">
        <f>SUMIFS(台帳!$I$2:$I$2000,台帳!$E$2:$E$2000,$A15,台帳!$A$2:$A$2000,"&gt;="&amp;O$4,台帳!$A$2:$A$2000,"&lt;"&amp;(O$4+7))</f>
        <v>4</v>
      </c>
      <c r="P15" s="66">
        <f>SUMIFS(台帳!$I$2:$I$2000,台帳!$E$2:$E$2000,$A15,台帳!$A$2:$A$2000,"&gt;="&amp;P$4,台帳!$A$2:$A$2000,"&lt;"&amp;(P$4+7))</f>
        <v>0</v>
      </c>
      <c r="Q15" s="66">
        <f>SUMIFS(台帳!$I$2:$I$2000,台帳!$E$2:$E$2000,$A15,台帳!$A$2:$A$2000,"&gt;="&amp;Q$4,台帳!$A$2:$A$2000,"&lt;"&amp;(Q$4+7))</f>
        <v>0</v>
      </c>
      <c r="R15" s="66">
        <f>SUMIFS(台帳!$I$2:$I$2000,台帳!$E$2:$E$2000,$A15,台帳!$A$2:$A$2000,"&gt;="&amp;R$4,台帳!$A$2:$A$2000,"&lt;"&amp;(R$4+7))</f>
        <v>0</v>
      </c>
      <c r="S15" s="66">
        <f>SUMIFS(台帳!$I$2:$I$2000,台帳!$E$2:$E$2000,$A15,台帳!$A$2:$A$2000,"&gt;="&amp;S$4,台帳!$A$2:$A$2000,"&lt;"&amp;(S$4+7))</f>
        <v>0</v>
      </c>
      <c r="T15" s="66">
        <f>SUMIFS(台帳!$I$2:$I$2000,台帳!$E$2:$E$2000,$A15,台帳!$A$2:$A$2000,"&gt;="&amp;T$4,台帳!$A$2:$A$2000,"&lt;"&amp;(T$4+7))</f>
        <v>0</v>
      </c>
      <c r="U15" s="66">
        <f>SUMIFS(台帳!$I$2:$I$2000,台帳!$E$2:$E$2000,$A15,台帳!$A$2:$A$2000,"&gt;="&amp;U$4,台帳!$A$2:$A$2000,"&lt;"&amp;(U$4+7))</f>
        <v>0</v>
      </c>
      <c r="V15" s="66">
        <f>SUMIFS(台帳!$I$2:$I$2000,台帳!$E$2:$E$2000,$A15,台帳!$A$2:$A$2000,"&gt;="&amp;V$4,台帳!$A$2:$A$2000,"&lt;"&amp;(V$4+7))</f>
        <v>0</v>
      </c>
      <c r="W15" s="60">
        <f>SUM(C15:V15)</f>
        <v>51</v>
      </c>
    </row>
    <row r="16" spans="1:23" ht="17.25" x14ac:dyDescent="0.35">
      <c r="A16" s="62" t="s">
        <v>380</v>
      </c>
      <c r="B16" s="45" t="s">
        <v>149</v>
      </c>
      <c r="C16" s="46">
        <f>SUMIFS(台帳!$I$2:$I$2000,台帳!$F$2:$F$2000,$B16,台帳!$A$2:$A$2000,"&gt;="&amp;C$4,台帳!$A$2:$A$2000,"&lt;"&amp;(C$4+7))</f>
        <v>0</v>
      </c>
      <c r="D16" s="46">
        <f>SUMIFS(台帳!$I$2:$I$2000,台帳!$F$2:$F$2000,$B16,台帳!$A$2:$A$2000,"&gt;="&amp;D$4,台帳!$A$2:$A$2000,"&lt;"&amp;(D$4+7))</f>
        <v>0</v>
      </c>
      <c r="E16" s="46">
        <f>SUMIFS(台帳!$I$2:$I$2000,台帳!$F$2:$F$2000,$B16,台帳!$A$2:$A$2000,"&gt;="&amp;E$4,台帳!$A$2:$A$2000,"&lt;"&amp;(E$4+7))</f>
        <v>0</v>
      </c>
      <c r="F16" s="46">
        <f>SUMIFS(台帳!$I$2:$I$2000,台帳!$F$2:$F$2000,$B16,台帳!$A$2:$A$2000,"&gt;="&amp;F$4,台帳!$A$2:$A$2000,"&lt;"&amp;(F$4+7))</f>
        <v>0</v>
      </c>
      <c r="G16" s="46">
        <f>SUMIFS(台帳!$I$2:$I$2000,台帳!$F$2:$F$2000,$B16,台帳!$A$2:$A$2000,"&gt;="&amp;G$4,台帳!$A$2:$A$2000,"&lt;"&amp;(G$4+7))</f>
        <v>0</v>
      </c>
      <c r="H16" s="46">
        <f>SUMIFS(台帳!$I$2:$I$2000,台帳!$F$2:$F$2000,$B16,台帳!$A$2:$A$2000,"&gt;="&amp;H$4,台帳!$A$2:$A$2000,"&lt;"&amp;(H$4+7))</f>
        <v>0</v>
      </c>
      <c r="I16" s="46">
        <f>SUMIFS(台帳!$I$2:$I$2000,台帳!$F$2:$F$2000,$B16,台帳!$A$2:$A$2000,"&gt;="&amp;I$4,台帳!$A$2:$A$2000,"&lt;"&amp;(I$4+7))</f>
        <v>0</v>
      </c>
      <c r="J16" s="46">
        <f>SUMIFS(台帳!$I$2:$I$2000,台帳!$F$2:$F$2000,$B16,台帳!$A$2:$A$2000,"&gt;="&amp;J$4,台帳!$A$2:$A$2000,"&lt;"&amp;(J$4+7))</f>
        <v>0</v>
      </c>
      <c r="K16" s="46">
        <f>SUMIFS(台帳!$I$2:$I$2000,台帳!$F$2:$F$2000,$B16,台帳!$A$2:$A$2000,"&gt;="&amp;K$4,台帳!$A$2:$A$2000,"&lt;"&amp;(K$4+7))</f>
        <v>0</v>
      </c>
      <c r="L16" s="46">
        <f>SUMIFS(台帳!$I$2:$I$2000,台帳!$F$2:$F$2000,$B16,台帳!$A$2:$A$2000,"&gt;="&amp;L$4,台帳!$A$2:$A$2000,"&lt;"&amp;(L$4+7))</f>
        <v>8</v>
      </c>
      <c r="M16" s="46">
        <f>SUMIFS(台帳!$I$2:$I$2000,台帳!$F$2:$F$2000,$B16,台帳!$A$2:$A$2000,"&gt;="&amp;M$4,台帳!$A$2:$A$2000,"&lt;"&amp;(M$4+7))</f>
        <v>4</v>
      </c>
      <c r="N16" s="46">
        <f>SUMIFS(台帳!$I$2:$I$2000,台帳!$F$2:$F$2000,$B16,台帳!$A$2:$A$2000,"&gt;="&amp;N$4,台帳!$A$2:$A$2000,"&lt;"&amp;(N$4+7))</f>
        <v>0</v>
      </c>
      <c r="O16" s="46">
        <f>SUMIFS(台帳!$I$2:$I$2000,台帳!$F$2:$F$2000,$B16,台帳!$A$2:$A$2000,"&gt;="&amp;O$4,台帳!$A$2:$A$2000,"&lt;"&amp;(O$4+7))</f>
        <v>0</v>
      </c>
      <c r="P16" s="46">
        <f>SUMIFS(台帳!$I$2:$I$2000,台帳!$F$2:$F$2000,$B16,台帳!$A$2:$A$2000,"&gt;="&amp;P$4,台帳!$A$2:$A$2000,"&lt;"&amp;(P$4+7))</f>
        <v>0</v>
      </c>
      <c r="Q16" s="46">
        <f>SUMIFS(台帳!$I$2:$I$2000,台帳!$F$2:$F$2000,$B16,台帳!$A$2:$A$2000,"&gt;="&amp;Q$4,台帳!$A$2:$A$2000,"&lt;"&amp;(Q$4+7))</f>
        <v>0</v>
      </c>
      <c r="R16" s="46">
        <f>SUMIFS(台帳!$I$2:$I$2000,台帳!$F$2:$F$2000,$B16,台帳!$A$2:$A$2000,"&gt;="&amp;R$4,台帳!$A$2:$A$2000,"&lt;"&amp;(R$4+7))</f>
        <v>0</v>
      </c>
      <c r="S16" s="46">
        <f>SUMIFS(台帳!$I$2:$I$2000,台帳!$F$2:$F$2000,$B16,台帳!$A$2:$A$2000,"&gt;="&amp;S$4,台帳!$A$2:$A$2000,"&lt;"&amp;(S$4+7))</f>
        <v>0</v>
      </c>
      <c r="T16" s="46">
        <f>SUMIFS(台帳!$I$2:$I$2000,台帳!$F$2:$F$2000,$B16,台帳!$A$2:$A$2000,"&gt;="&amp;T$4,台帳!$A$2:$A$2000,"&lt;"&amp;(T$4+7))</f>
        <v>0</v>
      </c>
      <c r="U16" s="46">
        <f>SUMIFS(台帳!$I$2:$I$2000,台帳!$F$2:$F$2000,$B16,台帳!$A$2:$A$2000,"&gt;="&amp;U$4,台帳!$A$2:$A$2000,"&lt;"&amp;(U$4+7))</f>
        <v>0</v>
      </c>
      <c r="V16" s="46">
        <f>SUMIFS(台帳!$I$2:$I$2000,台帳!$F$2:$F$2000,$B16,台帳!$A$2:$A$2000,"&gt;="&amp;V$4,台帳!$A$2:$A$2000,"&lt;"&amp;(V$4+7))</f>
        <v>0</v>
      </c>
      <c r="W16" s="45">
        <f>SUM(C16:V16)</f>
        <v>12</v>
      </c>
    </row>
    <row r="17" spans="1:23" ht="17.25" x14ac:dyDescent="0.35">
      <c r="A17" s="62" t="s">
        <v>380</v>
      </c>
      <c r="B17" s="45" t="s">
        <v>167</v>
      </c>
      <c r="C17" s="46">
        <f>SUMIFS(台帳!$I$2:$I$2000,台帳!$F$2:$F$2000,$B17,台帳!$A$2:$A$2000,"&gt;="&amp;C$4,台帳!$A$2:$A$2000,"&lt;"&amp;(C$4+7))</f>
        <v>0</v>
      </c>
      <c r="D17" s="46">
        <f>SUMIFS(台帳!$I$2:$I$2000,台帳!$F$2:$F$2000,$B17,台帳!$A$2:$A$2000,"&gt;="&amp;D$4,台帳!$A$2:$A$2000,"&lt;"&amp;(D$4+7))</f>
        <v>0</v>
      </c>
      <c r="E17" s="46">
        <f>SUMIFS(台帳!$I$2:$I$2000,台帳!$F$2:$F$2000,$B17,台帳!$A$2:$A$2000,"&gt;="&amp;E$4,台帳!$A$2:$A$2000,"&lt;"&amp;(E$4+7))</f>
        <v>0</v>
      </c>
      <c r="F17" s="46">
        <f>SUMIFS(台帳!$I$2:$I$2000,台帳!$F$2:$F$2000,$B17,台帳!$A$2:$A$2000,"&gt;="&amp;F$4,台帳!$A$2:$A$2000,"&lt;"&amp;(F$4+7))</f>
        <v>0</v>
      </c>
      <c r="G17" s="46">
        <f>SUMIFS(台帳!$I$2:$I$2000,台帳!$F$2:$F$2000,$B17,台帳!$A$2:$A$2000,"&gt;="&amp;G$4,台帳!$A$2:$A$2000,"&lt;"&amp;(G$4+7))</f>
        <v>0</v>
      </c>
      <c r="H17" s="46">
        <f>SUMIFS(台帳!$I$2:$I$2000,台帳!$F$2:$F$2000,$B17,台帳!$A$2:$A$2000,"&gt;="&amp;H$4,台帳!$A$2:$A$2000,"&lt;"&amp;(H$4+7))</f>
        <v>0</v>
      </c>
      <c r="I17" s="46">
        <f>SUMIFS(台帳!$I$2:$I$2000,台帳!$F$2:$F$2000,$B17,台帳!$A$2:$A$2000,"&gt;="&amp;I$4,台帳!$A$2:$A$2000,"&lt;"&amp;(I$4+7))</f>
        <v>0</v>
      </c>
      <c r="J17" s="46">
        <f>SUMIFS(台帳!$I$2:$I$2000,台帳!$F$2:$F$2000,$B17,台帳!$A$2:$A$2000,"&gt;="&amp;J$4,台帳!$A$2:$A$2000,"&lt;"&amp;(J$4+7))</f>
        <v>0</v>
      </c>
      <c r="K17" s="46">
        <f>SUMIFS(台帳!$I$2:$I$2000,台帳!$F$2:$F$2000,$B17,台帳!$A$2:$A$2000,"&gt;="&amp;K$4,台帳!$A$2:$A$2000,"&lt;"&amp;(K$4+7))</f>
        <v>0</v>
      </c>
      <c r="L17" s="46">
        <f>SUMIFS(台帳!$I$2:$I$2000,台帳!$F$2:$F$2000,$B17,台帳!$A$2:$A$2000,"&gt;="&amp;L$4,台帳!$A$2:$A$2000,"&lt;"&amp;(L$4+7))</f>
        <v>0</v>
      </c>
      <c r="M17" s="46">
        <f>SUMIFS(台帳!$I$2:$I$2000,台帳!$F$2:$F$2000,$B17,台帳!$A$2:$A$2000,"&gt;="&amp;M$4,台帳!$A$2:$A$2000,"&lt;"&amp;(M$4+7))</f>
        <v>12</v>
      </c>
      <c r="N17" s="46">
        <f>SUMIFS(台帳!$I$2:$I$2000,台帳!$F$2:$F$2000,$B17,台帳!$A$2:$A$2000,"&gt;="&amp;N$4,台帳!$A$2:$A$2000,"&lt;"&amp;(N$4+7))</f>
        <v>9</v>
      </c>
      <c r="O17" s="46">
        <f>SUMIFS(台帳!$I$2:$I$2000,台帳!$F$2:$F$2000,$B17,台帳!$A$2:$A$2000,"&gt;="&amp;O$4,台帳!$A$2:$A$2000,"&lt;"&amp;(O$4+7))</f>
        <v>0</v>
      </c>
      <c r="P17" s="46">
        <f>SUMIFS(台帳!$I$2:$I$2000,台帳!$F$2:$F$2000,$B17,台帳!$A$2:$A$2000,"&gt;="&amp;P$4,台帳!$A$2:$A$2000,"&lt;"&amp;(P$4+7))</f>
        <v>0</v>
      </c>
      <c r="Q17" s="46">
        <f>SUMIFS(台帳!$I$2:$I$2000,台帳!$F$2:$F$2000,$B17,台帳!$A$2:$A$2000,"&gt;="&amp;Q$4,台帳!$A$2:$A$2000,"&lt;"&amp;(Q$4+7))</f>
        <v>0</v>
      </c>
      <c r="R17" s="46">
        <f>SUMIFS(台帳!$I$2:$I$2000,台帳!$F$2:$F$2000,$B17,台帳!$A$2:$A$2000,"&gt;="&amp;R$4,台帳!$A$2:$A$2000,"&lt;"&amp;(R$4+7))</f>
        <v>0</v>
      </c>
      <c r="S17" s="46">
        <f>SUMIFS(台帳!$I$2:$I$2000,台帳!$F$2:$F$2000,$B17,台帳!$A$2:$A$2000,"&gt;="&amp;S$4,台帳!$A$2:$A$2000,"&lt;"&amp;(S$4+7))</f>
        <v>0</v>
      </c>
      <c r="T17" s="46">
        <f>SUMIFS(台帳!$I$2:$I$2000,台帳!$F$2:$F$2000,$B17,台帳!$A$2:$A$2000,"&gt;="&amp;T$4,台帳!$A$2:$A$2000,"&lt;"&amp;(T$4+7))</f>
        <v>0</v>
      </c>
      <c r="U17" s="46">
        <f>SUMIFS(台帳!$I$2:$I$2000,台帳!$F$2:$F$2000,$B17,台帳!$A$2:$A$2000,"&gt;="&amp;U$4,台帳!$A$2:$A$2000,"&lt;"&amp;(U$4+7))</f>
        <v>0</v>
      </c>
      <c r="V17" s="46">
        <f>SUMIFS(台帳!$I$2:$I$2000,台帳!$F$2:$F$2000,$B17,台帳!$A$2:$A$2000,"&gt;="&amp;V$4,台帳!$A$2:$A$2000,"&lt;"&amp;(V$4+7))</f>
        <v>0</v>
      </c>
      <c r="W17" s="45">
        <f>SUM(C17:V17)</f>
        <v>21</v>
      </c>
    </row>
    <row r="18" spans="1:23" ht="17.25" x14ac:dyDescent="0.35">
      <c r="A18" s="62" t="s">
        <v>380</v>
      </c>
      <c r="B18" s="45" t="s">
        <v>172</v>
      </c>
      <c r="C18" s="46">
        <f>SUMIFS(台帳!$I$2:$I$2000,台帳!$F$2:$F$2000,$B18,台帳!$A$2:$A$2000,"&gt;="&amp;C$4,台帳!$A$2:$A$2000,"&lt;"&amp;(C$4+7))</f>
        <v>0</v>
      </c>
      <c r="D18" s="46">
        <f>SUMIFS(台帳!$I$2:$I$2000,台帳!$F$2:$F$2000,$B18,台帳!$A$2:$A$2000,"&gt;="&amp;D$4,台帳!$A$2:$A$2000,"&lt;"&amp;(D$4+7))</f>
        <v>0</v>
      </c>
      <c r="E18" s="46">
        <f>SUMIFS(台帳!$I$2:$I$2000,台帳!$F$2:$F$2000,$B18,台帳!$A$2:$A$2000,"&gt;="&amp;E$4,台帳!$A$2:$A$2000,"&lt;"&amp;(E$4+7))</f>
        <v>0</v>
      </c>
      <c r="F18" s="46">
        <f>SUMIFS(台帳!$I$2:$I$2000,台帳!$F$2:$F$2000,$B18,台帳!$A$2:$A$2000,"&gt;="&amp;F$4,台帳!$A$2:$A$2000,"&lt;"&amp;(F$4+7))</f>
        <v>0</v>
      </c>
      <c r="G18" s="46">
        <f>SUMIFS(台帳!$I$2:$I$2000,台帳!$F$2:$F$2000,$B18,台帳!$A$2:$A$2000,"&gt;="&amp;G$4,台帳!$A$2:$A$2000,"&lt;"&amp;(G$4+7))</f>
        <v>0</v>
      </c>
      <c r="H18" s="46">
        <f>SUMIFS(台帳!$I$2:$I$2000,台帳!$F$2:$F$2000,$B18,台帳!$A$2:$A$2000,"&gt;="&amp;H$4,台帳!$A$2:$A$2000,"&lt;"&amp;(H$4+7))</f>
        <v>0</v>
      </c>
      <c r="I18" s="46">
        <f>SUMIFS(台帳!$I$2:$I$2000,台帳!$F$2:$F$2000,$B18,台帳!$A$2:$A$2000,"&gt;="&amp;I$4,台帳!$A$2:$A$2000,"&lt;"&amp;(I$4+7))</f>
        <v>0</v>
      </c>
      <c r="J18" s="46">
        <f>SUMIFS(台帳!$I$2:$I$2000,台帳!$F$2:$F$2000,$B18,台帳!$A$2:$A$2000,"&gt;="&amp;J$4,台帳!$A$2:$A$2000,"&lt;"&amp;(J$4+7))</f>
        <v>0</v>
      </c>
      <c r="K18" s="46">
        <f>SUMIFS(台帳!$I$2:$I$2000,台帳!$F$2:$F$2000,$B18,台帳!$A$2:$A$2000,"&gt;="&amp;K$4,台帳!$A$2:$A$2000,"&lt;"&amp;(K$4+7))</f>
        <v>0</v>
      </c>
      <c r="L18" s="46">
        <f>SUMIFS(台帳!$I$2:$I$2000,台帳!$F$2:$F$2000,$B18,台帳!$A$2:$A$2000,"&gt;="&amp;L$4,台帳!$A$2:$A$2000,"&lt;"&amp;(L$4+7))</f>
        <v>0</v>
      </c>
      <c r="M18" s="46">
        <f>SUMIFS(台帳!$I$2:$I$2000,台帳!$F$2:$F$2000,$B18,台帳!$A$2:$A$2000,"&gt;="&amp;M$4,台帳!$A$2:$A$2000,"&lt;"&amp;(M$4+7))</f>
        <v>2</v>
      </c>
      <c r="N18" s="46">
        <f>SUMIFS(台帳!$I$2:$I$2000,台帳!$F$2:$F$2000,$B18,台帳!$A$2:$A$2000,"&gt;="&amp;N$4,台帳!$A$2:$A$2000,"&lt;"&amp;(N$4+7))</f>
        <v>0</v>
      </c>
      <c r="O18" s="46">
        <f>SUMIFS(台帳!$I$2:$I$2000,台帳!$F$2:$F$2000,$B18,台帳!$A$2:$A$2000,"&gt;="&amp;O$4,台帳!$A$2:$A$2000,"&lt;"&amp;(O$4+7))</f>
        <v>0</v>
      </c>
      <c r="P18" s="46">
        <f>SUMIFS(台帳!$I$2:$I$2000,台帳!$F$2:$F$2000,$B18,台帳!$A$2:$A$2000,"&gt;="&amp;P$4,台帳!$A$2:$A$2000,"&lt;"&amp;(P$4+7))</f>
        <v>0</v>
      </c>
      <c r="Q18" s="46">
        <f>SUMIFS(台帳!$I$2:$I$2000,台帳!$F$2:$F$2000,$B18,台帳!$A$2:$A$2000,"&gt;="&amp;Q$4,台帳!$A$2:$A$2000,"&lt;"&amp;(Q$4+7))</f>
        <v>0</v>
      </c>
      <c r="R18" s="46">
        <f>SUMIFS(台帳!$I$2:$I$2000,台帳!$F$2:$F$2000,$B18,台帳!$A$2:$A$2000,"&gt;="&amp;R$4,台帳!$A$2:$A$2000,"&lt;"&amp;(R$4+7))</f>
        <v>0</v>
      </c>
      <c r="S18" s="46">
        <f>SUMIFS(台帳!$I$2:$I$2000,台帳!$F$2:$F$2000,$B18,台帳!$A$2:$A$2000,"&gt;="&amp;S$4,台帳!$A$2:$A$2000,"&lt;"&amp;(S$4+7))</f>
        <v>0</v>
      </c>
      <c r="T18" s="46">
        <f>SUMIFS(台帳!$I$2:$I$2000,台帳!$F$2:$F$2000,$B18,台帳!$A$2:$A$2000,"&gt;="&amp;T$4,台帳!$A$2:$A$2000,"&lt;"&amp;(T$4+7))</f>
        <v>0</v>
      </c>
      <c r="U18" s="46">
        <f>SUMIFS(台帳!$I$2:$I$2000,台帳!$F$2:$F$2000,$B18,台帳!$A$2:$A$2000,"&gt;="&amp;U$4,台帳!$A$2:$A$2000,"&lt;"&amp;(U$4+7))</f>
        <v>0</v>
      </c>
      <c r="V18" s="46">
        <f>SUMIFS(台帳!$I$2:$I$2000,台帳!$F$2:$F$2000,$B18,台帳!$A$2:$A$2000,"&gt;="&amp;V$4,台帳!$A$2:$A$2000,"&lt;"&amp;(V$4+7))</f>
        <v>0</v>
      </c>
      <c r="W18" s="45">
        <f>SUM(C18:V18)</f>
        <v>2</v>
      </c>
    </row>
    <row r="19" spans="1:23" ht="17.25" x14ac:dyDescent="0.35">
      <c r="A19" s="62" t="s">
        <v>380</v>
      </c>
      <c r="B19" s="45" t="s">
        <v>178</v>
      </c>
      <c r="C19" s="46">
        <f>SUMIFS(台帳!$I$2:$I$2000,台帳!$F$2:$F$2000,$B19,台帳!$A$2:$A$2000,"&gt;="&amp;C$4,台帳!$A$2:$A$2000,"&lt;"&amp;(C$4+7))</f>
        <v>0</v>
      </c>
      <c r="D19" s="46">
        <f>SUMIFS(台帳!$I$2:$I$2000,台帳!$F$2:$F$2000,$B19,台帳!$A$2:$A$2000,"&gt;="&amp;D$4,台帳!$A$2:$A$2000,"&lt;"&amp;(D$4+7))</f>
        <v>0</v>
      </c>
      <c r="E19" s="46">
        <f>SUMIFS(台帳!$I$2:$I$2000,台帳!$F$2:$F$2000,$B19,台帳!$A$2:$A$2000,"&gt;="&amp;E$4,台帳!$A$2:$A$2000,"&lt;"&amp;(E$4+7))</f>
        <v>0</v>
      </c>
      <c r="F19" s="46">
        <f>SUMIFS(台帳!$I$2:$I$2000,台帳!$F$2:$F$2000,$B19,台帳!$A$2:$A$2000,"&gt;="&amp;F$4,台帳!$A$2:$A$2000,"&lt;"&amp;(F$4+7))</f>
        <v>0</v>
      </c>
      <c r="G19" s="46">
        <f>SUMIFS(台帳!$I$2:$I$2000,台帳!$F$2:$F$2000,$B19,台帳!$A$2:$A$2000,"&gt;="&amp;G$4,台帳!$A$2:$A$2000,"&lt;"&amp;(G$4+7))</f>
        <v>0</v>
      </c>
      <c r="H19" s="46">
        <f>SUMIFS(台帳!$I$2:$I$2000,台帳!$F$2:$F$2000,$B19,台帳!$A$2:$A$2000,"&gt;="&amp;H$4,台帳!$A$2:$A$2000,"&lt;"&amp;(H$4+7))</f>
        <v>0</v>
      </c>
      <c r="I19" s="46">
        <f>SUMIFS(台帳!$I$2:$I$2000,台帳!$F$2:$F$2000,$B19,台帳!$A$2:$A$2000,"&gt;="&amp;I$4,台帳!$A$2:$A$2000,"&lt;"&amp;(I$4+7))</f>
        <v>0</v>
      </c>
      <c r="J19" s="46">
        <f>SUMIFS(台帳!$I$2:$I$2000,台帳!$F$2:$F$2000,$B19,台帳!$A$2:$A$2000,"&gt;="&amp;J$4,台帳!$A$2:$A$2000,"&lt;"&amp;(J$4+7))</f>
        <v>0</v>
      </c>
      <c r="K19" s="46">
        <f>SUMIFS(台帳!$I$2:$I$2000,台帳!$F$2:$F$2000,$B19,台帳!$A$2:$A$2000,"&gt;="&amp;K$4,台帳!$A$2:$A$2000,"&lt;"&amp;(K$4+7))</f>
        <v>0</v>
      </c>
      <c r="L19" s="46">
        <f>SUMIFS(台帳!$I$2:$I$2000,台帳!$F$2:$F$2000,$B19,台帳!$A$2:$A$2000,"&gt;="&amp;L$4,台帳!$A$2:$A$2000,"&lt;"&amp;(L$4+7))</f>
        <v>0</v>
      </c>
      <c r="M19" s="46">
        <f>SUMIFS(台帳!$I$2:$I$2000,台帳!$F$2:$F$2000,$B19,台帳!$A$2:$A$2000,"&gt;="&amp;M$4,台帳!$A$2:$A$2000,"&lt;"&amp;(M$4+7))</f>
        <v>2</v>
      </c>
      <c r="N19" s="46">
        <f>SUMIFS(台帳!$I$2:$I$2000,台帳!$F$2:$F$2000,$B19,台帳!$A$2:$A$2000,"&gt;="&amp;N$4,台帳!$A$2:$A$2000,"&lt;"&amp;(N$4+7))</f>
        <v>3</v>
      </c>
      <c r="O19" s="46">
        <f>SUMIFS(台帳!$I$2:$I$2000,台帳!$F$2:$F$2000,$B19,台帳!$A$2:$A$2000,"&gt;="&amp;O$4,台帳!$A$2:$A$2000,"&lt;"&amp;(O$4+7))</f>
        <v>0</v>
      </c>
      <c r="P19" s="46">
        <f>SUMIFS(台帳!$I$2:$I$2000,台帳!$F$2:$F$2000,$B19,台帳!$A$2:$A$2000,"&gt;="&amp;P$4,台帳!$A$2:$A$2000,"&lt;"&amp;(P$4+7))</f>
        <v>0</v>
      </c>
      <c r="Q19" s="46">
        <f>SUMIFS(台帳!$I$2:$I$2000,台帳!$F$2:$F$2000,$B19,台帳!$A$2:$A$2000,"&gt;="&amp;Q$4,台帳!$A$2:$A$2000,"&lt;"&amp;(Q$4+7))</f>
        <v>0</v>
      </c>
      <c r="R19" s="46">
        <f>SUMIFS(台帳!$I$2:$I$2000,台帳!$F$2:$F$2000,$B19,台帳!$A$2:$A$2000,"&gt;="&amp;R$4,台帳!$A$2:$A$2000,"&lt;"&amp;(R$4+7))</f>
        <v>0</v>
      </c>
      <c r="S19" s="46">
        <f>SUMIFS(台帳!$I$2:$I$2000,台帳!$F$2:$F$2000,$B19,台帳!$A$2:$A$2000,"&gt;="&amp;S$4,台帳!$A$2:$A$2000,"&lt;"&amp;(S$4+7))</f>
        <v>0</v>
      </c>
      <c r="T19" s="46">
        <f>SUMIFS(台帳!$I$2:$I$2000,台帳!$F$2:$F$2000,$B19,台帳!$A$2:$A$2000,"&gt;="&amp;T$4,台帳!$A$2:$A$2000,"&lt;"&amp;(T$4+7))</f>
        <v>0</v>
      </c>
      <c r="U19" s="46">
        <f>SUMIFS(台帳!$I$2:$I$2000,台帳!$F$2:$F$2000,$B19,台帳!$A$2:$A$2000,"&gt;="&amp;U$4,台帳!$A$2:$A$2000,"&lt;"&amp;(U$4+7))</f>
        <v>0</v>
      </c>
      <c r="V19" s="46">
        <f>SUMIFS(台帳!$I$2:$I$2000,台帳!$F$2:$F$2000,$B19,台帳!$A$2:$A$2000,"&gt;="&amp;V$4,台帳!$A$2:$A$2000,"&lt;"&amp;(V$4+7))</f>
        <v>0</v>
      </c>
      <c r="W19" s="45">
        <f>SUM(C19:V19)</f>
        <v>5</v>
      </c>
    </row>
    <row r="20" spans="1:23" ht="17.25" x14ac:dyDescent="0.35">
      <c r="A20" s="62" t="s">
        <v>380</v>
      </c>
      <c r="B20" s="45" t="s">
        <v>182</v>
      </c>
      <c r="C20" s="46">
        <f>SUMIFS(台帳!$I$2:$I$2000,台帳!$F$2:$F$2000,$B20,台帳!$A$2:$A$2000,"&gt;="&amp;C$4,台帳!$A$2:$A$2000,"&lt;"&amp;(C$4+7))</f>
        <v>0</v>
      </c>
      <c r="D20" s="46">
        <f>SUMIFS(台帳!$I$2:$I$2000,台帳!$F$2:$F$2000,$B20,台帳!$A$2:$A$2000,"&gt;="&amp;D$4,台帳!$A$2:$A$2000,"&lt;"&amp;(D$4+7))</f>
        <v>0</v>
      </c>
      <c r="E20" s="46">
        <f>SUMIFS(台帳!$I$2:$I$2000,台帳!$F$2:$F$2000,$B20,台帳!$A$2:$A$2000,"&gt;="&amp;E$4,台帳!$A$2:$A$2000,"&lt;"&amp;(E$4+7))</f>
        <v>0</v>
      </c>
      <c r="F20" s="46">
        <f>SUMIFS(台帳!$I$2:$I$2000,台帳!$F$2:$F$2000,$B20,台帳!$A$2:$A$2000,"&gt;="&amp;F$4,台帳!$A$2:$A$2000,"&lt;"&amp;(F$4+7))</f>
        <v>0</v>
      </c>
      <c r="G20" s="46">
        <f>SUMIFS(台帳!$I$2:$I$2000,台帳!$F$2:$F$2000,$B20,台帳!$A$2:$A$2000,"&gt;="&amp;G$4,台帳!$A$2:$A$2000,"&lt;"&amp;(G$4+7))</f>
        <v>0</v>
      </c>
      <c r="H20" s="46">
        <f>SUMIFS(台帳!$I$2:$I$2000,台帳!$F$2:$F$2000,$B20,台帳!$A$2:$A$2000,"&gt;="&amp;H$4,台帳!$A$2:$A$2000,"&lt;"&amp;(H$4+7))</f>
        <v>0</v>
      </c>
      <c r="I20" s="46">
        <f>SUMIFS(台帳!$I$2:$I$2000,台帳!$F$2:$F$2000,$B20,台帳!$A$2:$A$2000,"&gt;="&amp;I$4,台帳!$A$2:$A$2000,"&lt;"&amp;(I$4+7))</f>
        <v>0</v>
      </c>
      <c r="J20" s="46">
        <f>SUMIFS(台帳!$I$2:$I$2000,台帳!$F$2:$F$2000,$B20,台帳!$A$2:$A$2000,"&gt;="&amp;J$4,台帳!$A$2:$A$2000,"&lt;"&amp;(J$4+7))</f>
        <v>0</v>
      </c>
      <c r="K20" s="46">
        <f>SUMIFS(台帳!$I$2:$I$2000,台帳!$F$2:$F$2000,$B20,台帳!$A$2:$A$2000,"&gt;="&amp;K$4,台帳!$A$2:$A$2000,"&lt;"&amp;(K$4+7))</f>
        <v>0</v>
      </c>
      <c r="L20" s="46">
        <f>SUMIFS(台帳!$I$2:$I$2000,台帳!$F$2:$F$2000,$B20,台帳!$A$2:$A$2000,"&gt;="&amp;L$4,台帳!$A$2:$A$2000,"&lt;"&amp;(L$4+7))</f>
        <v>0</v>
      </c>
      <c r="M20" s="46">
        <f>SUMIFS(台帳!$I$2:$I$2000,台帳!$F$2:$F$2000,$B20,台帳!$A$2:$A$2000,"&gt;="&amp;M$4,台帳!$A$2:$A$2000,"&lt;"&amp;(M$4+7))</f>
        <v>2</v>
      </c>
      <c r="N20" s="46">
        <f>SUMIFS(台帳!$I$2:$I$2000,台帳!$F$2:$F$2000,$B20,台帳!$A$2:$A$2000,"&gt;="&amp;N$4,台帳!$A$2:$A$2000,"&lt;"&amp;(N$4+7))</f>
        <v>1</v>
      </c>
      <c r="O20" s="46">
        <f>SUMIFS(台帳!$I$2:$I$2000,台帳!$F$2:$F$2000,$B20,台帳!$A$2:$A$2000,"&gt;="&amp;O$4,台帳!$A$2:$A$2000,"&lt;"&amp;(O$4+7))</f>
        <v>0</v>
      </c>
      <c r="P20" s="46">
        <f>SUMIFS(台帳!$I$2:$I$2000,台帳!$F$2:$F$2000,$B20,台帳!$A$2:$A$2000,"&gt;="&amp;P$4,台帳!$A$2:$A$2000,"&lt;"&amp;(P$4+7))</f>
        <v>0</v>
      </c>
      <c r="Q20" s="46">
        <f>SUMIFS(台帳!$I$2:$I$2000,台帳!$F$2:$F$2000,$B20,台帳!$A$2:$A$2000,"&gt;="&amp;Q$4,台帳!$A$2:$A$2000,"&lt;"&amp;(Q$4+7))</f>
        <v>0</v>
      </c>
      <c r="R20" s="46">
        <f>SUMIFS(台帳!$I$2:$I$2000,台帳!$F$2:$F$2000,$B20,台帳!$A$2:$A$2000,"&gt;="&amp;R$4,台帳!$A$2:$A$2000,"&lt;"&amp;(R$4+7))</f>
        <v>0</v>
      </c>
      <c r="S20" s="46">
        <f>SUMIFS(台帳!$I$2:$I$2000,台帳!$F$2:$F$2000,$B20,台帳!$A$2:$A$2000,"&gt;="&amp;S$4,台帳!$A$2:$A$2000,"&lt;"&amp;(S$4+7))</f>
        <v>0</v>
      </c>
      <c r="T20" s="46">
        <f>SUMIFS(台帳!$I$2:$I$2000,台帳!$F$2:$F$2000,$B20,台帳!$A$2:$A$2000,"&gt;="&amp;T$4,台帳!$A$2:$A$2000,"&lt;"&amp;(T$4+7))</f>
        <v>0</v>
      </c>
      <c r="U20" s="46">
        <f>SUMIFS(台帳!$I$2:$I$2000,台帳!$F$2:$F$2000,$B20,台帳!$A$2:$A$2000,"&gt;="&amp;U$4,台帳!$A$2:$A$2000,"&lt;"&amp;(U$4+7))</f>
        <v>0</v>
      </c>
      <c r="V20" s="46">
        <f>SUMIFS(台帳!$I$2:$I$2000,台帳!$F$2:$F$2000,$B20,台帳!$A$2:$A$2000,"&gt;="&amp;V$4,台帳!$A$2:$A$2000,"&lt;"&amp;(V$4+7))</f>
        <v>0</v>
      </c>
      <c r="W20" s="45">
        <f>SUM(C20:V20)</f>
        <v>3</v>
      </c>
    </row>
    <row r="21" spans="1:23" ht="17.25" x14ac:dyDescent="0.35">
      <c r="A21" s="62" t="s">
        <v>380</v>
      </c>
      <c r="B21" s="45" t="s">
        <v>187</v>
      </c>
      <c r="C21" s="46">
        <f>SUMIFS(台帳!$I$2:$I$2000,台帳!$F$2:$F$2000,$B21,台帳!$A$2:$A$2000,"&gt;="&amp;C$4,台帳!$A$2:$A$2000,"&lt;"&amp;(C$4+7))</f>
        <v>0</v>
      </c>
      <c r="D21" s="46">
        <f>SUMIFS(台帳!$I$2:$I$2000,台帳!$F$2:$F$2000,$B21,台帳!$A$2:$A$2000,"&gt;="&amp;D$4,台帳!$A$2:$A$2000,"&lt;"&amp;(D$4+7))</f>
        <v>0</v>
      </c>
      <c r="E21" s="46">
        <f>SUMIFS(台帳!$I$2:$I$2000,台帳!$F$2:$F$2000,$B21,台帳!$A$2:$A$2000,"&gt;="&amp;E$4,台帳!$A$2:$A$2000,"&lt;"&amp;(E$4+7))</f>
        <v>0</v>
      </c>
      <c r="F21" s="46">
        <f>SUMIFS(台帳!$I$2:$I$2000,台帳!$F$2:$F$2000,$B21,台帳!$A$2:$A$2000,"&gt;="&amp;F$4,台帳!$A$2:$A$2000,"&lt;"&amp;(F$4+7))</f>
        <v>0</v>
      </c>
      <c r="G21" s="46">
        <f>SUMIFS(台帳!$I$2:$I$2000,台帳!$F$2:$F$2000,$B21,台帳!$A$2:$A$2000,"&gt;="&amp;G$4,台帳!$A$2:$A$2000,"&lt;"&amp;(G$4+7))</f>
        <v>0</v>
      </c>
      <c r="H21" s="46">
        <f>SUMIFS(台帳!$I$2:$I$2000,台帳!$F$2:$F$2000,$B21,台帳!$A$2:$A$2000,"&gt;="&amp;H$4,台帳!$A$2:$A$2000,"&lt;"&amp;(H$4+7))</f>
        <v>0</v>
      </c>
      <c r="I21" s="46">
        <f>SUMIFS(台帳!$I$2:$I$2000,台帳!$F$2:$F$2000,$B21,台帳!$A$2:$A$2000,"&gt;="&amp;I$4,台帳!$A$2:$A$2000,"&lt;"&amp;(I$4+7))</f>
        <v>0</v>
      </c>
      <c r="J21" s="46">
        <f>SUMIFS(台帳!$I$2:$I$2000,台帳!$F$2:$F$2000,$B21,台帳!$A$2:$A$2000,"&gt;="&amp;J$4,台帳!$A$2:$A$2000,"&lt;"&amp;(J$4+7))</f>
        <v>0</v>
      </c>
      <c r="K21" s="46">
        <f>SUMIFS(台帳!$I$2:$I$2000,台帳!$F$2:$F$2000,$B21,台帳!$A$2:$A$2000,"&gt;="&amp;K$4,台帳!$A$2:$A$2000,"&lt;"&amp;(K$4+7))</f>
        <v>0</v>
      </c>
      <c r="L21" s="46">
        <f>SUMIFS(台帳!$I$2:$I$2000,台帳!$F$2:$F$2000,$B21,台帳!$A$2:$A$2000,"&gt;="&amp;L$4,台帳!$A$2:$A$2000,"&lt;"&amp;(L$4+7))</f>
        <v>0</v>
      </c>
      <c r="M21" s="46">
        <f>SUMIFS(台帳!$I$2:$I$2000,台帳!$F$2:$F$2000,$B21,台帳!$A$2:$A$2000,"&gt;="&amp;M$4,台帳!$A$2:$A$2000,"&lt;"&amp;(M$4+7))</f>
        <v>2</v>
      </c>
      <c r="N21" s="46">
        <f>SUMIFS(台帳!$I$2:$I$2000,台帳!$F$2:$F$2000,$B21,台帳!$A$2:$A$2000,"&gt;="&amp;N$4,台帳!$A$2:$A$2000,"&lt;"&amp;(N$4+7))</f>
        <v>1</v>
      </c>
      <c r="O21" s="46">
        <f>SUMIFS(台帳!$I$2:$I$2000,台帳!$F$2:$F$2000,$B21,台帳!$A$2:$A$2000,"&gt;="&amp;O$4,台帳!$A$2:$A$2000,"&lt;"&amp;(O$4+7))</f>
        <v>0</v>
      </c>
      <c r="P21" s="46">
        <f>SUMIFS(台帳!$I$2:$I$2000,台帳!$F$2:$F$2000,$B21,台帳!$A$2:$A$2000,"&gt;="&amp;P$4,台帳!$A$2:$A$2000,"&lt;"&amp;(P$4+7))</f>
        <v>0</v>
      </c>
      <c r="Q21" s="46">
        <f>SUMIFS(台帳!$I$2:$I$2000,台帳!$F$2:$F$2000,$B21,台帳!$A$2:$A$2000,"&gt;="&amp;Q$4,台帳!$A$2:$A$2000,"&lt;"&amp;(Q$4+7))</f>
        <v>0</v>
      </c>
      <c r="R21" s="46">
        <f>SUMIFS(台帳!$I$2:$I$2000,台帳!$F$2:$F$2000,$B21,台帳!$A$2:$A$2000,"&gt;="&amp;R$4,台帳!$A$2:$A$2000,"&lt;"&amp;(R$4+7))</f>
        <v>0</v>
      </c>
      <c r="S21" s="46">
        <f>SUMIFS(台帳!$I$2:$I$2000,台帳!$F$2:$F$2000,$B21,台帳!$A$2:$A$2000,"&gt;="&amp;S$4,台帳!$A$2:$A$2000,"&lt;"&amp;(S$4+7))</f>
        <v>0</v>
      </c>
      <c r="T21" s="46">
        <f>SUMIFS(台帳!$I$2:$I$2000,台帳!$F$2:$F$2000,$B21,台帳!$A$2:$A$2000,"&gt;="&amp;T$4,台帳!$A$2:$A$2000,"&lt;"&amp;(T$4+7))</f>
        <v>0</v>
      </c>
      <c r="U21" s="46">
        <f>SUMIFS(台帳!$I$2:$I$2000,台帳!$F$2:$F$2000,$B21,台帳!$A$2:$A$2000,"&gt;="&amp;U$4,台帳!$A$2:$A$2000,"&lt;"&amp;(U$4+7))</f>
        <v>0</v>
      </c>
      <c r="V21" s="46">
        <f>SUMIFS(台帳!$I$2:$I$2000,台帳!$F$2:$F$2000,$B21,台帳!$A$2:$A$2000,"&gt;="&amp;V$4,台帳!$A$2:$A$2000,"&lt;"&amp;(V$4+7))</f>
        <v>0</v>
      </c>
      <c r="W21" s="45">
        <f>SUM(C21:V21)</f>
        <v>3</v>
      </c>
    </row>
    <row r="22" spans="1:23" ht="17.25" x14ac:dyDescent="0.35">
      <c r="A22" s="62" t="s">
        <v>380</v>
      </c>
      <c r="B22" s="45" t="s">
        <v>204</v>
      </c>
      <c r="C22" s="46">
        <f>SUMIFS(台帳!$I$2:$I$2000,台帳!$F$2:$F$2000,$B22,台帳!$A$2:$A$2000,"&gt;="&amp;C$4,台帳!$A$2:$A$2000,"&lt;"&amp;(C$4+7))</f>
        <v>0</v>
      </c>
      <c r="D22" s="46">
        <f>SUMIFS(台帳!$I$2:$I$2000,台帳!$F$2:$F$2000,$B22,台帳!$A$2:$A$2000,"&gt;="&amp;D$4,台帳!$A$2:$A$2000,"&lt;"&amp;(D$4+7))</f>
        <v>0</v>
      </c>
      <c r="E22" s="46">
        <f>SUMIFS(台帳!$I$2:$I$2000,台帳!$F$2:$F$2000,$B22,台帳!$A$2:$A$2000,"&gt;="&amp;E$4,台帳!$A$2:$A$2000,"&lt;"&amp;(E$4+7))</f>
        <v>0</v>
      </c>
      <c r="F22" s="46">
        <f>SUMIFS(台帳!$I$2:$I$2000,台帳!$F$2:$F$2000,$B22,台帳!$A$2:$A$2000,"&gt;="&amp;F$4,台帳!$A$2:$A$2000,"&lt;"&amp;(F$4+7))</f>
        <v>0</v>
      </c>
      <c r="G22" s="46">
        <f>SUMIFS(台帳!$I$2:$I$2000,台帳!$F$2:$F$2000,$B22,台帳!$A$2:$A$2000,"&gt;="&amp;G$4,台帳!$A$2:$A$2000,"&lt;"&amp;(G$4+7))</f>
        <v>0</v>
      </c>
      <c r="H22" s="46">
        <f>SUMIFS(台帳!$I$2:$I$2000,台帳!$F$2:$F$2000,$B22,台帳!$A$2:$A$2000,"&gt;="&amp;H$4,台帳!$A$2:$A$2000,"&lt;"&amp;(H$4+7))</f>
        <v>0</v>
      </c>
      <c r="I22" s="46">
        <f>SUMIFS(台帳!$I$2:$I$2000,台帳!$F$2:$F$2000,$B22,台帳!$A$2:$A$2000,"&gt;="&amp;I$4,台帳!$A$2:$A$2000,"&lt;"&amp;(I$4+7))</f>
        <v>0</v>
      </c>
      <c r="J22" s="46">
        <f>SUMIFS(台帳!$I$2:$I$2000,台帳!$F$2:$F$2000,$B22,台帳!$A$2:$A$2000,"&gt;="&amp;J$4,台帳!$A$2:$A$2000,"&lt;"&amp;(J$4+7))</f>
        <v>0</v>
      </c>
      <c r="K22" s="46">
        <f>SUMIFS(台帳!$I$2:$I$2000,台帳!$F$2:$F$2000,$B22,台帳!$A$2:$A$2000,"&gt;="&amp;K$4,台帳!$A$2:$A$2000,"&lt;"&amp;(K$4+7))</f>
        <v>0</v>
      </c>
      <c r="L22" s="46">
        <f>SUMIFS(台帳!$I$2:$I$2000,台帳!$F$2:$F$2000,$B22,台帳!$A$2:$A$2000,"&gt;="&amp;L$4,台帳!$A$2:$A$2000,"&lt;"&amp;(L$4+7))</f>
        <v>0</v>
      </c>
      <c r="M22" s="46">
        <f>SUMIFS(台帳!$I$2:$I$2000,台帳!$F$2:$F$2000,$B22,台帳!$A$2:$A$2000,"&gt;="&amp;M$4,台帳!$A$2:$A$2000,"&lt;"&amp;(M$4+7))</f>
        <v>0</v>
      </c>
      <c r="N22" s="46">
        <f>SUMIFS(台帳!$I$2:$I$2000,台帳!$F$2:$F$2000,$B22,台帳!$A$2:$A$2000,"&gt;="&amp;N$4,台帳!$A$2:$A$2000,"&lt;"&amp;(N$4+7))</f>
        <v>1</v>
      </c>
      <c r="O22" s="46">
        <f>SUMIFS(台帳!$I$2:$I$2000,台帳!$F$2:$F$2000,$B22,台帳!$A$2:$A$2000,"&gt;="&amp;O$4,台帳!$A$2:$A$2000,"&lt;"&amp;(O$4+7))</f>
        <v>4</v>
      </c>
      <c r="P22" s="46">
        <f>SUMIFS(台帳!$I$2:$I$2000,台帳!$F$2:$F$2000,$B22,台帳!$A$2:$A$2000,"&gt;="&amp;P$4,台帳!$A$2:$A$2000,"&lt;"&amp;(P$4+7))</f>
        <v>0</v>
      </c>
      <c r="Q22" s="46">
        <f>SUMIFS(台帳!$I$2:$I$2000,台帳!$F$2:$F$2000,$B22,台帳!$A$2:$A$2000,"&gt;="&amp;Q$4,台帳!$A$2:$A$2000,"&lt;"&amp;(Q$4+7))</f>
        <v>0</v>
      </c>
      <c r="R22" s="46">
        <f>SUMIFS(台帳!$I$2:$I$2000,台帳!$F$2:$F$2000,$B22,台帳!$A$2:$A$2000,"&gt;="&amp;R$4,台帳!$A$2:$A$2000,"&lt;"&amp;(R$4+7))</f>
        <v>0</v>
      </c>
      <c r="S22" s="46">
        <f>SUMIFS(台帳!$I$2:$I$2000,台帳!$F$2:$F$2000,$B22,台帳!$A$2:$A$2000,"&gt;="&amp;S$4,台帳!$A$2:$A$2000,"&lt;"&amp;(S$4+7))</f>
        <v>0</v>
      </c>
      <c r="T22" s="46">
        <f>SUMIFS(台帳!$I$2:$I$2000,台帳!$F$2:$F$2000,$B22,台帳!$A$2:$A$2000,"&gt;="&amp;T$4,台帳!$A$2:$A$2000,"&lt;"&amp;(T$4+7))</f>
        <v>0</v>
      </c>
      <c r="U22" s="46">
        <f>SUMIFS(台帳!$I$2:$I$2000,台帳!$F$2:$F$2000,$B22,台帳!$A$2:$A$2000,"&gt;="&amp;U$4,台帳!$A$2:$A$2000,"&lt;"&amp;(U$4+7))</f>
        <v>0</v>
      </c>
      <c r="V22" s="46">
        <f>SUMIFS(台帳!$I$2:$I$2000,台帳!$F$2:$F$2000,$B22,台帳!$A$2:$A$2000,"&gt;="&amp;V$4,台帳!$A$2:$A$2000,"&lt;"&amp;(V$4+7))</f>
        <v>0</v>
      </c>
      <c r="W22" s="45">
        <f>SUM(C22:V22)</f>
        <v>5</v>
      </c>
    </row>
    <row r="23" spans="1:23" ht="17.25" x14ac:dyDescent="0.35">
      <c r="A23" s="65" t="s">
        <v>382</v>
      </c>
      <c r="B23" s="65" t="s">
        <v>517</v>
      </c>
      <c r="C23" s="66">
        <f>SUMIFS(台帳!$I$2:$I$2000,台帳!$E$2:$E$2000,$A23,台帳!$A$2:$A$2000,"&gt;="&amp;C$4,台帳!$A$2:$A$2000,"&lt;"&amp;(C$4+7))</f>
        <v>0</v>
      </c>
      <c r="D23" s="66">
        <f>SUMIFS(台帳!$I$2:$I$2000,台帳!$E$2:$E$2000,$A23,台帳!$A$2:$A$2000,"&gt;="&amp;D$4,台帳!$A$2:$A$2000,"&lt;"&amp;(D$4+7))</f>
        <v>0</v>
      </c>
      <c r="E23" s="66">
        <f>SUMIFS(台帳!$I$2:$I$2000,台帳!$E$2:$E$2000,$A23,台帳!$A$2:$A$2000,"&gt;="&amp;E$4,台帳!$A$2:$A$2000,"&lt;"&amp;(E$4+7))</f>
        <v>0</v>
      </c>
      <c r="F23" s="66">
        <f>SUMIFS(台帳!$I$2:$I$2000,台帳!$E$2:$E$2000,$A23,台帳!$A$2:$A$2000,"&gt;="&amp;F$4,台帳!$A$2:$A$2000,"&lt;"&amp;(F$4+7))</f>
        <v>0</v>
      </c>
      <c r="G23" s="66">
        <f>SUMIFS(台帳!$I$2:$I$2000,台帳!$E$2:$E$2000,$A23,台帳!$A$2:$A$2000,"&gt;="&amp;G$4,台帳!$A$2:$A$2000,"&lt;"&amp;(G$4+7))</f>
        <v>0</v>
      </c>
      <c r="H23" s="66">
        <f>SUMIFS(台帳!$I$2:$I$2000,台帳!$E$2:$E$2000,$A23,台帳!$A$2:$A$2000,"&gt;="&amp;H$4,台帳!$A$2:$A$2000,"&lt;"&amp;(H$4+7))</f>
        <v>0</v>
      </c>
      <c r="I23" s="66">
        <f>SUMIFS(台帳!$I$2:$I$2000,台帳!$E$2:$E$2000,$A23,台帳!$A$2:$A$2000,"&gt;="&amp;I$4,台帳!$A$2:$A$2000,"&lt;"&amp;(I$4+7))</f>
        <v>0</v>
      </c>
      <c r="J23" s="66">
        <f>SUMIFS(台帳!$I$2:$I$2000,台帳!$E$2:$E$2000,$A23,台帳!$A$2:$A$2000,"&gt;="&amp;J$4,台帳!$A$2:$A$2000,"&lt;"&amp;(J$4+7))</f>
        <v>0</v>
      </c>
      <c r="K23" s="66">
        <f>SUMIFS(台帳!$I$2:$I$2000,台帳!$E$2:$E$2000,$A23,台帳!$A$2:$A$2000,"&gt;="&amp;K$4,台帳!$A$2:$A$2000,"&lt;"&amp;(K$4+7))</f>
        <v>0</v>
      </c>
      <c r="L23" s="66">
        <f>SUMIFS(台帳!$I$2:$I$2000,台帳!$E$2:$E$2000,$A23,台帳!$A$2:$A$2000,"&gt;="&amp;L$4,台帳!$A$2:$A$2000,"&lt;"&amp;(L$4+7))</f>
        <v>0</v>
      </c>
      <c r="M23" s="66">
        <f>SUMIFS(台帳!$I$2:$I$2000,台帳!$E$2:$E$2000,$A23,台帳!$A$2:$A$2000,"&gt;="&amp;M$4,台帳!$A$2:$A$2000,"&lt;"&amp;(M$4+7))</f>
        <v>0</v>
      </c>
      <c r="N23" s="66">
        <f>SUMIFS(台帳!$I$2:$I$2000,台帳!$E$2:$E$2000,$A23,台帳!$A$2:$A$2000,"&gt;="&amp;N$4,台帳!$A$2:$A$2000,"&lt;"&amp;(N$4+7))</f>
        <v>0</v>
      </c>
      <c r="O23" s="66">
        <f>SUMIFS(台帳!$I$2:$I$2000,台帳!$E$2:$E$2000,$A23,台帳!$A$2:$A$2000,"&gt;="&amp;O$4,台帳!$A$2:$A$2000,"&lt;"&amp;(O$4+7))</f>
        <v>19</v>
      </c>
      <c r="P23" s="66">
        <f>SUMIFS(台帳!$I$2:$I$2000,台帳!$E$2:$E$2000,$A23,台帳!$A$2:$A$2000,"&gt;="&amp;P$4,台帳!$A$2:$A$2000,"&lt;"&amp;(P$4+7))</f>
        <v>15</v>
      </c>
      <c r="Q23" s="66">
        <f>SUMIFS(台帳!$I$2:$I$2000,台帳!$E$2:$E$2000,$A23,台帳!$A$2:$A$2000,"&gt;="&amp;Q$4,台帳!$A$2:$A$2000,"&lt;"&amp;(Q$4+7))</f>
        <v>13</v>
      </c>
      <c r="R23" s="66">
        <f>SUMIFS(台帳!$I$2:$I$2000,台帳!$E$2:$E$2000,$A23,台帳!$A$2:$A$2000,"&gt;="&amp;R$4,台帳!$A$2:$A$2000,"&lt;"&amp;(R$4+7))</f>
        <v>20</v>
      </c>
      <c r="S23" s="66">
        <f>SUMIFS(台帳!$I$2:$I$2000,台帳!$E$2:$E$2000,$A23,台帳!$A$2:$A$2000,"&gt;="&amp;S$4,台帳!$A$2:$A$2000,"&lt;"&amp;(S$4+7))</f>
        <v>18</v>
      </c>
      <c r="T23" s="66">
        <f>SUMIFS(台帳!$I$2:$I$2000,台帳!$E$2:$E$2000,$A23,台帳!$A$2:$A$2000,"&gt;="&amp;T$4,台帳!$A$2:$A$2000,"&lt;"&amp;(T$4+7))</f>
        <v>1</v>
      </c>
      <c r="U23" s="66">
        <f>SUMIFS(台帳!$I$2:$I$2000,台帳!$E$2:$E$2000,$A23,台帳!$A$2:$A$2000,"&gt;="&amp;U$4,台帳!$A$2:$A$2000,"&lt;"&amp;(U$4+7))</f>
        <v>1</v>
      </c>
      <c r="V23" s="66">
        <f>SUMIFS(台帳!$I$2:$I$2000,台帳!$E$2:$E$2000,$A23,台帳!$A$2:$A$2000,"&gt;="&amp;V$4,台帳!$A$2:$A$2000,"&lt;"&amp;(V$4+7))</f>
        <v>0</v>
      </c>
      <c r="W23" s="60">
        <f>SUM(C23:V23)</f>
        <v>87</v>
      </c>
    </row>
    <row r="24" spans="1:23" ht="17.25" x14ac:dyDescent="0.35">
      <c r="A24" s="62" t="s">
        <v>382</v>
      </c>
      <c r="B24" s="45" t="s">
        <v>209</v>
      </c>
      <c r="C24" s="46">
        <f>SUMIFS(台帳!$I$2:$I$2000,台帳!$F$2:$F$2000,$B24,台帳!$A$2:$A$2000,"&gt;="&amp;C$4,台帳!$A$2:$A$2000,"&lt;"&amp;(C$4+7))</f>
        <v>0</v>
      </c>
      <c r="D24" s="46">
        <f>SUMIFS(台帳!$I$2:$I$2000,台帳!$F$2:$F$2000,$B24,台帳!$A$2:$A$2000,"&gt;="&amp;D$4,台帳!$A$2:$A$2000,"&lt;"&amp;(D$4+7))</f>
        <v>0</v>
      </c>
      <c r="E24" s="46">
        <f>SUMIFS(台帳!$I$2:$I$2000,台帳!$F$2:$F$2000,$B24,台帳!$A$2:$A$2000,"&gt;="&amp;E$4,台帳!$A$2:$A$2000,"&lt;"&amp;(E$4+7))</f>
        <v>0</v>
      </c>
      <c r="F24" s="46">
        <f>SUMIFS(台帳!$I$2:$I$2000,台帳!$F$2:$F$2000,$B24,台帳!$A$2:$A$2000,"&gt;="&amp;F$4,台帳!$A$2:$A$2000,"&lt;"&amp;(F$4+7))</f>
        <v>0</v>
      </c>
      <c r="G24" s="46">
        <f>SUMIFS(台帳!$I$2:$I$2000,台帳!$F$2:$F$2000,$B24,台帳!$A$2:$A$2000,"&gt;="&amp;G$4,台帳!$A$2:$A$2000,"&lt;"&amp;(G$4+7))</f>
        <v>0</v>
      </c>
      <c r="H24" s="46">
        <f>SUMIFS(台帳!$I$2:$I$2000,台帳!$F$2:$F$2000,$B24,台帳!$A$2:$A$2000,"&gt;="&amp;H$4,台帳!$A$2:$A$2000,"&lt;"&amp;(H$4+7))</f>
        <v>0</v>
      </c>
      <c r="I24" s="46">
        <f>SUMIFS(台帳!$I$2:$I$2000,台帳!$F$2:$F$2000,$B24,台帳!$A$2:$A$2000,"&gt;="&amp;I$4,台帳!$A$2:$A$2000,"&lt;"&amp;(I$4+7))</f>
        <v>0</v>
      </c>
      <c r="J24" s="46">
        <f>SUMIFS(台帳!$I$2:$I$2000,台帳!$F$2:$F$2000,$B24,台帳!$A$2:$A$2000,"&gt;="&amp;J$4,台帳!$A$2:$A$2000,"&lt;"&amp;(J$4+7))</f>
        <v>0</v>
      </c>
      <c r="K24" s="46">
        <f>SUMIFS(台帳!$I$2:$I$2000,台帳!$F$2:$F$2000,$B24,台帳!$A$2:$A$2000,"&gt;="&amp;K$4,台帳!$A$2:$A$2000,"&lt;"&amp;(K$4+7))</f>
        <v>0</v>
      </c>
      <c r="L24" s="46">
        <f>SUMIFS(台帳!$I$2:$I$2000,台帳!$F$2:$F$2000,$B24,台帳!$A$2:$A$2000,"&gt;="&amp;L$4,台帳!$A$2:$A$2000,"&lt;"&amp;(L$4+7))</f>
        <v>0</v>
      </c>
      <c r="M24" s="46">
        <f>SUMIFS(台帳!$I$2:$I$2000,台帳!$F$2:$F$2000,$B24,台帳!$A$2:$A$2000,"&gt;="&amp;M$4,台帳!$A$2:$A$2000,"&lt;"&amp;(M$4+7))</f>
        <v>0</v>
      </c>
      <c r="N24" s="46">
        <f>SUMIFS(台帳!$I$2:$I$2000,台帳!$F$2:$F$2000,$B24,台帳!$A$2:$A$2000,"&gt;="&amp;N$4,台帳!$A$2:$A$2000,"&lt;"&amp;(N$4+7))</f>
        <v>0</v>
      </c>
      <c r="O24" s="46">
        <f>SUMIFS(台帳!$I$2:$I$2000,台帳!$F$2:$F$2000,$B24,台帳!$A$2:$A$2000,"&gt;="&amp;O$4,台帳!$A$2:$A$2000,"&lt;"&amp;(O$4+7))</f>
        <v>14</v>
      </c>
      <c r="P24" s="46">
        <f>SUMIFS(台帳!$I$2:$I$2000,台帳!$F$2:$F$2000,$B24,台帳!$A$2:$A$2000,"&gt;="&amp;P$4,台帳!$A$2:$A$2000,"&lt;"&amp;(P$4+7))</f>
        <v>0</v>
      </c>
      <c r="Q24" s="46">
        <f>SUMIFS(台帳!$I$2:$I$2000,台帳!$F$2:$F$2000,$B24,台帳!$A$2:$A$2000,"&gt;="&amp;Q$4,台帳!$A$2:$A$2000,"&lt;"&amp;(Q$4+7))</f>
        <v>0</v>
      </c>
      <c r="R24" s="46">
        <f>SUMIFS(台帳!$I$2:$I$2000,台帳!$F$2:$F$2000,$B24,台帳!$A$2:$A$2000,"&gt;="&amp;R$4,台帳!$A$2:$A$2000,"&lt;"&amp;(R$4+7))</f>
        <v>0</v>
      </c>
      <c r="S24" s="46">
        <f>SUMIFS(台帳!$I$2:$I$2000,台帳!$F$2:$F$2000,$B24,台帳!$A$2:$A$2000,"&gt;="&amp;S$4,台帳!$A$2:$A$2000,"&lt;"&amp;(S$4+7))</f>
        <v>0</v>
      </c>
      <c r="T24" s="46">
        <f>SUMIFS(台帳!$I$2:$I$2000,台帳!$F$2:$F$2000,$B24,台帳!$A$2:$A$2000,"&gt;="&amp;T$4,台帳!$A$2:$A$2000,"&lt;"&amp;(T$4+7))</f>
        <v>0</v>
      </c>
      <c r="U24" s="46">
        <f>SUMIFS(台帳!$I$2:$I$2000,台帳!$F$2:$F$2000,$B24,台帳!$A$2:$A$2000,"&gt;="&amp;U$4,台帳!$A$2:$A$2000,"&lt;"&amp;(U$4+7))</f>
        <v>0</v>
      </c>
      <c r="V24" s="46">
        <f>SUMIFS(台帳!$I$2:$I$2000,台帳!$F$2:$F$2000,$B24,台帳!$A$2:$A$2000,"&gt;="&amp;V$4,台帳!$A$2:$A$2000,"&lt;"&amp;(V$4+7))</f>
        <v>0</v>
      </c>
      <c r="W24" s="45">
        <f>SUM(C24:V24)</f>
        <v>14</v>
      </c>
    </row>
    <row r="25" spans="1:23" ht="17.25" x14ac:dyDescent="0.35">
      <c r="A25" s="62" t="s">
        <v>382</v>
      </c>
      <c r="B25" s="45" t="s">
        <v>222</v>
      </c>
      <c r="C25" s="46">
        <f>SUMIFS(台帳!$I$2:$I$2000,台帳!$F$2:$F$2000,$B25,台帳!$A$2:$A$2000,"&gt;="&amp;C$4,台帳!$A$2:$A$2000,"&lt;"&amp;(C$4+7))</f>
        <v>0</v>
      </c>
      <c r="D25" s="46">
        <f>SUMIFS(台帳!$I$2:$I$2000,台帳!$F$2:$F$2000,$B25,台帳!$A$2:$A$2000,"&gt;="&amp;D$4,台帳!$A$2:$A$2000,"&lt;"&amp;(D$4+7))</f>
        <v>0</v>
      </c>
      <c r="E25" s="46">
        <f>SUMIFS(台帳!$I$2:$I$2000,台帳!$F$2:$F$2000,$B25,台帳!$A$2:$A$2000,"&gt;="&amp;E$4,台帳!$A$2:$A$2000,"&lt;"&amp;(E$4+7))</f>
        <v>0</v>
      </c>
      <c r="F25" s="46">
        <f>SUMIFS(台帳!$I$2:$I$2000,台帳!$F$2:$F$2000,$B25,台帳!$A$2:$A$2000,"&gt;="&amp;F$4,台帳!$A$2:$A$2000,"&lt;"&amp;(F$4+7))</f>
        <v>0</v>
      </c>
      <c r="G25" s="46">
        <f>SUMIFS(台帳!$I$2:$I$2000,台帳!$F$2:$F$2000,$B25,台帳!$A$2:$A$2000,"&gt;="&amp;G$4,台帳!$A$2:$A$2000,"&lt;"&amp;(G$4+7))</f>
        <v>0</v>
      </c>
      <c r="H25" s="46">
        <f>SUMIFS(台帳!$I$2:$I$2000,台帳!$F$2:$F$2000,$B25,台帳!$A$2:$A$2000,"&gt;="&amp;H$4,台帳!$A$2:$A$2000,"&lt;"&amp;(H$4+7))</f>
        <v>0</v>
      </c>
      <c r="I25" s="46">
        <f>SUMIFS(台帳!$I$2:$I$2000,台帳!$F$2:$F$2000,$B25,台帳!$A$2:$A$2000,"&gt;="&amp;I$4,台帳!$A$2:$A$2000,"&lt;"&amp;(I$4+7))</f>
        <v>0</v>
      </c>
      <c r="J25" s="46">
        <f>SUMIFS(台帳!$I$2:$I$2000,台帳!$F$2:$F$2000,$B25,台帳!$A$2:$A$2000,"&gt;="&amp;J$4,台帳!$A$2:$A$2000,"&lt;"&amp;(J$4+7))</f>
        <v>0</v>
      </c>
      <c r="K25" s="46">
        <f>SUMIFS(台帳!$I$2:$I$2000,台帳!$F$2:$F$2000,$B25,台帳!$A$2:$A$2000,"&gt;="&amp;K$4,台帳!$A$2:$A$2000,"&lt;"&amp;(K$4+7))</f>
        <v>0</v>
      </c>
      <c r="L25" s="46">
        <f>SUMIFS(台帳!$I$2:$I$2000,台帳!$F$2:$F$2000,$B25,台帳!$A$2:$A$2000,"&gt;="&amp;L$4,台帳!$A$2:$A$2000,"&lt;"&amp;(L$4+7))</f>
        <v>0</v>
      </c>
      <c r="M25" s="46">
        <f>SUMIFS(台帳!$I$2:$I$2000,台帳!$F$2:$F$2000,$B25,台帳!$A$2:$A$2000,"&gt;="&amp;M$4,台帳!$A$2:$A$2000,"&lt;"&amp;(M$4+7))</f>
        <v>0</v>
      </c>
      <c r="N25" s="46">
        <f>SUMIFS(台帳!$I$2:$I$2000,台帳!$F$2:$F$2000,$B25,台帳!$A$2:$A$2000,"&gt;="&amp;N$4,台帳!$A$2:$A$2000,"&lt;"&amp;(N$4+7))</f>
        <v>0</v>
      </c>
      <c r="O25" s="46">
        <f>SUMIFS(台帳!$I$2:$I$2000,台帳!$F$2:$F$2000,$B25,台帳!$A$2:$A$2000,"&gt;="&amp;O$4,台帳!$A$2:$A$2000,"&lt;"&amp;(O$4+7))</f>
        <v>4</v>
      </c>
      <c r="P25" s="46">
        <f>SUMIFS(台帳!$I$2:$I$2000,台帳!$F$2:$F$2000,$B25,台帳!$A$2:$A$2000,"&gt;="&amp;P$4,台帳!$A$2:$A$2000,"&lt;"&amp;(P$4+7))</f>
        <v>0</v>
      </c>
      <c r="Q25" s="46">
        <f>SUMIFS(台帳!$I$2:$I$2000,台帳!$F$2:$F$2000,$B25,台帳!$A$2:$A$2000,"&gt;="&amp;Q$4,台帳!$A$2:$A$2000,"&lt;"&amp;(Q$4+7))</f>
        <v>0</v>
      </c>
      <c r="R25" s="46">
        <f>SUMIFS(台帳!$I$2:$I$2000,台帳!$F$2:$F$2000,$B25,台帳!$A$2:$A$2000,"&gt;="&amp;R$4,台帳!$A$2:$A$2000,"&lt;"&amp;(R$4+7))</f>
        <v>0</v>
      </c>
      <c r="S25" s="46">
        <f>SUMIFS(台帳!$I$2:$I$2000,台帳!$F$2:$F$2000,$B25,台帳!$A$2:$A$2000,"&gt;="&amp;S$4,台帳!$A$2:$A$2000,"&lt;"&amp;(S$4+7))</f>
        <v>0</v>
      </c>
      <c r="T25" s="46">
        <f>SUMIFS(台帳!$I$2:$I$2000,台帳!$F$2:$F$2000,$B25,台帳!$A$2:$A$2000,"&gt;="&amp;T$4,台帳!$A$2:$A$2000,"&lt;"&amp;(T$4+7))</f>
        <v>0</v>
      </c>
      <c r="U25" s="46">
        <f>SUMIFS(台帳!$I$2:$I$2000,台帳!$F$2:$F$2000,$B25,台帳!$A$2:$A$2000,"&gt;="&amp;U$4,台帳!$A$2:$A$2000,"&lt;"&amp;(U$4+7))</f>
        <v>0</v>
      </c>
      <c r="V25" s="46">
        <f>SUMIFS(台帳!$I$2:$I$2000,台帳!$F$2:$F$2000,$B25,台帳!$A$2:$A$2000,"&gt;="&amp;V$4,台帳!$A$2:$A$2000,"&lt;"&amp;(V$4+7))</f>
        <v>0</v>
      </c>
      <c r="W25" s="45">
        <f>SUM(C25:V25)</f>
        <v>4</v>
      </c>
    </row>
    <row r="26" spans="1:23" ht="17.25" x14ac:dyDescent="0.35">
      <c r="A26" s="62" t="s">
        <v>382</v>
      </c>
      <c r="B26" s="45" t="s">
        <v>230</v>
      </c>
      <c r="C26" s="46">
        <f>SUMIFS(台帳!$I$2:$I$2000,台帳!$F$2:$F$2000,$B26,台帳!$A$2:$A$2000,"&gt;="&amp;C$4,台帳!$A$2:$A$2000,"&lt;"&amp;(C$4+7))</f>
        <v>0</v>
      </c>
      <c r="D26" s="46">
        <f>SUMIFS(台帳!$I$2:$I$2000,台帳!$F$2:$F$2000,$B26,台帳!$A$2:$A$2000,"&gt;="&amp;D$4,台帳!$A$2:$A$2000,"&lt;"&amp;(D$4+7))</f>
        <v>0</v>
      </c>
      <c r="E26" s="46">
        <f>SUMIFS(台帳!$I$2:$I$2000,台帳!$F$2:$F$2000,$B26,台帳!$A$2:$A$2000,"&gt;="&amp;E$4,台帳!$A$2:$A$2000,"&lt;"&amp;(E$4+7))</f>
        <v>0</v>
      </c>
      <c r="F26" s="46">
        <f>SUMIFS(台帳!$I$2:$I$2000,台帳!$F$2:$F$2000,$B26,台帳!$A$2:$A$2000,"&gt;="&amp;F$4,台帳!$A$2:$A$2000,"&lt;"&amp;(F$4+7))</f>
        <v>0</v>
      </c>
      <c r="G26" s="46">
        <f>SUMIFS(台帳!$I$2:$I$2000,台帳!$F$2:$F$2000,$B26,台帳!$A$2:$A$2000,"&gt;="&amp;G$4,台帳!$A$2:$A$2000,"&lt;"&amp;(G$4+7))</f>
        <v>0</v>
      </c>
      <c r="H26" s="46">
        <f>SUMIFS(台帳!$I$2:$I$2000,台帳!$F$2:$F$2000,$B26,台帳!$A$2:$A$2000,"&gt;="&amp;H$4,台帳!$A$2:$A$2000,"&lt;"&amp;(H$4+7))</f>
        <v>0</v>
      </c>
      <c r="I26" s="46">
        <f>SUMIFS(台帳!$I$2:$I$2000,台帳!$F$2:$F$2000,$B26,台帳!$A$2:$A$2000,"&gt;="&amp;I$4,台帳!$A$2:$A$2000,"&lt;"&amp;(I$4+7))</f>
        <v>0</v>
      </c>
      <c r="J26" s="46">
        <f>SUMIFS(台帳!$I$2:$I$2000,台帳!$F$2:$F$2000,$B26,台帳!$A$2:$A$2000,"&gt;="&amp;J$4,台帳!$A$2:$A$2000,"&lt;"&amp;(J$4+7))</f>
        <v>0</v>
      </c>
      <c r="K26" s="46">
        <f>SUMIFS(台帳!$I$2:$I$2000,台帳!$F$2:$F$2000,$B26,台帳!$A$2:$A$2000,"&gt;="&amp;K$4,台帳!$A$2:$A$2000,"&lt;"&amp;(K$4+7))</f>
        <v>0</v>
      </c>
      <c r="L26" s="46">
        <f>SUMIFS(台帳!$I$2:$I$2000,台帳!$F$2:$F$2000,$B26,台帳!$A$2:$A$2000,"&gt;="&amp;L$4,台帳!$A$2:$A$2000,"&lt;"&amp;(L$4+7))</f>
        <v>0</v>
      </c>
      <c r="M26" s="46">
        <f>SUMIFS(台帳!$I$2:$I$2000,台帳!$F$2:$F$2000,$B26,台帳!$A$2:$A$2000,"&gt;="&amp;M$4,台帳!$A$2:$A$2000,"&lt;"&amp;(M$4+7))</f>
        <v>0</v>
      </c>
      <c r="N26" s="46">
        <f>SUMIFS(台帳!$I$2:$I$2000,台帳!$F$2:$F$2000,$B26,台帳!$A$2:$A$2000,"&gt;="&amp;N$4,台帳!$A$2:$A$2000,"&lt;"&amp;(N$4+7))</f>
        <v>0</v>
      </c>
      <c r="O26" s="46">
        <f>SUMIFS(台帳!$I$2:$I$2000,台帳!$F$2:$F$2000,$B26,台帳!$A$2:$A$2000,"&gt;="&amp;O$4,台帳!$A$2:$A$2000,"&lt;"&amp;(O$4+7))</f>
        <v>1</v>
      </c>
      <c r="P26" s="46">
        <f>SUMIFS(台帳!$I$2:$I$2000,台帳!$F$2:$F$2000,$B26,台帳!$A$2:$A$2000,"&gt;="&amp;P$4,台帳!$A$2:$A$2000,"&lt;"&amp;(P$4+7))</f>
        <v>3</v>
      </c>
      <c r="Q26" s="46">
        <f>SUMIFS(台帳!$I$2:$I$2000,台帳!$F$2:$F$2000,$B26,台帳!$A$2:$A$2000,"&gt;="&amp;Q$4,台帳!$A$2:$A$2000,"&lt;"&amp;(Q$4+7))</f>
        <v>4</v>
      </c>
      <c r="R26" s="46">
        <f>SUMIFS(台帳!$I$2:$I$2000,台帳!$F$2:$F$2000,$B26,台帳!$A$2:$A$2000,"&gt;="&amp;R$4,台帳!$A$2:$A$2000,"&lt;"&amp;(R$4+7))</f>
        <v>0</v>
      </c>
      <c r="S26" s="46">
        <f>SUMIFS(台帳!$I$2:$I$2000,台帳!$F$2:$F$2000,$B26,台帳!$A$2:$A$2000,"&gt;="&amp;S$4,台帳!$A$2:$A$2000,"&lt;"&amp;(S$4+7))</f>
        <v>0</v>
      </c>
      <c r="T26" s="46">
        <f>SUMIFS(台帳!$I$2:$I$2000,台帳!$F$2:$F$2000,$B26,台帳!$A$2:$A$2000,"&gt;="&amp;T$4,台帳!$A$2:$A$2000,"&lt;"&amp;(T$4+7))</f>
        <v>0</v>
      </c>
      <c r="U26" s="46">
        <f>SUMIFS(台帳!$I$2:$I$2000,台帳!$F$2:$F$2000,$B26,台帳!$A$2:$A$2000,"&gt;="&amp;U$4,台帳!$A$2:$A$2000,"&lt;"&amp;(U$4+7))</f>
        <v>0</v>
      </c>
      <c r="V26" s="46">
        <f>SUMIFS(台帳!$I$2:$I$2000,台帳!$F$2:$F$2000,$B26,台帳!$A$2:$A$2000,"&gt;="&amp;V$4,台帳!$A$2:$A$2000,"&lt;"&amp;(V$4+7))</f>
        <v>0</v>
      </c>
      <c r="W26" s="45">
        <f>SUM(C26:V26)</f>
        <v>8</v>
      </c>
    </row>
    <row r="27" spans="1:23" ht="17.25" x14ac:dyDescent="0.35">
      <c r="A27" s="62" t="s">
        <v>382</v>
      </c>
      <c r="B27" s="45" t="s">
        <v>233</v>
      </c>
      <c r="C27" s="46">
        <f>SUMIFS(台帳!$I$2:$I$2000,台帳!$F$2:$F$2000,$B27,台帳!$A$2:$A$2000,"&gt;="&amp;C$4,台帳!$A$2:$A$2000,"&lt;"&amp;(C$4+7))</f>
        <v>0</v>
      </c>
      <c r="D27" s="46">
        <f>SUMIFS(台帳!$I$2:$I$2000,台帳!$F$2:$F$2000,$B27,台帳!$A$2:$A$2000,"&gt;="&amp;D$4,台帳!$A$2:$A$2000,"&lt;"&amp;(D$4+7))</f>
        <v>0</v>
      </c>
      <c r="E27" s="46">
        <f>SUMIFS(台帳!$I$2:$I$2000,台帳!$F$2:$F$2000,$B27,台帳!$A$2:$A$2000,"&gt;="&amp;E$4,台帳!$A$2:$A$2000,"&lt;"&amp;(E$4+7))</f>
        <v>0</v>
      </c>
      <c r="F27" s="46">
        <f>SUMIFS(台帳!$I$2:$I$2000,台帳!$F$2:$F$2000,$B27,台帳!$A$2:$A$2000,"&gt;="&amp;F$4,台帳!$A$2:$A$2000,"&lt;"&amp;(F$4+7))</f>
        <v>0</v>
      </c>
      <c r="G27" s="46">
        <f>SUMIFS(台帳!$I$2:$I$2000,台帳!$F$2:$F$2000,$B27,台帳!$A$2:$A$2000,"&gt;="&amp;G$4,台帳!$A$2:$A$2000,"&lt;"&amp;(G$4+7))</f>
        <v>0</v>
      </c>
      <c r="H27" s="46">
        <f>SUMIFS(台帳!$I$2:$I$2000,台帳!$F$2:$F$2000,$B27,台帳!$A$2:$A$2000,"&gt;="&amp;H$4,台帳!$A$2:$A$2000,"&lt;"&amp;(H$4+7))</f>
        <v>0</v>
      </c>
      <c r="I27" s="46">
        <f>SUMIFS(台帳!$I$2:$I$2000,台帳!$F$2:$F$2000,$B27,台帳!$A$2:$A$2000,"&gt;="&amp;I$4,台帳!$A$2:$A$2000,"&lt;"&amp;(I$4+7))</f>
        <v>0</v>
      </c>
      <c r="J27" s="46">
        <f>SUMIFS(台帳!$I$2:$I$2000,台帳!$F$2:$F$2000,$B27,台帳!$A$2:$A$2000,"&gt;="&amp;J$4,台帳!$A$2:$A$2000,"&lt;"&amp;(J$4+7))</f>
        <v>0</v>
      </c>
      <c r="K27" s="46">
        <f>SUMIFS(台帳!$I$2:$I$2000,台帳!$F$2:$F$2000,$B27,台帳!$A$2:$A$2000,"&gt;="&amp;K$4,台帳!$A$2:$A$2000,"&lt;"&amp;(K$4+7))</f>
        <v>0</v>
      </c>
      <c r="L27" s="46">
        <f>SUMIFS(台帳!$I$2:$I$2000,台帳!$F$2:$F$2000,$B27,台帳!$A$2:$A$2000,"&gt;="&amp;L$4,台帳!$A$2:$A$2000,"&lt;"&amp;(L$4+7))</f>
        <v>0</v>
      </c>
      <c r="M27" s="46">
        <f>SUMIFS(台帳!$I$2:$I$2000,台帳!$F$2:$F$2000,$B27,台帳!$A$2:$A$2000,"&gt;="&amp;M$4,台帳!$A$2:$A$2000,"&lt;"&amp;(M$4+7))</f>
        <v>0</v>
      </c>
      <c r="N27" s="46">
        <f>SUMIFS(台帳!$I$2:$I$2000,台帳!$F$2:$F$2000,$B27,台帳!$A$2:$A$2000,"&gt;="&amp;N$4,台帳!$A$2:$A$2000,"&lt;"&amp;(N$4+7))</f>
        <v>0</v>
      </c>
      <c r="O27" s="46">
        <f>SUMIFS(台帳!$I$2:$I$2000,台帳!$F$2:$F$2000,$B27,台帳!$A$2:$A$2000,"&gt;="&amp;O$4,台帳!$A$2:$A$2000,"&lt;"&amp;(O$4+7))</f>
        <v>0</v>
      </c>
      <c r="P27" s="46">
        <f>SUMIFS(台帳!$I$2:$I$2000,台帳!$F$2:$F$2000,$B27,台帳!$A$2:$A$2000,"&gt;="&amp;P$4,台帳!$A$2:$A$2000,"&lt;"&amp;(P$4+7))</f>
        <v>12</v>
      </c>
      <c r="Q27" s="46">
        <f>SUMIFS(台帳!$I$2:$I$2000,台帳!$F$2:$F$2000,$B27,台帳!$A$2:$A$2000,"&gt;="&amp;Q$4,台帳!$A$2:$A$2000,"&lt;"&amp;(Q$4+7))</f>
        <v>0</v>
      </c>
      <c r="R27" s="46">
        <f>SUMIFS(台帳!$I$2:$I$2000,台帳!$F$2:$F$2000,$B27,台帳!$A$2:$A$2000,"&gt;="&amp;R$4,台帳!$A$2:$A$2000,"&lt;"&amp;(R$4+7))</f>
        <v>0</v>
      </c>
      <c r="S27" s="46">
        <f>SUMIFS(台帳!$I$2:$I$2000,台帳!$F$2:$F$2000,$B27,台帳!$A$2:$A$2000,"&gt;="&amp;S$4,台帳!$A$2:$A$2000,"&lt;"&amp;(S$4+7))</f>
        <v>0</v>
      </c>
      <c r="T27" s="46">
        <f>SUMIFS(台帳!$I$2:$I$2000,台帳!$F$2:$F$2000,$B27,台帳!$A$2:$A$2000,"&gt;="&amp;T$4,台帳!$A$2:$A$2000,"&lt;"&amp;(T$4+7))</f>
        <v>0</v>
      </c>
      <c r="U27" s="46">
        <f>SUMIFS(台帳!$I$2:$I$2000,台帳!$F$2:$F$2000,$B27,台帳!$A$2:$A$2000,"&gt;="&amp;U$4,台帳!$A$2:$A$2000,"&lt;"&amp;(U$4+7))</f>
        <v>0</v>
      </c>
      <c r="V27" s="46">
        <f>SUMIFS(台帳!$I$2:$I$2000,台帳!$F$2:$F$2000,$B27,台帳!$A$2:$A$2000,"&gt;="&amp;V$4,台帳!$A$2:$A$2000,"&lt;"&amp;(V$4+7))</f>
        <v>0</v>
      </c>
      <c r="W27" s="45">
        <f>SUM(C27:V27)</f>
        <v>12</v>
      </c>
    </row>
    <row r="28" spans="1:23" ht="17.25" x14ac:dyDescent="0.35">
      <c r="A28" s="62" t="s">
        <v>382</v>
      </c>
      <c r="B28" s="45" t="s">
        <v>398</v>
      </c>
      <c r="C28" s="46">
        <f>SUMIFS(台帳!$I$2:$I$2000,台帳!$F$2:$F$2000,$B28,台帳!$A$2:$A$2000,"&gt;="&amp;C$4,台帳!$A$2:$A$2000,"&lt;"&amp;(C$4+7))</f>
        <v>0</v>
      </c>
      <c r="D28" s="46">
        <f>SUMIFS(台帳!$I$2:$I$2000,台帳!$F$2:$F$2000,$B28,台帳!$A$2:$A$2000,"&gt;="&amp;D$4,台帳!$A$2:$A$2000,"&lt;"&amp;(D$4+7))</f>
        <v>0</v>
      </c>
      <c r="E28" s="46">
        <f>SUMIFS(台帳!$I$2:$I$2000,台帳!$F$2:$F$2000,$B28,台帳!$A$2:$A$2000,"&gt;="&amp;E$4,台帳!$A$2:$A$2000,"&lt;"&amp;(E$4+7))</f>
        <v>0</v>
      </c>
      <c r="F28" s="46">
        <f>SUMIFS(台帳!$I$2:$I$2000,台帳!$F$2:$F$2000,$B28,台帳!$A$2:$A$2000,"&gt;="&amp;F$4,台帳!$A$2:$A$2000,"&lt;"&amp;(F$4+7))</f>
        <v>0</v>
      </c>
      <c r="G28" s="46">
        <f>SUMIFS(台帳!$I$2:$I$2000,台帳!$F$2:$F$2000,$B28,台帳!$A$2:$A$2000,"&gt;="&amp;G$4,台帳!$A$2:$A$2000,"&lt;"&amp;(G$4+7))</f>
        <v>0</v>
      </c>
      <c r="H28" s="46">
        <f>SUMIFS(台帳!$I$2:$I$2000,台帳!$F$2:$F$2000,$B28,台帳!$A$2:$A$2000,"&gt;="&amp;H$4,台帳!$A$2:$A$2000,"&lt;"&amp;(H$4+7))</f>
        <v>0</v>
      </c>
      <c r="I28" s="46">
        <f>SUMIFS(台帳!$I$2:$I$2000,台帳!$F$2:$F$2000,$B28,台帳!$A$2:$A$2000,"&gt;="&amp;I$4,台帳!$A$2:$A$2000,"&lt;"&amp;(I$4+7))</f>
        <v>0</v>
      </c>
      <c r="J28" s="46">
        <f>SUMIFS(台帳!$I$2:$I$2000,台帳!$F$2:$F$2000,$B28,台帳!$A$2:$A$2000,"&gt;="&amp;J$4,台帳!$A$2:$A$2000,"&lt;"&amp;(J$4+7))</f>
        <v>0</v>
      </c>
      <c r="K28" s="46">
        <f>SUMIFS(台帳!$I$2:$I$2000,台帳!$F$2:$F$2000,$B28,台帳!$A$2:$A$2000,"&gt;="&amp;K$4,台帳!$A$2:$A$2000,"&lt;"&amp;(K$4+7))</f>
        <v>0</v>
      </c>
      <c r="L28" s="46">
        <f>SUMIFS(台帳!$I$2:$I$2000,台帳!$F$2:$F$2000,$B28,台帳!$A$2:$A$2000,"&gt;="&amp;L$4,台帳!$A$2:$A$2000,"&lt;"&amp;(L$4+7))</f>
        <v>0</v>
      </c>
      <c r="M28" s="46">
        <f>SUMIFS(台帳!$I$2:$I$2000,台帳!$F$2:$F$2000,$B28,台帳!$A$2:$A$2000,"&gt;="&amp;M$4,台帳!$A$2:$A$2000,"&lt;"&amp;(M$4+7))</f>
        <v>0</v>
      </c>
      <c r="N28" s="46">
        <f>SUMIFS(台帳!$I$2:$I$2000,台帳!$F$2:$F$2000,$B28,台帳!$A$2:$A$2000,"&gt;="&amp;N$4,台帳!$A$2:$A$2000,"&lt;"&amp;(N$4+7))</f>
        <v>0</v>
      </c>
      <c r="O28" s="46">
        <f>SUMIFS(台帳!$I$2:$I$2000,台帳!$F$2:$F$2000,$B28,台帳!$A$2:$A$2000,"&gt;="&amp;O$4,台帳!$A$2:$A$2000,"&lt;"&amp;(O$4+7))</f>
        <v>0</v>
      </c>
      <c r="P28" s="46">
        <f>SUMIFS(台帳!$I$2:$I$2000,台帳!$F$2:$F$2000,$B28,台帳!$A$2:$A$2000,"&gt;="&amp;P$4,台帳!$A$2:$A$2000,"&lt;"&amp;(P$4+7))</f>
        <v>0</v>
      </c>
      <c r="Q28" s="46">
        <f>SUMIFS(台帳!$I$2:$I$2000,台帳!$F$2:$F$2000,$B28,台帳!$A$2:$A$2000,"&gt;="&amp;Q$4,台帳!$A$2:$A$2000,"&lt;"&amp;(Q$4+7))</f>
        <v>0</v>
      </c>
      <c r="R28" s="46">
        <f>SUMIFS(台帳!$I$2:$I$2000,台帳!$F$2:$F$2000,$B28,台帳!$A$2:$A$2000,"&gt;="&amp;R$4,台帳!$A$2:$A$2000,"&lt;"&amp;(R$4+7))</f>
        <v>0</v>
      </c>
      <c r="S28" s="46">
        <f>SUMIFS(台帳!$I$2:$I$2000,台帳!$F$2:$F$2000,$B28,台帳!$A$2:$A$2000,"&gt;="&amp;S$4,台帳!$A$2:$A$2000,"&lt;"&amp;(S$4+7))</f>
        <v>0</v>
      </c>
      <c r="T28" s="46">
        <f>SUMIFS(台帳!$I$2:$I$2000,台帳!$F$2:$F$2000,$B28,台帳!$A$2:$A$2000,"&gt;="&amp;T$4,台帳!$A$2:$A$2000,"&lt;"&amp;(T$4+7))</f>
        <v>0</v>
      </c>
      <c r="U28" s="46">
        <f>SUMIFS(台帳!$I$2:$I$2000,台帳!$F$2:$F$2000,$B28,台帳!$A$2:$A$2000,"&gt;="&amp;U$4,台帳!$A$2:$A$2000,"&lt;"&amp;(U$4+7))</f>
        <v>0</v>
      </c>
      <c r="V28" s="46">
        <f>SUMIFS(台帳!$I$2:$I$2000,台帳!$F$2:$F$2000,$B28,台帳!$A$2:$A$2000,"&gt;="&amp;V$4,台帳!$A$2:$A$2000,"&lt;"&amp;(V$4+7))</f>
        <v>0</v>
      </c>
      <c r="W28" s="45">
        <f>SUM(C28:V28)</f>
        <v>0</v>
      </c>
    </row>
    <row r="29" spans="1:23" ht="17.25" x14ac:dyDescent="0.35">
      <c r="A29" s="62" t="s">
        <v>382</v>
      </c>
      <c r="B29" s="45" t="s">
        <v>258</v>
      </c>
      <c r="C29" s="46">
        <f>SUMIFS(台帳!$I$2:$I$2000,台帳!$F$2:$F$2000,$B29,台帳!$A$2:$A$2000,"&gt;="&amp;C$4,台帳!$A$2:$A$2000,"&lt;"&amp;(C$4+7))</f>
        <v>0</v>
      </c>
      <c r="D29" s="46">
        <f>SUMIFS(台帳!$I$2:$I$2000,台帳!$F$2:$F$2000,$B29,台帳!$A$2:$A$2000,"&gt;="&amp;D$4,台帳!$A$2:$A$2000,"&lt;"&amp;(D$4+7))</f>
        <v>0</v>
      </c>
      <c r="E29" s="46">
        <f>SUMIFS(台帳!$I$2:$I$2000,台帳!$F$2:$F$2000,$B29,台帳!$A$2:$A$2000,"&gt;="&amp;E$4,台帳!$A$2:$A$2000,"&lt;"&amp;(E$4+7))</f>
        <v>0</v>
      </c>
      <c r="F29" s="46">
        <f>SUMIFS(台帳!$I$2:$I$2000,台帳!$F$2:$F$2000,$B29,台帳!$A$2:$A$2000,"&gt;="&amp;F$4,台帳!$A$2:$A$2000,"&lt;"&amp;(F$4+7))</f>
        <v>0</v>
      </c>
      <c r="G29" s="46">
        <f>SUMIFS(台帳!$I$2:$I$2000,台帳!$F$2:$F$2000,$B29,台帳!$A$2:$A$2000,"&gt;="&amp;G$4,台帳!$A$2:$A$2000,"&lt;"&amp;(G$4+7))</f>
        <v>0</v>
      </c>
      <c r="H29" s="46">
        <f>SUMIFS(台帳!$I$2:$I$2000,台帳!$F$2:$F$2000,$B29,台帳!$A$2:$A$2000,"&gt;="&amp;H$4,台帳!$A$2:$A$2000,"&lt;"&amp;(H$4+7))</f>
        <v>0</v>
      </c>
      <c r="I29" s="46">
        <f>SUMIFS(台帳!$I$2:$I$2000,台帳!$F$2:$F$2000,$B29,台帳!$A$2:$A$2000,"&gt;="&amp;I$4,台帳!$A$2:$A$2000,"&lt;"&amp;(I$4+7))</f>
        <v>0</v>
      </c>
      <c r="J29" s="46">
        <f>SUMIFS(台帳!$I$2:$I$2000,台帳!$F$2:$F$2000,$B29,台帳!$A$2:$A$2000,"&gt;="&amp;J$4,台帳!$A$2:$A$2000,"&lt;"&amp;(J$4+7))</f>
        <v>0</v>
      </c>
      <c r="K29" s="46">
        <f>SUMIFS(台帳!$I$2:$I$2000,台帳!$F$2:$F$2000,$B29,台帳!$A$2:$A$2000,"&gt;="&amp;K$4,台帳!$A$2:$A$2000,"&lt;"&amp;(K$4+7))</f>
        <v>0</v>
      </c>
      <c r="L29" s="46">
        <f>SUMIFS(台帳!$I$2:$I$2000,台帳!$F$2:$F$2000,$B29,台帳!$A$2:$A$2000,"&gt;="&amp;L$4,台帳!$A$2:$A$2000,"&lt;"&amp;(L$4+7))</f>
        <v>0</v>
      </c>
      <c r="M29" s="46">
        <f>SUMIFS(台帳!$I$2:$I$2000,台帳!$F$2:$F$2000,$B29,台帳!$A$2:$A$2000,"&gt;="&amp;M$4,台帳!$A$2:$A$2000,"&lt;"&amp;(M$4+7))</f>
        <v>0</v>
      </c>
      <c r="N29" s="46">
        <f>SUMIFS(台帳!$I$2:$I$2000,台帳!$F$2:$F$2000,$B29,台帳!$A$2:$A$2000,"&gt;="&amp;N$4,台帳!$A$2:$A$2000,"&lt;"&amp;(N$4+7))</f>
        <v>0</v>
      </c>
      <c r="O29" s="46">
        <f>SUMIFS(台帳!$I$2:$I$2000,台帳!$F$2:$F$2000,$B29,台帳!$A$2:$A$2000,"&gt;="&amp;O$4,台帳!$A$2:$A$2000,"&lt;"&amp;(O$4+7))</f>
        <v>0</v>
      </c>
      <c r="P29" s="46">
        <f>SUMIFS(台帳!$I$2:$I$2000,台帳!$F$2:$F$2000,$B29,台帳!$A$2:$A$2000,"&gt;="&amp;P$4,台帳!$A$2:$A$2000,"&lt;"&amp;(P$4+7))</f>
        <v>0</v>
      </c>
      <c r="Q29" s="46">
        <f>SUMIFS(台帳!$I$2:$I$2000,台帳!$F$2:$F$2000,$B29,台帳!$A$2:$A$2000,"&gt;="&amp;Q$4,台帳!$A$2:$A$2000,"&lt;"&amp;(Q$4+7))</f>
        <v>4</v>
      </c>
      <c r="R29" s="46">
        <f>SUMIFS(台帳!$I$2:$I$2000,台帳!$F$2:$F$2000,$B29,台帳!$A$2:$A$2000,"&gt;="&amp;R$4,台帳!$A$2:$A$2000,"&lt;"&amp;(R$4+7))</f>
        <v>0</v>
      </c>
      <c r="S29" s="46">
        <f>SUMIFS(台帳!$I$2:$I$2000,台帳!$F$2:$F$2000,$B29,台帳!$A$2:$A$2000,"&gt;="&amp;S$4,台帳!$A$2:$A$2000,"&lt;"&amp;(S$4+7))</f>
        <v>0</v>
      </c>
      <c r="T29" s="46">
        <f>SUMIFS(台帳!$I$2:$I$2000,台帳!$F$2:$F$2000,$B29,台帳!$A$2:$A$2000,"&gt;="&amp;T$4,台帳!$A$2:$A$2000,"&lt;"&amp;(T$4+7))</f>
        <v>0</v>
      </c>
      <c r="U29" s="46">
        <f>SUMIFS(台帳!$I$2:$I$2000,台帳!$F$2:$F$2000,$B29,台帳!$A$2:$A$2000,"&gt;="&amp;U$4,台帳!$A$2:$A$2000,"&lt;"&amp;(U$4+7))</f>
        <v>0</v>
      </c>
      <c r="V29" s="46">
        <f>SUMIFS(台帳!$I$2:$I$2000,台帳!$F$2:$F$2000,$B29,台帳!$A$2:$A$2000,"&gt;="&amp;V$4,台帳!$A$2:$A$2000,"&lt;"&amp;(V$4+7))</f>
        <v>0</v>
      </c>
      <c r="W29" s="45">
        <f>SUM(C29:V29)</f>
        <v>4</v>
      </c>
    </row>
    <row r="30" spans="1:23" ht="17.25" x14ac:dyDescent="0.35">
      <c r="A30" s="62" t="s">
        <v>382</v>
      </c>
      <c r="B30" s="45" t="s">
        <v>283</v>
      </c>
      <c r="C30" s="46">
        <f>SUMIFS(台帳!$I$2:$I$2000,台帳!$F$2:$F$2000,$B30,台帳!$A$2:$A$2000,"&gt;="&amp;C$4,台帳!$A$2:$A$2000,"&lt;"&amp;(C$4+7))</f>
        <v>0</v>
      </c>
      <c r="D30" s="46">
        <f>SUMIFS(台帳!$I$2:$I$2000,台帳!$F$2:$F$2000,$B30,台帳!$A$2:$A$2000,"&gt;="&amp;D$4,台帳!$A$2:$A$2000,"&lt;"&amp;(D$4+7))</f>
        <v>0</v>
      </c>
      <c r="E30" s="46">
        <f>SUMIFS(台帳!$I$2:$I$2000,台帳!$F$2:$F$2000,$B30,台帳!$A$2:$A$2000,"&gt;="&amp;E$4,台帳!$A$2:$A$2000,"&lt;"&amp;(E$4+7))</f>
        <v>0</v>
      </c>
      <c r="F30" s="46">
        <f>SUMIFS(台帳!$I$2:$I$2000,台帳!$F$2:$F$2000,$B30,台帳!$A$2:$A$2000,"&gt;="&amp;F$4,台帳!$A$2:$A$2000,"&lt;"&amp;(F$4+7))</f>
        <v>0</v>
      </c>
      <c r="G30" s="46">
        <f>SUMIFS(台帳!$I$2:$I$2000,台帳!$F$2:$F$2000,$B30,台帳!$A$2:$A$2000,"&gt;="&amp;G$4,台帳!$A$2:$A$2000,"&lt;"&amp;(G$4+7))</f>
        <v>0</v>
      </c>
      <c r="H30" s="46">
        <f>SUMIFS(台帳!$I$2:$I$2000,台帳!$F$2:$F$2000,$B30,台帳!$A$2:$A$2000,"&gt;="&amp;H$4,台帳!$A$2:$A$2000,"&lt;"&amp;(H$4+7))</f>
        <v>0</v>
      </c>
      <c r="I30" s="46">
        <f>SUMIFS(台帳!$I$2:$I$2000,台帳!$F$2:$F$2000,$B30,台帳!$A$2:$A$2000,"&gt;="&amp;I$4,台帳!$A$2:$A$2000,"&lt;"&amp;(I$4+7))</f>
        <v>0</v>
      </c>
      <c r="J30" s="46">
        <f>SUMIFS(台帳!$I$2:$I$2000,台帳!$F$2:$F$2000,$B30,台帳!$A$2:$A$2000,"&gt;="&amp;J$4,台帳!$A$2:$A$2000,"&lt;"&amp;(J$4+7))</f>
        <v>0</v>
      </c>
      <c r="K30" s="46">
        <f>SUMIFS(台帳!$I$2:$I$2000,台帳!$F$2:$F$2000,$B30,台帳!$A$2:$A$2000,"&gt;="&amp;K$4,台帳!$A$2:$A$2000,"&lt;"&amp;(K$4+7))</f>
        <v>0</v>
      </c>
      <c r="L30" s="46">
        <f>SUMIFS(台帳!$I$2:$I$2000,台帳!$F$2:$F$2000,$B30,台帳!$A$2:$A$2000,"&gt;="&amp;L$4,台帳!$A$2:$A$2000,"&lt;"&amp;(L$4+7))</f>
        <v>0</v>
      </c>
      <c r="M30" s="46">
        <f>SUMIFS(台帳!$I$2:$I$2000,台帳!$F$2:$F$2000,$B30,台帳!$A$2:$A$2000,"&gt;="&amp;M$4,台帳!$A$2:$A$2000,"&lt;"&amp;(M$4+7))</f>
        <v>0</v>
      </c>
      <c r="N30" s="46">
        <f>SUMIFS(台帳!$I$2:$I$2000,台帳!$F$2:$F$2000,$B30,台帳!$A$2:$A$2000,"&gt;="&amp;N$4,台帳!$A$2:$A$2000,"&lt;"&amp;(N$4+7))</f>
        <v>0</v>
      </c>
      <c r="O30" s="46">
        <f>SUMIFS(台帳!$I$2:$I$2000,台帳!$F$2:$F$2000,$B30,台帳!$A$2:$A$2000,"&gt;="&amp;O$4,台帳!$A$2:$A$2000,"&lt;"&amp;(O$4+7))</f>
        <v>0</v>
      </c>
      <c r="P30" s="46">
        <f>SUMIFS(台帳!$I$2:$I$2000,台帳!$F$2:$F$2000,$B30,台帳!$A$2:$A$2000,"&gt;="&amp;P$4,台帳!$A$2:$A$2000,"&lt;"&amp;(P$4+7))</f>
        <v>0</v>
      </c>
      <c r="Q30" s="46">
        <f>SUMIFS(台帳!$I$2:$I$2000,台帳!$F$2:$F$2000,$B30,台帳!$A$2:$A$2000,"&gt;="&amp;Q$4,台帳!$A$2:$A$2000,"&lt;"&amp;(Q$4+7))</f>
        <v>0</v>
      </c>
      <c r="R30" s="46">
        <f>SUMIFS(台帳!$I$2:$I$2000,台帳!$F$2:$F$2000,$B30,台帳!$A$2:$A$2000,"&gt;="&amp;R$4,台帳!$A$2:$A$2000,"&lt;"&amp;(R$4+7))</f>
        <v>4</v>
      </c>
      <c r="S30" s="46">
        <f>SUMIFS(台帳!$I$2:$I$2000,台帳!$F$2:$F$2000,$B30,台帳!$A$2:$A$2000,"&gt;="&amp;S$4,台帳!$A$2:$A$2000,"&lt;"&amp;(S$4+7))</f>
        <v>13</v>
      </c>
      <c r="T30" s="46">
        <f>SUMIFS(台帳!$I$2:$I$2000,台帳!$F$2:$F$2000,$B30,台帳!$A$2:$A$2000,"&gt;="&amp;T$4,台帳!$A$2:$A$2000,"&lt;"&amp;(T$4+7))</f>
        <v>0</v>
      </c>
      <c r="U30" s="46">
        <f>SUMIFS(台帳!$I$2:$I$2000,台帳!$F$2:$F$2000,$B30,台帳!$A$2:$A$2000,"&gt;="&amp;U$4,台帳!$A$2:$A$2000,"&lt;"&amp;(U$4+7))</f>
        <v>0</v>
      </c>
      <c r="V30" s="46">
        <f>SUMIFS(台帳!$I$2:$I$2000,台帳!$F$2:$F$2000,$B30,台帳!$A$2:$A$2000,"&gt;="&amp;V$4,台帳!$A$2:$A$2000,"&lt;"&amp;(V$4+7))</f>
        <v>0</v>
      </c>
      <c r="W30" s="45">
        <f>SUM(C30:V30)</f>
        <v>17</v>
      </c>
    </row>
    <row r="31" spans="1:23" ht="17.25" x14ac:dyDescent="0.35">
      <c r="A31" s="62" t="s">
        <v>382</v>
      </c>
      <c r="B31" s="45" t="s">
        <v>400</v>
      </c>
      <c r="C31" s="46">
        <f>SUMIFS(台帳!$I$2:$I$2000,台帳!$F$2:$F$2000,$B31,台帳!$A$2:$A$2000,"&gt;="&amp;C$4,台帳!$A$2:$A$2000,"&lt;"&amp;(C$4+7))</f>
        <v>0</v>
      </c>
      <c r="D31" s="46">
        <f>SUMIFS(台帳!$I$2:$I$2000,台帳!$F$2:$F$2000,$B31,台帳!$A$2:$A$2000,"&gt;="&amp;D$4,台帳!$A$2:$A$2000,"&lt;"&amp;(D$4+7))</f>
        <v>0</v>
      </c>
      <c r="E31" s="46">
        <f>SUMIFS(台帳!$I$2:$I$2000,台帳!$F$2:$F$2000,$B31,台帳!$A$2:$A$2000,"&gt;="&amp;E$4,台帳!$A$2:$A$2000,"&lt;"&amp;(E$4+7))</f>
        <v>0</v>
      </c>
      <c r="F31" s="46">
        <f>SUMIFS(台帳!$I$2:$I$2000,台帳!$F$2:$F$2000,$B31,台帳!$A$2:$A$2000,"&gt;="&amp;F$4,台帳!$A$2:$A$2000,"&lt;"&amp;(F$4+7))</f>
        <v>0</v>
      </c>
      <c r="G31" s="46">
        <f>SUMIFS(台帳!$I$2:$I$2000,台帳!$F$2:$F$2000,$B31,台帳!$A$2:$A$2000,"&gt;="&amp;G$4,台帳!$A$2:$A$2000,"&lt;"&amp;(G$4+7))</f>
        <v>0</v>
      </c>
      <c r="H31" s="46">
        <f>SUMIFS(台帳!$I$2:$I$2000,台帳!$F$2:$F$2000,$B31,台帳!$A$2:$A$2000,"&gt;="&amp;H$4,台帳!$A$2:$A$2000,"&lt;"&amp;(H$4+7))</f>
        <v>0</v>
      </c>
      <c r="I31" s="46">
        <f>SUMIFS(台帳!$I$2:$I$2000,台帳!$F$2:$F$2000,$B31,台帳!$A$2:$A$2000,"&gt;="&amp;I$4,台帳!$A$2:$A$2000,"&lt;"&amp;(I$4+7))</f>
        <v>0</v>
      </c>
      <c r="J31" s="46">
        <f>SUMIFS(台帳!$I$2:$I$2000,台帳!$F$2:$F$2000,$B31,台帳!$A$2:$A$2000,"&gt;="&amp;J$4,台帳!$A$2:$A$2000,"&lt;"&amp;(J$4+7))</f>
        <v>0</v>
      </c>
      <c r="K31" s="46">
        <f>SUMIFS(台帳!$I$2:$I$2000,台帳!$F$2:$F$2000,$B31,台帳!$A$2:$A$2000,"&gt;="&amp;K$4,台帳!$A$2:$A$2000,"&lt;"&amp;(K$4+7))</f>
        <v>0</v>
      </c>
      <c r="L31" s="46">
        <f>SUMIFS(台帳!$I$2:$I$2000,台帳!$F$2:$F$2000,$B31,台帳!$A$2:$A$2000,"&gt;="&amp;L$4,台帳!$A$2:$A$2000,"&lt;"&amp;(L$4+7))</f>
        <v>0</v>
      </c>
      <c r="M31" s="46">
        <f>SUMIFS(台帳!$I$2:$I$2000,台帳!$F$2:$F$2000,$B31,台帳!$A$2:$A$2000,"&gt;="&amp;M$4,台帳!$A$2:$A$2000,"&lt;"&amp;(M$4+7))</f>
        <v>0</v>
      </c>
      <c r="N31" s="46">
        <f>SUMIFS(台帳!$I$2:$I$2000,台帳!$F$2:$F$2000,$B31,台帳!$A$2:$A$2000,"&gt;="&amp;N$4,台帳!$A$2:$A$2000,"&lt;"&amp;(N$4+7))</f>
        <v>0</v>
      </c>
      <c r="O31" s="46">
        <f>SUMIFS(台帳!$I$2:$I$2000,台帳!$F$2:$F$2000,$B31,台帳!$A$2:$A$2000,"&gt;="&amp;O$4,台帳!$A$2:$A$2000,"&lt;"&amp;(O$4+7))</f>
        <v>0</v>
      </c>
      <c r="P31" s="46">
        <f>SUMIFS(台帳!$I$2:$I$2000,台帳!$F$2:$F$2000,$B31,台帳!$A$2:$A$2000,"&gt;="&amp;P$4,台帳!$A$2:$A$2000,"&lt;"&amp;(P$4+7))</f>
        <v>0</v>
      </c>
      <c r="Q31" s="46">
        <f>SUMIFS(台帳!$I$2:$I$2000,台帳!$F$2:$F$2000,$B31,台帳!$A$2:$A$2000,"&gt;="&amp;Q$4,台帳!$A$2:$A$2000,"&lt;"&amp;(Q$4+7))</f>
        <v>5</v>
      </c>
      <c r="R31" s="46">
        <f>SUMIFS(台帳!$I$2:$I$2000,台帳!$F$2:$F$2000,$B31,台帳!$A$2:$A$2000,"&gt;="&amp;R$4,台帳!$A$2:$A$2000,"&lt;"&amp;(R$4+7))</f>
        <v>16</v>
      </c>
      <c r="S31" s="46">
        <f>SUMIFS(台帳!$I$2:$I$2000,台帳!$F$2:$F$2000,$B31,台帳!$A$2:$A$2000,"&gt;="&amp;S$4,台帳!$A$2:$A$2000,"&lt;"&amp;(S$4+7))</f>
        <v>5</v>
      </c>
      <c r="T31" s="46">
        <f>SUMIFS(台帳!$I$2:$I$2000,台帳!$F$2:$F$2000,$B31,台帳!$A$2:$A$2000,"&gt;="&amp;T$4,台帳!$A$2:$A$2000,"&lt;"&amp;(T$4+7))</f>
        <v>0</v>
      </c>
      <c r="U31" s="46">
        <f>SUMIFS(台帳!$I$2:$I$2000,台帳!$F$2:$F$2000,$B31,台帳!$A$2:$A$2000,"&gt;="&amp;U$4,台帳!$A$2:$A$2000,"&lt;"&amp;(U$4+7))</f>
        <v>0</v>
      </c>
      <c r="V31" s="46">
        <f>SUMIFS(台帳!$I$2:$I$2000,台帳!$F$2:$F$2000,$B31,台帳!$A$2:$A$2000,"&gt;="&amp;V$4,台帳!$A$2:$A$2000,"&lt;"&amp;(V$4+7))</f>
        <v>0</v>
      </c>
      <c r="W31" s="45">
        <f>SUM(C31:V31)</f>
        <v>26</v>
      </c>
    </row>
    <row r="32" spans="1:23" ht="17.25" x14ac:dyDescent="0.35">
      <c r="A32" s="62" t="s">
        <v>382</v>
      </c>
      <c r="B32" s="45" t="s">
        <v>322</v>
      </c>
      <c r="C32" s="46">
        <f>SUMIFS(台帳!$I$2:$I$2000,台帳!$F$2:$F$2000,$B32,台帳!$A$2:$A$2000,"&gt;="&amp;C$4,台帳!$A$2:$A$2000,"&lt;"&amp;(C$4+7))</f>
        <v>0</v>
      </c>
      <c r="D32" s="46">
        <f>SUMIFS(台帳!$I$2:$I$2000,台帳!$F$2:$F$2000,$B32,台帳!$A$2:$A$2000,"&gt;="&amp;D$4,台帳!$A$2:$A$2000,"&lt;"&amp;(D$4+7))</f>
        <v>0</v>
      </c>
      <c r="E32" s="46">
        <f>SUMIFS(台帳!$I$2:$I$2000,台帳!$F$2:$F$2000,$B32,台帳!$A$2:$A$2000,"&gt;="&amp;E$4,台帳!$A$2:$A$2000,"&lt;"&amp;(E$4+7))</f>
        <v>0</v>
      </c>
      <c r="F32" s="46">
        <f>SUMIFS(台帳!$I$2:$I$2000,台帳!$F$2:$F$2000,$B32,台帳!$A$2:$A$2000,"&gt;="&amp;F$4,台帳!$A$2:$A$2000,"&lt;"&amp;(F$4+7))</f>
        <v>0</v>
      </c>
      <c r="G32" s="46">
        <f>SUMIFS(台帳!$I$2:$I$2000,台帳!$F$2:$F$2000,$B32,台帳!$A$2:$A$2000,"&gt;="&amp;G$4,台帳!$A$2:$A$2000,"&lt;"&amp;(G$4+7))</f>
        <v>0</v>
      </c>
      <c r="H32" s="46">
        <f>SUMIFS(台帳!$I$2:$I$2000,台帳!$F$2:$F$2000,$B32,台帳!$A$2:$A$2000,"&gt;="&amp;H$4,台帳!$A$2:$A$2000,"&lt;"&amp;(H$4+7))</f>
        <v>0</v>
      </c>
      <c r="I32" s="46">
        <f>SUMIFS(台帳!$I$2:$I$2000,台帳!$F$2:$F$2000,$B32,台帳!$A$2:$A$2000,"&gt;="&amp;I$4,台帳!$A$2:$A$2000,"&lt;"&amp;(I$4+7))</f>
        <v>0</v>
      </c>
      <c r="J32" s="46">
        <f>SUMIFS(台帳!$I$2:$I$2000,台帳!$F$2:$F$2000,$B32,台帳!$A$2:$A$2000,"&gt;="&amp;J$4,台帳!$A$2:$A$2000,"&lt;"&amp;(J$4+7))</f>
        <v>0</v>
      </c>
      <c r="K32" s="46">
        <f>SUMIFS(台帳!$I$2:$I$2000,台帳!$F$2:$F$2000,$B32,台帳!$A$2:$A$2000,"&gt;="&amp;K$4,台帳!$A$2:$A$2000,"&lt;"&amp;(K$4+7))</f>
        <v>0</v>
      </c>
      <c r="L32" s="46">
        <f>SUMIFS(台帳!$I$2:$I$2000,台帳!$F$2:$F$2000,$B32,台帳!$A$2:$A$2000,"&gt;="&amp;L$4,台帳!$A$2:$A$2000,"&lt;"&amp;(L$4+7))</f>
        <v>0</v>
      </c>
      <c r="M32" s="46">
        <f>SUMIFS(台帳!$I$2:$I$2000,台帳!$F$2:$F$2000,$B32,台帳!$A$2:$A$2000,"&gt;="&amp;M$4,台帳!$A$2:$A$2000,"&lt;"&amp;(M$4+7))</f>
        <v>0</v>
      </c>
      <c r="N32" s="46">
        <f>SUMIFS(台帳!$I$2:$I$2000,台帳!$F$2:$F$2000,$B32,台帳!$A$2:$A$2000,"&gt;="&amp;N$4,台帳!$A$2:$A$2000,"&lt;"&amp;(N$4+7))</f>
        <v>0</v>
      </c>
      <c r="O32" s="46">
        <f>SUMIFS(台帳!$I$2:$I$2000,台帳!$F$2:$F$2000,$B32,台帳!$A$2:$A$2000,"&gt;="&amp;O$4,台帳!$A$2:$A$2000,"&lt;"&amp;(O$4+7))</f>
        <v>0</v>
      </c>
      <c r="P32" s="46">
        <f>SUMIFS(台帳!$I$2:$I$2000,台帳!$F$2:$F$2000,$B32,台帳!$A$2:$A$2000,"&gt;="&amp;P$4,台帳!$A$2:$A$2000,"&lt;"&amp;(P$4+7))</f>
        <v>0</v>
      </c>
      <c r="Q32" s="46">
        <f>SUMIFS(台帳!$I$2:$I$2000,台帳!$F$2:$F$2000,$B32,台帳!$A$2:$A$2000,"&gt;="&amp;Q$4,台帳!$A$2:$A$2000,"&lt;"&amp;(Q$4+7))</f>
        <v>0</v>
      </c>
      <c r="R32" s="46">
        <f>SUMIFS(台帳!$I$2:$I$2000,台帳!$F$2:$F$2000,$B32,台帳!$A$2:$A$2000,"&gt;="&amp;R$4,台帳!$A$2:$A$2000,"&lt;"&amp;(R$4+7))</f>
        <v>0</v>
      </c>
      <c r="S32" s="46">
        <f>SUMIFS(台帳!$I$2:$I$2000,台帳!$F$2:$F$2000,$B32,台帳!$A$2:$A$2000,"&gt;="&amp;S$4,台帳!$A$2:$A$2000,"&lt;"&amp;(S$4+7))</f>
        <v>0</v>
      </c>
      <c r="T32" s="46">
        <f>SUMIFS(台帳!$I$2:$I$2000,台帳!$F$2:$F$2000,$B32,台帳!$A$2:$A$2000,"&gt;="&amp;T$4,台帳!$A$2:$A$2000,"&lt;"&amp;(T$4+7))</f>
        <v>1</v>
      </c>
      <c r="U32" s="46">
        <f>SUMIFS(台帳!$I$2:$I$2000,台帳!$F$2:$F$2000,$B32,台帳!$A$2:$A$2000,"&gt;="&amp;U$4,台帳!$A$2:$A$2000,"&lt;"&amp;(U$4+7))</f>
        <v>1</v>
      </c>
      <c r="V32" s="46">
        <f>SUMIFS(台帳!$I$2:$I$2000,台帳!$F$2:$F$2000,$B32,台帳!$A$2:$A$2000,"&gt;="&amp;V$4,台帳!$A$2:$A$2000,"&lt;"&amp;(V$4+7))</f>
        <v>0</v>
      </c>
      <c r="W32" s="45">
        <f>SUM(C32:V32)</f>
        <v>2</v>
      </c>
    </row>
    <row r="33" spans="1:23" ht="17.25" x14ac:dyDescent="0.35">
      <c r="A33" s="65" t="s">
        <v>384</v>
      </c>
      <c r="B33" s="65" t="s">
        <v>517</v>
      </c>
      <c r="C33" s="66">
        <f>SUMIFS(台帳!$I$2:$I$2000,台帳!$E$2:$E$2000,$A33,台帳!$A$2:$A$2000,"&gt;="&amp;C$4,台帳!$A$2:$A$2000,"&lt;"&amp;(C$4+7))</f>
        <v>0</v>
      </c>
      <c r="D33" s="66">
        <f>SUMIFS(台帳!$I$2:$I$2000,台帳!$E$2:$E$2000,$A33,台帳!$A$2:$A$2000,"&gt;="&amp;D$4,台帳!$A$2:$A$2000,"&lt;"&amp;(D$4+7))</f>
        <v>0</v>
      </c>
      <c r="E33" s="66">
        <f>SUMIFS(台帳!$I$2:$I$2000,台帳!$E$2:$E$2000,$A33,台帳!$A$2:$A$2000,"&gt;="&amp;E$4,台帳!$A$2:$A$2000,"&lt;"&amp;(E$4+7))</f>
        <v>0</v>
      </c>
      <c r="F33" s="66">
        <f>SUMIFS(台帳!$I$2:$I$2000,台帳!$E$2:$E$2000,$A33,台帳!$A$2:$A$2000,"&gt;="&amp;F$4,台帳!$A$2:$A$2000,"&lt;"&amp;(F$4+7))</f>
        <v>0</v>
      </c>
      <c r="G33" s="66">
        <f>SUMIFS(台帳!$I$2:$I$2000,台帳!$E$2:$E$2000,$A33,台帳!$A$2:$A$2000,"&gt;="&amp;G$4,台帳!$A$2:$A$2000,"&lt;"&amp;(G$4+7))</f>
        <v>0</v>
      </c>
      <c r="H33" s="66">
        <f>SUMIFS(台帳!$I$2:$I$2000,台帳!$E$2:$E$2000,$A33,台帳!$A$2:$A$2000,"&gt;="&amp;H$4,台帳!$A$2:$A$2000,"&lt;"&amp;(H$4+7))</f>
        <v>0</v>
      </c>
      <c r="I33" s="66">
        <f>SUMIFS(台帳!$I$2:$I$2000,台帳!$E$2:$E$2000,$A33,台帳!$A$2:$A$2000,"&gt;="&amp;I$4,台帳!$A$2:$A$2000,"&lt;"&amp;(I$4+7))</f>
        <v>0</v>
      </c>
      <c r="J33" s="66">
        <f>SUMIFS(台帳!$I$2:$I$2000,台帳!$E$2:$E$2000,$A33,台帳!$A$2:$A$2000,"&gt;="&amp;J$4,台帳!$A$2:$A$2000,"&lt;"&amp;(J$4+7))</f>
        <v>0</v>
      </c>
      <c r="K33" s="66">
        <f>SUMIFS(台帳!$I$2:$I$2000,台帳!$E$2:$E$2000,$A33,台帳!$A$2:$A$2000,"&gt;="&amp;K$4,台帳!$A$2:$A$2000,"&lt;"&amp;(K$4+7))</f>
        <v>0</v>
      </c>
      <c r="L33" s="66">
        <f>SUMIFS(台帳!$I$2:$I$2000,台帳!$E$2:$E$2000,$A33,台帳!$A$2:$A$2000,"&gt;="&amp;L$4,台帳!$A$2:$A$2000,"&lt;"&amp;(L$4+7))</f>
        <v>0</v>
      </c>
      <c r="M33" s="66">
        <f>SUMIFS(台帳!$I$2:$I$2000,台帳!$E$2:$E$2000,$A33,台帳!$A$2:$A$2000,"&gt;="&amp;M$4,台帳!$A$2:$A$2000,"&lt;"&amp;(M$4+7))</f>
        <v>0</v>
      </c>
      <c r="N33" s="66">
        <f>SUMIFS(台帳!$I$2:$I$2000,台帳!$E$2:$E$2000,$A33,台帳!$A$2:$A$2000,"&gt;="&amp;N$4,台帳!$A$2:$A$2000,"&lt;"&amp;(N$4+7))</f>
        <v>0</v>
      </c>
      <c r="O33" s="66">
        <f>SUMIFS(台帳!$I$2:$I$2000,台帳!$E$2:$E$2000,$A33,台帳!$A$2:$A$2000,"&gt;="&amp;O$4,台帳!$A$2:$A$2000,"&lt;"&amp;(O$4+7))</f>
        <v>0</v>
      </c>
      <c r="P33" s="66">
        <f>SUMIFS(台帳!$I$2:$I$2000,台帳!$E$2:$E$2000,$A33,台帳!$A$2:$A$2000,"&gt;="&amp;P$4,台帳!$A$2:$A$2000,"&lt;"&amp;(P$4+7))</f>
        <v>0</v>
      </c>
      <c r="Q33" s="66">
        <f>SUMIFS(台帳!$I$2:$I$2000,台帳!$E$2:$E$2000,$A33,台帳!$A$2:$A$2000,"&gt;="&amp;Q$4,台帳!$A$2:$A$2000,"&lt;"&amp;(Q$4+7))</f>
        <v>11</v>
      </c>
      <c r="R33" s="66">
        <f>SUMIFS(台帳!$I$2:$I$2000,台帳!$E$2:$E$2000,$A33,台帳!$A$2:$A$2000,"&gt;="&amp;R$4,台帳!$A$2:$A$2000,"&lt;"&amp;(R$4+7))</f>
        <v>4</v>
      </c>
      <c r="S33" s="66">
        <f>SUMIFS(台帳!$I$2:$I$2000,台帳!$E$2:$E$2000,$A33,台帳!$A$2:$A$2000,"&gt;="&amp;S$4,台帳!$A$2:$A$2000,"&lt;"&amp;(S$4+7))</f>
        <v>4</v>
      </c>
      <c r="T33" s="66">
        <f>SUMIFS(台帳!$I$2:$I$2000,台帳!$E$2:$E$2000,$A33,台帳!$A$2:$A$2000,"&gt;="&amp;T$4,台帳!$A$2:$A$2000,"&lt;"&amp;(T$4+7))</f>
        <v>3</v>
      </c>
      <c r="U33" s="66">
        <f>SUMIFS(台帳!$I$2:$I$2000,台帳!$E$2:$E$2000,$A33,台帳!$A$2:$A$2000,"&gt;="&amp;U$4,台帳!$A$2:$A$2000,"&lt;"&amp;(U$4+7))</f>
        <v>0</v>
      </c>
      <c r="V33" s="66">
        <f>SUMIFS(台帳!$I$2:$I$2000,台帳!$E$2:$E$2000,$A33,台帳!$A$2:$A$2000,"&gt;="&amp;V$4,台帳!$A$2:$A$2000,"&lt;"&amp;(V$4+7))</f>
        <v>0</v>
      </c>
      <c r="W33" s="60">
        <f>SUM(C33:V33)</f>
        <v>22</v>
      </c>
    </row>
    <row r="34" spans="1:23" ht="17.25" x14ac:dyDescent="0.35">
      <c r="A34" s="62" t="s">
        <v>384</v>
      </c>
      <c r="B34" s="45" t="s">
        <v>297</v>
      </c>
      <c r="C34" s="46">
        <f>SUMIFS(台帳!$I$2:$I$2000,台帳!$F$2:$F$2000,$B34,台帳!$A$2:$A$2000,"&gt;="&amp;C$4,台帳!$A$2:$A$2000,"&lt;"&amp;(C$4+7))</f>
        <v>0</v>
      </c>
      <c r="D34" s="46">
        <f>SUMIFS(台帳!$I$2:$I$2000,台帳!$F$2:$F$2000,$B34,台帳!$A$2:$A$2000,"&gt;="&amp;D$4,台帳!$A$2:$A$2000,"&lt;"&amp;(D$4+7))</f>
        <v>0</v>
      </c>
      <c r="E34" s="46">
        <f>SUMIFS(台帳!$I$2:$I$2000,台帳!$F$2:$F$2000,$B34,台帳!$A$2:$A$2000,"&gt;="&amp;E$4,台帳!$A$2:$A$2000,"&lt;"&amp;(E$4+7))</f>
        <v>0</v>
      </c>
      <c r="F34" s="46">
        <f>SUMIFS(台帳!$I$2:$I$2000,台帳!$F$2:$F$2000,$B34,台帳!$A$2:$A$2000,"&gt;="&amp;F$4,台帳!$A$2:$A$2000,"&lt;"&amp;(F$4+7))</f>
        <v>0</v>
      </c>
      <c r="G34" s="46">
        <f>SUMIFS(台帳!$I$2:$I$2000,台帳!$F$2:$F$2000,$B34,台帳!$A$2:$A$2000,"&gt;="&amp;G$4,台帳!$A$2:$A$2000,"&lt;"&amp;(G$4+7))</f>
        <v>0</v>
      </c>
      <c r="H34" s="46">
        <f>SUMIFS(台帳!$I$2:$I$2000,台帳!$F$2:$F$2000,$B34,台帳!$A$2:$A$2000,"&gt;="&amp;H$4,台帳!$A$2:$A$2000,"&lt;"&amp;(H$4+7))</f>
        <v>0</v>
      </c>
      <c r="I34" s="46">
        <f>SUMIFS(台帳!$I$2:$I$2000,台帳!$F$2:$F$2000,$B34,台帳!$A$2:$A$2000,"&gt;="&amp;I$4,台帳!$A$2:$A$2000,"&lt;"&amp;(I$4+7))</f>
        <v>0</v>
      </c>
      <c r="J34" s="46">
        <f>SUMIFS(台帳!$I$2:$I$2000,台帳!$F$2:$F$2000,$B34,台帳!$A$2:$A$2000,"&gt;="&amp;J$4,台帳!$A$2:$A$2000,"&lt;"&amp;(J$4+7))</f>
        <v>0</v>
      </c>
      <c r="K34" s="46">
        <f>SUMIFS(台帳!$I$2:$I$2000,台帳!$F$2:$F$2000,$B34,台帳!$A$2:$A$2000,"&gt;="&amp;K$4,台帳!$A$2:$A$2000,"&lt;"&amp;(K$4+7))</f>
        <v>0</v>
      </c>
      <c r="L34" s="46">
        <f>SUMIFS(台帳!$I$2:$I$2000,台帳!$F$2:$F$2000,$B34,台帳!$A$2:$A$2000,"&gt;="&amp;L$4,台帳!$A$2:$A$2000,"&lt;"&amp;(L$4+7))</f>
        <v>0</v>
      </c>
      <c r="M34" s="46">
        <f>SUMIFS(台帳!$I$2:$I$2000,台帳!$F$2:$F$2000,$B34,台帳!$A$2:$A$2000,"&gt;="&amp;M$4,台帳!$A$2:$A$2000,"&lt;"&amp;(M$4+7))</f>
        <v>0</v>
      </c>
      <c r="N34" s="46">
        <f>SUMIFS(台帳!$I$2:$I$2000,台帳!$F$2:$F$2000,$B34,台帳!$A$2:$A$2000,"&gt;="&amp;N$4,台帳!$A$2:$A$2000,"&lt;"&amp;(N$4+7))</f>
        <v>0</v>
      </c>
      <c r="O34" s="46">
        <f>SUMIFS(台帳!$I$2:$I$2000,台帳!$F$2:$F$2000,$B34,台帳!$A$2:$A$2000,"&gt;="&amp;O$4,台帳!$A$2:$A$2000,"&lt;"&amp;(O$4+7))</f>
        <v>0</v>
      </c>
      <c r="P34" s="46">
        <f>SUMIFS(台帳!$I$2:$I$2000,台帳!$F$2:$F$2000,$B34,台帳!$A$2:$A$2000,"&gt;="&amp;P$4,台帳!$A$2:$A$2000,"&lt;"&amp;(P$4+7))</f>
        <v>0</v>
      </c>
      <c r="Q34" s="46">
        <f>SUMIFS(台帳!$I$2:$I$2000,台帳!$F$2:$F$2000,$B34,台帳!$A$2:$A$2000,"&gt;="&amp;Q$4,台帳!$A$2:$A$2000,"&lt;"&amp;(Q$4+7))</f>
        <v>0</v>
      </c>
      <c r="R34" s="46">
        <f>SUMIFS(台帳!$I$2:$I$2000,台帳!$F$2:$F$2000,$B34,台帳!$A$2:$A$2000,"&gt;="&amp;R$4,台帳!$A$2:$A$2000,"&lt;"&amp;(R$4+7))</f>
        <v>0</v>
      </c>
      <c r="S34" s="46">
        <f>SUMIFS(台帳!$I$2:$I$2000,台帳!$F$2:$F$2000,$B34,台帳!$A$2:$A$2000,"&gt;="&amp;S$4,台帳!$A$2:$A$2000,"&lt;"&amp;(S$4+7))</f>
        <v>4</v>
      </c>
      <c r="T34" s="46">
        <f>SUMIFS(台帳!$I$2:$I$2000,台帳!$F$2:$F$2000,$B34,台帳!$A$2:$A$2000,"&gt;="&amp;T$4,台帳!$A$2:$A$2000,"&lt;"&amp;(T$4+7))</f>
        <v>0</v>
      </c>
      <c r="U34" s="46">
        <f>SUMIFS(台帳!$I$2:$I$2000,台帳!$F$2:$F$2000,$B34,台帳!$A$2:$A$2000,"&gt;="&amp;U$4,台帳!$A$2:$A$2000,"&lt;"&amp;(U$4+7))</f>
        <v>0</v>
      </c>
      <c r="V34" s="46">
        <f>SUMIFS(台帳!$I$2:$I$2000,台帳!$F$2:$F$2000,$B34,台帳!$A$2:$A$2000,"&gt;="&amp;V$4,台帳!$A$2:$A$2000,"&lt;"&amp;(V$4+7))</f>
        <v>0</v>
      </c>
      <c r="W34" s="45">
        <f>SUM(C34:V34)</f>
        <v>4</v>
      </c>
    </row>
    <row r="35" spans="1:23" ht="17.25" x14ac:dyDescent="0.35">
      <c r="A35" s="62" t="s">
        <v>384</v>
      </c>
      <c r="B35" s="45" t="s">
        <v>246</v>
      </c>
      <c r="C35" s="46">
        <f>SUMIFS(台帳!$I$2:$I$2000,台帳!$F$2:$F$2000,$B35,台帳!$A$2:$A$2000,"&gt;="&amp;C$4,台帳!$A$2:$A$2000,"&lt;"&amp;(C$4+7))</f>
        <v>0</v>
      </c>
      <c r="D35" s="46">
        <f>SUMIFS(台帳!$I$2:$I$2000,台帳!$F$2:$F$2000,$B35,台帳!$A$2:$A$2000,"&gt;="&amp;D$4,台帳!$A$2:$A$2000,"&lt;"&amp;(D$4+7))</f>
        <v>0</v>
      </c>
      <c r="E35" s="46">
        <f>SUMIFS(台帳!$I$2:$I$2000,台帳!$F$2:$F$2000,$B35,台帳!$A$2:$A$2000,"&gt;="&amp;E$4,台帳!$A$2:$A$2000,"&lt;"&amp;(E$4+7))</f>
        <v>0</v>
      </c>
      <c r="F35" s="46">
        <f>SUMIFS(台帳!$I$2:$I$2000,台帳!$F$2:$F$2000,$B35,台帳!$A$2:$A$2000,"&gt;="&amp;F$4,台帳!$A$2:$A$2000,"&lt;"&amp;(F$4+7))</f>
        <v>0</v>
      </c>
      <c r="G35" s="46">
        <f>SUMIFS(台帳!$I$2:$I$2000,台帳!$F$2:$F$2000,$B35,台帳!$A$2:$A$2000,"&gt;="&amp;G$4,台帳!$A$2:$A$2000,"&lt;"&amp;(G$4+7))</f>
        <v>0</v>
      </c>
      <c r="H35" s="46">
        <f>SUMIFS(台帳!$I$2:$I$2000,台帳!$F$2:$F$2000,$B35,台帳!$A$2:$A$2000,"&gt;="&amp;H$4,台帳!$A$2:$A$2000,"&lt;"&amp;(H$4+7))</f>
        <v>0</v>
      </c>
      <c r="I35" s="46">
        <f>SUMIFS(台帳!$I$2:$I$2000,台帳!$F$2:$F$2000,$B35,台帳!$A$2:$A$2000,"&gt;="&amp;I$4,台帳!$A$2:$A$2000,"&lt;"&amp;(I$4+7))</f>
        <v>0</v>
      </c>
      <c r="J35" s="46">
        <f>SUMIFS(台帳!$I$2:$I$2000,台帳!$F$2:$F$2000,$B35,台帳!$A$2:$A$2000,"&gt;="&amp;J$4,台帳!$A$2:$A$2000,"&lt;"&amp;(J$4+7))</f>
        <v>0</v>
      </c>
      <c r="K35" s="46">
        <f>SUMIFS(台帳!$I$2:$I$2000,台帳!$F$2:$F$2000,$B35,台帳!$A$2:$A$2000,"&gt;="&amp;K$4,台帳!$A$2:$A$2000,"&lt;"&amp;(K$4+7))</f>
        <v>0</v>
      </c>
      <c r="L35" s="46">
        <f>SUMIFS(台帳!$I$2:$I$2000,台帳!$F$2:$F$2000,$B35,台帳!$A$2:$A$2000,"&gt;="&amp;L$4,台帳!$A$2:$A$2000,"&lt;"&amp;(L$4+7))</f>
        <v>0</v>
      </c>
      <c r="M35" s="46">
        <f>SUMIFS(台帳!$I$2:$I$2000,台帳!$F$2:$F$2000,$B35,台帳!$A$2:$A$2000,"&gt;="&amp;M$4,台帳!$A$2:$A$2000,"&lt;"&amp;(M$4+7))</f>
        <v>0</v>
      </c>
      <c r="N35" s="46">
        <f>SUMIFS(台帳!$I$2:$I$2000,台帳!$F$2:$F$2000,$B35,台帳!$A$2:$A$2000,"&gt;="&amp;N$4,台帳!$A$2:$A$2000,"&lt;"&amp;(N$4+7))</f>
        <v>0</v>
      </c>
      <c r="O35" s="46">
        <f>SUMIFS(台帳!$I$2:$I$2000,台帳!$F$2:$F$2000,$B35,台帳!$A$2:$A$2000,"&gt;="&amp;O$4,台帳!$A$2:$A$2000,"&lt;"&amp;(O$4+7))</f>
        <v>0</v>
      </c>
      <c r="P35" s="46">
        <f>SUMIFS(台帳!$I$2:$I$2000,台帳!$F$2:$F$2000,$B35,台帳!$A$2:$A$2000,"&gt;="&amp;P$4,台帳!$A$2:$A$2000,"&lt;"&amp;(P$4+7))</f>
        <v>0</v>
      </c>
      <c r="Q35" s="46">
        <f>SUMIFS(台帳!$I$2:$I$2000,台帳!$F$2:$F$2000,$B35,台帳!$A$2:$A$2000,"&gt;="&amp;Q$4,台帳!$A$2:$A$2000,"&lt;"&amp;(Q$4+7))</f>
        <v>2</v>
      </c>
      <c r="R35" s="46">
        <f>SUMIFS(台帳!$I$2:$I$2000,台帳!$F$2:$F$2000,$B35,台帳!$A$2:$A$2000,"&gt;="&amp;R$4,台帳!$A$2:$A$2000,"&lt;"&amp;(R$4+7))</f>
        <v>0</v>
      </c>
      <c r="S35" s="46">
        <f>SUMIFS(台帳!$I$2:$I$2000,台帳!$F$2:$F$2000,$B35,台帳!$A$2:$A$2000,"&gt;="&amp;S$4,台帳!$A$2:$A$2000,"&lt;"&amp;(S$4+7))</f>
        <v>0</v>
      </c>
      <c r="T35" s="46">
        <f>SUMIFS(台帳!$I$2:$I$2000,台帳!$F$2:$F$2000,$B35,台帳!$A$2:$A$2000,"&gt;="&amp;T$4,台帳!$A$2:$A$2000,"&lt;"&amp;(T$4+7))</f>
        <v>0</v>
      </c>
      <c r="U35" s="46">
        <f>SUMIFS(台帳!$I$2:$I$2000,台帳!$F$2:$F$2000,$B35,台帳!$A$2:$A$2000,"&gt;="&amp;U$4,台帳!$A$2:$A$2000,"&lt;"&amp;(U$4+7))</f>
        <v>0</v>
      </c>
      <c r="V35" s="46">
        <f>SUMIFS(台帳!$I$2:$I$2000,台帳!$F$2:$F$2000,$B35,台帳!$A$2:$A$2000,"&gt;="&amp;V$4,台帳!$A$2:$A$2000,"&lt;"&amp;(V$4+7))</f>
        <v>0</v>
      </c>
      <c r="W35" s="45">
        <f>SUM(C35:V35)</f>
        <v>2</v>
      </c>
    </row>
    <row r="36" spans="1:23" ht="17.25" x14ac:dyDescent="0.35">
      <c r="A36" s="62" t="s">
        <v>384</v>
      </c>
      <c r="B36" s="45" t="s">
        <v>255</v>
      </c>
      <c r="C36" s="46">
        <f>SUMIFS(台帳!$I$2:$I$2000,台帳!$F$2:$F$2000,$B36,台帳!$A$2:$A$2000,"&gt;="&amp;C$4,台帳!$A$2:$A$2000,"&lt;"&amp;(C$4+7))</f>
        <v>0</v>
      </c>
      <c r="D36" s="46">
        <f>SUMIFS(台帳!$I$2:$I$2000,台帳!$F$2:$F$2000,$B36,台帳!$A$2:$A$2000,"&gt;="&amp;D$4,台帳!$A$2:$A$2000,"&lt;"&amp;(D$4+7))</f>
        <v>0</v>
      </c>
      <c r="E36" s="46">
        <f>SUMIFS(台帳!$I$2:$I$2000,台帳!$F$2:$F$2000,$B36,台帳!$A$2:$A$2000,"&gt;="&amp;E$4,台帳!$A$2:$A$2000,"&lt;"&amp;(E$4+7))</f>
        <v>0</v>
      </c>
      <c r="F36" s="46">
        <f>SUMIFS(台帳!$I$2:$I$2000,台帳!$F$2:$F$2000,$B36,台帳!$A$2:$A$2000,"&gt;="&amp;F$4,台帳!$A$2:$A$2000,"&lt;"&amp;(F$4+7))</f>
        <v>0</v>
      </c>
      <c r="G36" s="46">
        <f>SUMIFS(台帳!$I$2:$I$2000,台帳!$F$2:$F$2000,$B36,台帳!$A$2:$A$2000,"&gt;="&amp;G$4,台帳!$A$2:$A$2000,"&lt;"&amp;(G$4+7))</f>
        <v>0</v>
      </c>
      <c r="H36" s="46">
        <f>SUMIFS(台帳!$I$2:$I$2000,台帳!$F$2:$F$2000,$B36,台帳!$A$2:$A$2000,"&gt;="&amp;H$4,台帳!$A$2:$A$2000,"&lt;"&amp;(H$4+7))</f>
        <v>0</v>
      </c>
      <c r="I36" s="46">
        <f>SUMIFS(台帳!$I$2:$I$2000,台帳!$F$2:$F$2000,$B36,台帳!$A$2:$A$2000,"&gt;="&amp;I$4,台帳!$A$2:$A$2000,"&lt;"&amp;(I$4+7))</f>
        <v>0</v>
      </c>
      <c r="J36" s="46">
        <f>SUMIFS(台帳!$I$2:$I$2000,台帳!$F$2:$F$2000,$B36,台帳!$A$2:$A$2000,"&gt;="&amp;J$4,台帳!$A$2:$A$2000,"&lt;"&amp;(J$4+7))</f>
        <v>0</v>
      </c>
      <c r="K36" s="46">
        <f>SUMIFS(台帳!$I$2:$I$2000,台帳!$F$2:$F$2000,$B36,台帳!$A$2:$A$2000,"&gt;="&amp;K$4,台帳!$A$2:$A$2000,"&lt;"&amp;(K$4+7))</f>
        <v>0</v>
      </c>
      <c r="L36" s="46">
        <f>SUMIFS(台帳!$I$2:$I$2000,台帳!$F$2:$F$2000,$B36,台帳!$A$2:$A$2000,"&gt;="&amp;L$4,台帳!$A$2:$A$2000,"&lt;"&amp;(L$4+7))</f>
        <v>0</v>
      </c>
      <c r="M36" s="46">
        <f>SUMIFS(台帳!$I$2:$I$2000,台帳!$F$2:$F$2000,$B36,台帳!$A$2:$A$2000,"&gt;="&amp;M$4,台帳!$A$2:$A$2000,"&lt;"&amp;(M$4+7))</f>
        <v>0</v>
      </c>
      <c r="N36" s="46">
        <f>SUMIFS(台帳!$I$2:$I$2000,台帳!$F$2:$F$2000,$B36,台帳!$A$2:$A$2000,"&gt;="&amp;N$4,台帳!$A$2:$A$2000,"&lt;"&amp;(N$4+7))</f>
        <v>0</v>
      </c>
      <c r="O36" s="46">
        <f>SUMIFS(台帳!$I$2:$I$2000,台帳!$F$2:$F$2000,$B36,台帳!$A$2:$A$2000,"&gt;="&amp;O$4,台帳!$A$2:$A$2000,"&lt;"&amp;(O$4+7))</f>
        <v>0</v>
      </c>
      <c r="P36" s="46">
        <f>SUMIFS(台帳!$I$2:$I$2000,台帳!$F$2:$F$2000,$B36,台帳!$A$2:$A$2000,"&gt;="&amp;P$4,台帳!$A$2:$A$2000,"&lt;"&amp;(P$4+7))</f>
        <v>0</v>
      </c>
      <c r="Q36" s="46">
        <f>SUMIFS(台帳!$I$2:$I$2000,台帳!$F$2:$F$2000,$B36,台帳!$A$2:$A$2000,"&gt;="&amp;Q$4,台帳!$A$2:$A$2000,"&lt;"&amp;(Q$4+7))</f>
        <v>9</v>
      </c>
      <c r="R36" s="46">
        <f>SUMIFS(台帳!$I$2:$I$2000,台帳!$F$2:$F$2000,$B36,台帳!$A$2:$A$2000,"&gt;="&amp;R$4,台帳!$A$2:$A$2000,"&lt;"&amp;(R$4+7))</f>
        <v>2</v>
      </c>
      <c r="S36" s="46">
        <f>SUMIFS(台帳!$I$2:$I$2000,台帳!$F$2:$F$2000,$B36,台帳!$A$2:$A$2000,"&gt;="&amp;S$4,台帳!$A$2:$A$2000,"&lt;"&amp;(S$4+7))</f>
        <v>0</v>
      </c>
      <c r="T36" s="46">
        <f>SUMIFS(台帳!$I$2:$I$2000,台帳!$F$2:$F$2000,$B36,台帳!$A$2:$A$2000,"&gt;="&amp;T$4,台帳!$A$2:$A$2000,"&lt;"&amp;(T$4+7))</f>
        <v>0</v>
      </c>
      <c r="U36" s="46">
        <f>SUMIFS(台帳!$I$2:$I$2000,台帳!$F$2:$F$2000,$B36,台帳!$A$2:$A$2000,"&gt;="&amp;U$4,台帳!$A$2:$A$2000,"&lt;"&amp;(U$4+7))</f>
        <v>0</v>
      </c>
      <c r="V36" s="46">
        <f>SUMIFS(台帳!$I$2:$I$2000,台帳!$F$2:$F$2000,$B36,台帳!$A$2:$A$2000,"&gt;="&amp;V$4,台帳!$A$2:$A$2000,"&lt;"&amp;(V$4+7))</f>
        <v>0</v>
      </c>
      <c r="W36" s="45">
        <f>SUM(C36:V36)</f>
        <v>11</v>
      </c>
    </row>
    <row r="37" spans="1:23" ht="17.25" x14ac:dyDescent="0.35">
      <c r="A37" s="62" t="s">
        <v>384</v>
      </c>
      <c r="B37" s="45" t="s">
        <v>274</v>
      </c>
      <c r="C37" s="46">
        <f>SUMIFS(台帳!$I$2:$I$2000,台帳!$F$2:$F$2000,$B37,台帳!$A$2:$A$2000,"&gt;="&amp;C$4,台帳!$A$2:$A$2000,"&lt;"&amp;(C$4+7))</f>
        <v>0</v>
      </c>
      <c r="D37" s="46">
        <f>SUMIFS(台帳!$I$2:$I$2000,台帳!$F$2:$F$2000,$B37,台帳!$A$2:$A$2000,"&gt;="&amp;D$4,台帳!$A$2:$A$2000,"&lt;"&amp;(D$4+7))</f>
        <v>0</v>
      </c>
      <c r="E37" s="46">
        <f>SUMIFS(台帳!$I$2:$I$2000,台帳!$F$2:$F$2000,$B37,台帳!$A$2:$A$2000,"&gt;="&amp;E$4,台帳!$A$2:$A$2000,"&lt;"&amp;(E$4+7))</f>
        <v>0</v>
      </c>
      <c r="F37" s="46">
        <f>SUMIFS(台帳!$I$2:$I$2000,台帳!$F$2:$F$2000,$B37,台帳!$A$2:$A$2000,"&gt;="&amp;F$4,台帳!$A$2:$A$2000,"&lt;"&amp;(F$4+7))</f>
        <v>0</v>
      </c>
      <c r="G37" s="46">
        <f>SUMIFS(台帳!$I$2:$I$2000,台帳!$F$2:$F$2000,$B37,台帳!$A$2:$A$2000,"&gt;="&amp;G$4,台帳!$A$2:$A$2000,"&lt;"&amp;(G$4+7))</f>
        <v>0</v>
      </c>
      <c r="H37" s="46">
        <f>SUMIFS(台帳!$I$2:$I$2000,台帳!$F$2:$F$2000,$B37,台帳!$A$2:$A$2000,"&gt;="&amp;H$4,台帳!$A$2:$A$2000,"&lt;"&amp;(H$4+7))</f>
        <v>0</v>
      </c>
      <c r="I37" s="46">
        <f>SUMIFS(台帳!$I$2:$I$2000,台帳!$F$2:$F$2000,$B37,台帳!$A$2:$A$2000,"&gt;="&amp;I$4,台帳!$A$2:$A$2000,"&lt;"&amp;(I$4+7))</f>
        <v>0</v>
      </c>
      <c r="J37" s="46">
        <f>SUMIFS(台帳!$I$2:$I$2000,台帳!$F$2:$F$2000,$B37,台帳!$A$2:$A$2000,"&gt;="&amp;J$4,台帳!$A$2:$A$2000,"&lt;"&amp;(J$4+7))</f>
        <v>0</v>
      </c>
      <c r="K37" s="46">
        <f>SUMIFS(台帳!$I$2:$I$2000,台帳!$F$2:$F$2000,$B37,台帳!$A$2:$A$2000,"&gt;="&amp;K$4,台帳!$A$2:$A$2000,"&lt;"&amp;(K$4+7))</f>
        <v>0</v>
      </c>
      <c r="L37" s="46">
        <f>SUMIFS(台帳!$I$2:$I$2000,台帳!$F$2:$F$2000,$B37,台帳!$A$2:$A$2000,"&gt;="&amp;L$4,台帳!$A$2:$A$2000,"&lt;"&amp;(L$4+7))</f>
        <v>0</v>
      </c>
      <c r="M37" s="46">
        <f>SUMIFS(台帳!$I$2:$I$2000,台帳!$F$2:$F$2000,$B37,台帳!$A$2:$A$2000,"&gt;="&amp;M$4,台帳!$A$2:$A$2000,"&lt;"&amp;(M$4+7))</f>
        <v>0</v>
      </c>
      <c r="N37" s="46">
        <f>SUMIFS(台帳!$I$2:$I$2000,台帳!$F$2:$F$2000,$B37,台帳!$A$2:$A$2000,"&gt;="&amp;N$4,台帳!$A$2:$A$2000,"&lt;"&amp;(N$4+7))</f>
        <v>0</v>
      </c>
      <c r="O37" s="46">
        <f>SUMIFS(台帳!$I$2:$I$2000,台帳!$F$2:$F$2000,$B37,台帳!$A$2:$A$2000,"&gt;="&amp;O$4,台帳!$A$2:$A$2000,"&lt;"&amp;(O$4+7))</f>
        <v>0</v>
      </c>
      <c r="P37" s="46">
        <f>SUMIFS(台帳!$I$2:$I$2000,台帳!$F$2:$F$2000,$B37,台帳!$A$2:$A$2000,"&gt;="&amp;P$4,台帳!$A$2:$A$2000,"&lt;"&amp;(P$4+7))</f>
        <v>0</v>
      </c>
      <c r="Q37" s="46">
        <f>SUMIFS(台帳!$I$2:$I$2000,台帳!$F$2:$F$2000,$B37,台帳!$A$2:$A$2000,"&gt;="&amp;Q$4,台帳!$A$2:$A$2000,"&lt;"&amp;(Q$4+7))</f>
        <v>0</v>
      </c>
      <c r="R37" s="46">
        <f>SUMIFS(台帳!$I$2:$I$2000,台帳!$F$2:$F$2000,$B37,台帳!$A$2:$A$2000,"&gt;="&amp;R$4,台帳!$A$2:$A$2000,"&lt;"&amp;(R$4+7))</f>
        <v>2</v>
      </c>
      <c r="S37" s="46">
        <f>SUMIFS(台帳!$I$2:$I$2000,台帳!$F$2:$F$2000,$B37,台帳!$A$2:$A$2000,"&gt;="&amp;S$4,台帳!$A$2:$A$2000,"&lt;"&amp;(S$4+7))</f>
        <v>0</v>
      </c>
      <c r="T37" s="46">
        <f>SUMIFS(台帳!$I$2:$I$2000,台帳!$F$2:$F$2000,$B37,台帳!$A$2:$A$2000,"&gt;="&amp;T$4,台帳!$A$2:$A$2000,"&lt;"&amp;(T$4+7))</f>
        <v>0</v>
      </c>
      <c r="U37" s="46">
        <f>SUMIFS(台帳!$I$2:$I$2000,台帳!$F$2:$F$2000,$B37,台帳!$A$2:$A$2000,"&gt;="&amp;U$4,台帳!$A$2:$A$2000,"&lt;"&amp;(U$4+7))</f>
        <v>0</v>
      </c>
      <c r="V37" s="46">
        <f>SUMIFS(台帳!$I$2:$I$2000,台帳!$F$2:$F$2000,$B37,台帳!$A$2:$A$2000,"&gt;="&amp;V$4,台帳!$A$2:$A$2000,"&lt;"&amp;(V$4+7))</f>
        <v>0</v>
      </c>
      <c r="W37" s="45">
        <f>SUM(C37:V37)</f>
        <v>2</v>
      </c>
    </row>
    <row r="38" spans="1:23" ht="17.25" x14ac:dyDescent="0.35">
      <c r="A38" s="62" t="s">
        <v>384</v>
      </c>
      <c r="B38" s="45" t="s">
        <v>325</v>
      </c>
      <c r="C38" s="46">
        <f>SUMIFS(台帳!$I$2:$I$2000,台帳!$F$2:$F$2000,$B38,台帳!$A$2:$A$2000,"&gt;="&amp;C$4,台帳!$A$2:$A$2000,"&lt;"&amp;(C$4+7))</f>
        <v>0</v>
      </c>
      <c r="D38" s="46">
        <f>SUMIFS(台帳!$I$2:$I$2000,台帳!$F$2:$F$2000,$B38,台帳!$A$2:$A$2000,"&gt;="&amp;D$4,台帳!$A$2:$A$2000,"&lt;"&amp;(D$4+7))</f>
        <v>0</v>
      </c>
      <c r="E38" s="46">
        <f>SUMIFS(台帳!$I$2:$I$2000,台帳!$F$2:$F$2000,$B38,台帳!$A$2:$A$2000,"&gt;="&amp;E$4,台帳!$A$2:$A$2000,"&lt;"&amp;(E$4+7))</f>
        <v>0</v>
      </c>
      <c r="F38" s="46">
        <f>SUMIFS(台帳!$I$2:$I$2000,台帳!$F$2:$F$2000,$B38,台帳!$A$2:$A$2000,"&gt;="&amp;F$4,台帳!$A$2:$A$2000,"&lt;"&amp;(F$4+7))</f>
        <v>0</v>
      </c>
      <c r="G38" s="46">
        <f>SUMIFS(台帳!$I$2:$I$2000,台帳!$F$2:$F$2000,$B38,台帳!$A$2:$A$2000,"&gt;="&amp;G$4,台帳!$A$2:$A$2000,"&lt;"&amp;(G$4+7))</f>
        <v>0</v>
      </c>
      <c r="H38" s="46">
        <f>SUMIFS(台帳!$I$2:$I$2000,台帳!$F$2:$F$2000,$B38,台帳!$A$2:$A$2000,"&gt;="&amp;H$4,台帳!$A$2:$A$2000,"&lt;"&amp;(H$4+7))</f>
        <v>0</v>
      </c>
      <c r="I38" s="46">
        <f>SUMIFS(台帳!$I$2:$I$2000,台帳!$F$2:$F$2000,$B38,台帳!$A$2:$A$2000,"&gt;="&amp;I$4,台帳!$A$2:$A$2000,"&lt;"&amp;(I$4+7))</f>
        <v>0</v>
      </c>
      <c r="J38" s="46">
        <f>SUMIFS(台帳!$I$2:$I$2000,台帳!$F$2:$F$2000,$B38,台帳!$A$2:$A$2000,"&gt;="&amp;J$4,台帳!$A$2:$A$2000,"&lt;"&amp;(J$4+7))</f>
        <v>0</v>
      </c>
      <c r="K38" s="46">
        <f>SUMIFS(台帳!$I$2:$I$2000,台帳!$F$2:$F$2000,$B38,台帳!$A$2:$A$2000,"&gt;="&amp;K$4,台帳!$A$2:$A$2000,"&lt;"&amp;(K$4+7))</f>
        <v>0</v>
      </c>
      <c r="L38" s="46">
        <f>SUMIFS(台帳!$I$2:$I$2000,台帳!$F$2:$F$2000,$B38,台帳!$A$2:$A$2000,"&gt;="&amp;L$4,台帳!$A$2:$A$2000,"&lt;"&amp;(L$4+7))</f>
        <v>0</v>
      </c>
      <c r="M38" s="46">
        <f>SUMIFS(台帳!$I$2:$I$2000,台帳!$F$2:$F$2000,$B38,台帳!$A$2:$A$2000,"&gt;="&amp;M$4,台帳!$A$2:$A$2000,"&lt;"&amp;(M$4+7))</f>
        <v>0</v>
      </c>
      <c r="N38" s="46">
        <f>SUMIFS(台帳!$I$2:$I$2000,台帳!$F$2:$F$2000,$B38,台帳!$A$2:$A$2000,"&gt;="&amp;N$4,台帳!$A$2:$A$2000,"&lt;"&amp;(N$4+7))</f>
        <v>0</v>
      </c>
      <c r="O38" s="46">
        <f>SUMIFS(台帳!$I$2:$I$2000,台帳!$F$2:$F$2000,$B38,台帳!$A$2:$A$2000,"&gt;="&amp;O$4,台帳!$A$2:$A$2000,"&lt;"&amp;(O$4+7))</f>
        <v>0</v>
      </c>
      <c r="P38" s="46">
        <f>SUMIFS(台帳!$I$2:$I$2000,台帳!$F$2:$F$2000,$B38,台帳!$A$2:$A$2000,"&gt;="&amp;P$4,台帳!$A$2:$A$2000,"&lt;"&amp;(P$4+7))</f>
        <v>0</v>
      </c>
      <c r="Q38" s="46">
        <f>SUMIFS(台帳!$I$2:$I$2000,台帳!$F$2:$F$2000,$B38,台帳!$A$2:$A$2000,"&gt;="&amp;Q$4,台帳!$A$2:$A$2000,"&lt;"&amp;(Q$4+7))</f>
        <v>0</v>
      </c>
      <c r="R38" s="46">
        <f>SUMIFS(台帳!$I$2:$I$2000,台帳!$F$2:$F$2000,$B38,台帳!$A$2:$A$2000,"&gt;="&amp;R$4,台帳!$A$2:$A$2000,"&lt;"&amp;(R$4+7))</f>
        <v>0</v>
      </c>
      <c r="S38" s="46">
        <f>SUMIFS(台帳!$I$2:$I$2000,台帳!$F$2:$F$2000,$B38,台帳!$A$2:$A$2000,"&gt;="&amp;S$4,台帳!$A$2:$A$2000,"&lt;"&amp;(S$4+7))</f>
        <v>0</v>
      </c>
      <c r="T38" s="46">
        <f>SUMIFS(台帳!$I$2:$I$2000,台帳!$F$2:$F$2000,$B38,台帳!$A$2:$A$2000,"&gt;="&amp;T$4,台帳!$A$2:$A$2000,"&lt;"&amp;(T$4+7))</f>
        <v>3</v>
      </c>
      <c r="U38" s="46">
        <f>SUMIFS(台帳!$I$2:$I$2000,台帳!$F$2:$F$2000,$B38,台帳!$A$2:$A$2000,"&gt;="&amp;U$4,台帳!$A$2:$A$2000,"&lt;"&amp;(U$4+7))</f>
        <v>0</v>
      </c>
      <c r="V38" s="46">
        <f>SUMIFS(台帳!$I$2:$I$2000,台帳!$F$2:$F$2000,$B38,台帳!$A$2:$A$2000,"&gt;="&amp;V$4,台帳!$A$2:$A$2000,"&lt;"&amp;(V$4+7))</f>
        <v>0</v>
      </c>
      <c r="W38" s="45">
        <f>SUM(C38:V38)</f>
        <v>3</v>
      </c>
    </row>
    <row r="39" spans="1:23" ht="17.25" x14ac:dyDescent="0.35">
      <c r="A39" s="65" t="s">
        <v>387</v>
      </c>
      <c r="B39" s="65" t="s">
        <v>517</v>
      </c>
      <c r="C39" s="66">
        <f>SUMIFS(台帳!$I$2:$I$2000,台帳!$E$2:$E$2000,$A39,台帳!$A$2:$A$2000,"&gt;="&amp;C$4,台帳!$A$2:$A$2000,"&lt;"&amp;(C$4+7))</f>
        <v>0</v>
      </c>
      <c r="D39" s="66">
        <f>SUMIFS(台帳!$I$2:$I$2000,台帳!$E$2:$E$2000,$A39,台帳!$A$2:$A$2000,"&gt;="&amp;D$4,台帳!$A$2:$A$2000,"&lt;"&amp;(D$4+7))</f>
        <v>0</v>
      </c>
      <c r="E39" s="66">
        <f>SUMIFS(台帳!$I$2:$I$2000,台帳!$E$2:$E$2000,$A39,台帳!$A$2:$A$2000,"&gt;="&amp;E$4,台帳!$A$2:$A$2000,"&lt;"&amp;(E$4+7))</f>
        <v>0</v>
      </c>
      <c r="F39" s="66">
        <f>SUMIFS(台帳!$I$2:$I$2000,台帳!$E$2:$E$2000,$A39,台帳!$A$2:$A$2000,"&gt;="&amp;F$4,台帳!$A$2:$A$2000,"&lt;"&amp;(F$4+7))</f>
        <v>0</v>
      </c>
      <c r="G39" s="66">
        <f>SUMIFS(台帳!$I$2:$I$2000,台帳!$E$2:$E$2000,$A39,台帳!$A$2:$A$2000,"&gt;="&amp;G$4,台帳!$A$2:$A$2000,"&lt;"&amp;(G$4+7))</f>
        <v>0</v>
      </c>
      <c r="H39" s="66">
        <f>SUMIFS(台帳!$I$2:$I$2000,台帳!$E$2:$E$2000,$A39,台帳!$A$2:$A$2000,"&gt;="&amp;H$4,台帳!$A$2:$A$2000,"&lt;"&amp;(H$4+7))</f>
        <v>0</v>
      </c>
      <c r="I39" s="66">
        <f>SUMIFS(台帳!$I$2:$I$2000,台帳!$E$2:$E$2000,$A39,台帳!$A$2:$A$2000,"&gt;="&amp;I$4,台帳!$A$2:$A$2000,"&lt;"&amp;(I$4+7))</f>
        <v>0</v>
      </c>
      <c r="J39" s="66">
        <f>SUMIFS(台帳!$I$2:$I$2000,台帳!$E$2:$E$2000,$A39,台帳!$A$2:$A$2000,"&gt;="&amp;J$4,台帳!$A$2:$A$2000,"&lt;"&amp;(J$4+7))</f>
        <v>0</v>
      </c>
      <c r="K39" s="66">
        <f>SUMIFS(台帳!$I$2:$I$2000,台帳!$E$2:$E$2000,$A39,台帳!$A$2:$A$2000,"&gt;="&amp;K$4,台帳!$A$2:$A$2000,"&lt;"&amp;(K$4+7))</f>
        <v>0</v>
      </c>
      <c r="L39" s="66">
        <f>SUMIFS(台帳!$I$2:$I$2000,台帳!$E$2:$E$2000,$A39,台帳!$A$2:$A$2000,"&gt;="&amp;L$4,台帳!$A$2:$A$2000,"&lt;"&amp;(L$4+7))</f>
        <v>0</v>
      </c>
      <c r="M39" s="66">
        <f>SUMIFS(台帳!$I$2:$I$2000,台帳!$E$2:$E$2000,$A39,台帳!$A$2:$A$2000,"&gt;="&amp;M$4,台帳!$A$2:$A$2000,"&lt;"&amp;(M$4+7))</f>
        <v>0</v>
      </c>
      <c r="N39" s="66">
        <f>SUMIFS(台帳!$I$2:$I$2000,台帳!$E$2:$E$2000,$A39,台帳!$A$2:$A$2000,"&gt;="&amp;N$4,台帳!$A$2:$A$2000,"&lt;"&amp;(N$4+7))</f>
        <v>0</v>
      </c>
      <c r="O39" s="66">
        <f>SUMIFS(台帳!$I$2:$I$2000,台帳!$E$2:$E$2000,$A39,台帳!$A$2:$A$2000,"&gt;="&amp;O$4,台帳!$A$2:$A$2000,"&lt;"&amp;(O$4+7))</f>
        <v>0</v>
      </c>
      <c r="P39" s="66">
        <f>SUMIFS(台帳!$I$2:$I$2000,台帳!$E$2:$E$2000,$A39,台帳!$A$2:$A$2000,"&gt;="&amp;P$4,台帳!$A$2:$A$2000,"&lt;"&amp;(P$4+7))</f>
        <v>0</v>
      </c>
      <c r="Q39" s="66">
        <f>SUMIFS(台帳!$I$2:$I$2000,台帳!$E$2:$E$2000,$A39,台帳!$A$2:$A$2000,"&gt;="&amp;Q$4,台帳!$A$2:$A$2000,"&lt;"&amp;(Q$4+7))</f>
        <v>0</v>
      </c>
      <c r="R39" s="66">
        <f>SUMIFS(台帳!$I$2:$I$2000,台帳!$E$2:$E$2000,$A39,台帳!$A$2:$A$2000,"&gt;="&amp;R$4,台帳!$A$2:$A$2000,"&lt;"&amp;(R$4+7))</f>
        <v>0</v>
      </c>
      <c r="S39" s="66">
        <f>SUMIFS(台帳!$I$2:$I$2000,台帳!$E$2:$E$2000,$A39,台帳!$A$2:$A$2000,"&gt;="&amp;S$4,台帳!$A$2:$A$2000,"&lt;"&amp;(S$4+7))</f>
        <v>0</v>
      </c>
      <c r="T39" s="66">
        <f>SUMIFS(台帳!$I$2:$I$2000,台帳!$E$2:$E$2000,$A39,台帳!$A$2:$A$2000,"&gt;="&amp;T$4,台帳!$A$2:$A$2000,"&lt;"&amp;(T$4+7))</f>
        <v>15</v>
      </c>
      <c r="U39" s="66">
        <f>SUMIFS(台帳!$I$2:$I$2000,台帳!$E$2:$E$2000,$A39,台帳!$A$2:$A$2000,"&gt;="&amp;U$4,台帳!$A$2:$A$2000,"&lt;"&amp;(U$4+7))</f>
        <v>9</v>
      </c>
      <c r="V39" s="66">
        <f>SUMIFS(台帳!$I$2:$I$2000,台帳!$E$2:$E$2000,$A39,台帳!$A$2:$A$2000,"&gt;="&amp;V$4,台帳!$A$2:$A$2000,"&lt;"&amp;(V$4+7))</f>
        <v>4</v>
      </c>
      <c r="W39" s="60">
        <f>SUM(C39:V39)</f>
        <v>28</v>
      </c>
    </row>
    <row r="40" spans="1:23" ht="17.25" x14ac:dyDescent="0.35">
      <c r="A40" s="62" t="s">
        <v>387</v>
      </c>
      <c r="B40" s="45" t="s">
        <v>306</v>
      </c>
      <c r="C40" s="46">
        <f>SUMIFS(台帳!$I$2:$I$2000,台帳!$F$2:$F$2000,$B40,台帳!$A$2:$A$2000,"&gt;="&amp;C$4,台帳!$A$2:$A$2000,"&lt;"&amp;(C$4+7))</f>
        <v>0</v>
      </c>
      <c r="D40" s="46">
        <f>SUMIFS(台帳!$I$2:$I$2000,台帳!$F$2:$F$2000,$B40,台帳!$A$2:$A$2000,"&gt;="&amp;D$4,台帳!$A$2:$A$2000,"&lt;"&amp;(D$4+7))</f>
        <v>0</v>
      </c>
      <c r="E40" s="46">
        <f>SUMIFS(台帳!$I$2:$I$2000,台帳!$F$2:$F$2000,$B40,台帳!$A$2:$A$2000,"&gt;="&amp;E$4,台帳!$A$2:$A$2000,"&lt;"&amp;(E$4+7))</f>
        <v>0</v>
      </c>
      <c r="F40" s="46">
        <f>SUMIFS(台帳!$I$2:$I$2000,台帳!$F$2:$F$2000,$B40,台帳!$A$2:$A$2000,"&gt;="&amp;F$4,台帳!$A$2:$A$2000,"&lt;"&amp;(F$4+7))</f>
        <v>0</v>
      </c>
      <c r="G40" s="46">
        <f>SUMIFS(台帳!$I$2:$I$2000,台帳!$F$2:$F$2000,$B40,台帳!$A$2:$A$2000,"&gt;="&amp;G$4,台帳!$A$2:$A$2000,"&lt;"&amp;(G$4+7))</f>
        <v>0</v>
      </c>
      <c r="H40" s="46">
        <f>SUMIFS(台帳!$I$2:$I$2000,台帳!$F$2:$F$2000,$B40,台帳!$A$2:$A$2000,"&gt;="&amp;H$4,台帳!$A$2:$A$2000,"&lt;"&amp;(H$4+7))</f>
        <v>0</v>
      </c>
      <c r="I40" s="46">
        <f>SUMIFS(台帳!$I$2:$I$2000,台帳!$F$2:$F$2000,$B40,台帳!$A$2:$A$2000,"&gt;="&amp;I$4,台帳!$A$2:$A$2000,"&lt;"&amp;(I$4+7))</f>
        <v>0</v>
      </c>
      <c r="J40" s="46">
        <f>SUMIFS(台帳!$I$2:$I$2000,台帳!$F$2:$F$2000,$B40,台帳!$A$2:$A$2000,"&gt;="&amp;J$4,台帳!$A$2:$A$2000,"&lt;"&amp;(J$4+7))</f>
        <v>0</v>
      </c>
      <c r="K40" s="46">
        <f>SUMIFS(台帳!$I$2:$I$2000,台帳!$F$2:$F$2000,$B40,台帳!$A$2:$A$2000,"&gt;="&amp;K$4,台帳!$A$2:$A$2000,"&lt;"&amp;(K$4+7))</f>
        <v>0</v>
      </c>
      <c r="L40" s="46">
        <f>SUMIFS(台帳!$I$2:$I$2000,台帳!$F$2:$F$2000,$B40,台帳!$A$2:$A$2000,"&gt;="&amp;L$4,台帳!$A$2:$A$2000,"&lt;"&amp;(L$4+7))</f>
        <v>0</v>
      </c>
      <c r="M40" s="46">
        <f>SUMIFS(台帳!$I$2:$I$2000,台帳!$F$2:$F$2000,$B40,台帳!$A$2:$A$2000,"&gt;="&amp;M$4,台帳!$A$2:$A$2000,"&lt;"&amp;(M$4+7))</f>
        <v>0</v>
      </c>
      <c r="N40" s="46">
        <f>SUMIFS(台帳!$I$2:$I$2000,台帳!$F$2:$F$2000,$B40,台帳!$A$2:$A$2000,"&gt;="&amp;N$4,台帳!$A$2:$A$2000,"&lt;"&amp;(N$4+7))</f>
        <v>0</v>
      </c>
      <c r="O40" s="46">
        <f>SUMIFS(台帳!$I$2:$I$2000,台帳!$F$2:$F$2000,$B40,台帳!$A$2:$A$2000,"&gt;="&amp;O$4,台帳!$A$2:$A$2000,"&lt;"&amp;(O$4+7))</f>
        <v>0</v>
      </c>
      <c r="P40" s="46">
        <f>SUMIFS(台帳!$I$2:$I$2000,台帳!$F$2:$F$2000,$B40,台帳!$A$2:$A$2000,"&gt;="&amp;P$4,台帳!$A$2:$A$2000,"&lt;"&amp;(P$4+7))</f>
        <v>0</v>
      </c>
      <c r="Q40" s="46">
        <f>SUMIFS(台帳!$I$2:$I$2000,台帳!$F$2:$F$2000,$B40,台帳!$A$2:$A$2000,"&gt;="&amp;Q$4,台帳!$A$2:$A$2000,"&lt;"&amp;(Q$4+7))</f>
        <v>0</v>
      </c>
      <c r="R40" s="46">
        <f>SUMIFS(台帳!$I$2:$I$2000,台帳!$F$2:$F$2000,$B40,台帳!$A$2:$A$2000,"&gt;="&amp;R$4,台帳!$A$2:$A$2000,"&lt;"&amp;(R$4+7))</f>
        <v>0</v>
      </c>
      <c r="S40" s="46">
        <f>SUMIFS(台帳!$I$2:$I$2000,台帳!$F$2:$F$2000,$B40,台帳!$A$2:$A$2000,"&gt;="&amp;S$4,台帳!$A$2:$A$2000,"&lt;"&amp;(S$4+7))</f>
        <v>0</v>
      </c>
      <c r="T40" s="46">
        <f>SUMIFS(台帳!$I$2:$I$2000,台帳!$F$2:$F$2000,$B40,台帳!$A$2:$A$2000,"&gt;="&amp;T$4,台帳!$A$2:$A$2000,"&lt;"&amp;(T$4+7))</f>
        <v>7</v>
      </c>
      <c r="U40" s="46">
        <f>SUMIFS(台帳!$I$2:$I$2000,台帳!$F$2:$F$2000,$B40,台帳!$A$2:$A$2000,"&gt;="&amp;U$4,台帳!$A$2:$A$2000,"&lt;"&amp;(U$4+7))</f>
        <v>0</v>
      </c>
      <c r="V40" s="46">
        <f>SUMIFS(台帳!$I$2:$I$2000,台帳!$F$2:$F$2000,$B40,台帳!$A$2:$A$2000,"&gt;="&amp;V$4,台帳!$A$2:$A$2000,"&lt;"&amp;(V$4+7))</f>
        <v>0</v>
      </c>
      <c r="W40" s="45">
        <f>SUM(C40:V40)</f>
        <v>7</v>
      </c>
    </row>
    <row r="41" spans="1:23" ht="17.25" x14ac:dyDescent="0.35">
      <c r="A41" s="62" t="s">
        <v>387</v>
      </c>
      <c r="B41" s="45" t="s">
        <v>316</v>
      </c>
      <c r="C41" s="46">
        <f>SUMIFS(台帳!$I$2:$I$2000,台帳!$F$2:$F$2000,$B41,台帳!$A$2:$A$2000,"&gt;="&amp;C$4,台帳!$A$2:$A$2000,"&lt;"&amp;(C$4+7))</f>
        <v>0</v>
      </c>
      <c r="D41" s="46">
        <f>SUMIFS(台帳!$I$2:$I$2000,台帳!$F$2:$F$2000,$B41,台帳!$A$2:$A$2000,"&gt;="&amp;D$4,台帳!$A$2:$A$2000,"&lt;"&amp;(D$4+7))</f>
        <v>0</v>
      </c>
      <c r="E41" s="46">
        <f>SUMIFS(台帳!$I$2:$I$2000,台帳!$F$2:$F$2000,$B41,台帳!$A$2:$A$2000,"&gt;="&amp;E$4,台帳!$A$2:$A$2000,"&lt;"&amp;(E$4+7))</f>
        <v>0</v>
      </c>
      <c r="F41" s="46">
        <f>SUMIFS(台帳!$I$2:$I$2000,台帳!$F$2:$F$2000,$B41,台帳!$A$2:$A$2000,"&gt;="&amp;F$4,台帳!$A$2:$A$2000,"&lt;"&amp;(F$4+7))</f>
        <v>0</v>
      </c>
      <c r="G41" s="46">
        <f>SUMIFS(台帳!$I$2:$I$2000,台帳!$F$2:$F$2000,$B41,台帳!$A$2:$A$2000,"&gt;="&amp;G$4,台帳!$A$2:$A$2000,"&lt;"&amp;(G$4+7))</f>
        <v>0</v>
      </c>
      <c r="H41" s="46">
        <f>SUMIFS(台帳!$I$2:$I$2000,台帳!$F$2:$F$2000,$B41,台帳!$A$2:$A$2000,"&gt;="&amp;H$4,台帳!$A$2:$A$2000,"&lt;"&amp;(H$4+7))</f>
        <v>0</v>
      </c>
      <c r="I41" s="46">
        <f>SUMIFS(台帳!$I$2:$I$2000,台帳!$F$2:$F$2000,$B41,台帳!$A$2:$A$2000,"&gt;="&amp;I$4,台帳!$A$2:$A$2000,"&lt;"&amp;(I$4+7))</f>
        <v>0</v>
      </c>
      <c r="J41" s="46">
        <f>SUMIFS(台帳!$I$2:$I$2000,台帳!$F$2:$F$2000,$B41,台帳!$A$2:$A$2000,"&gt;="&amp;J$4,台帳!$A$2:$A$2000,"&lt;"&amp;(J$4+7))</f>
        <v>0</v>
      </c>
      <c r="K41" s="46">
        <f>SUMIFS(台帳!$I$2:$I$2000,台帳!$F$2:$F$2000,$B41,台帳!$A$2:$A$2000,"&gt;="&amp;K$4,台帳!$A$2:$A$2000,"&lt;"&amp;(K$4+7))</f>
        <v>0</v>
      </c>
      <c r="L41" s="46">
        <f>SUMIFS(台帳!$I$2:$I$2000,台帳!$F$2:$F$2000,$B41,台帳!$A$2:$A$2000,"&gt;="&amp;L$4,台帳!$A$2:$A$2000,"&lt;"&amp;(L$4+7))</f>
        <v>0</v>
      </c>
      <c r="M41" s="46">
        <f>SUMIFS(台帳!$I$2:$I$2000,台帳!$F$2:$F$2000,$B41,台帳!$A$2:$A$2000,"&gt;="&amp;M$4,台帳!$A$2:$A$2000,"&lt;"&amp;(M$4+7))</f>
        <v>0</v>
      </c>
      <c r="N41" s="46">
        <f>SUMIFS(台帳!$I$2:$I$2000,台帳!$F$2:$F$2000,$B41,台帳!$A$2:$A$2000,"&gt;="&amp;N$4,台帳!$A$2:$A$2000,"&lt;"&amp;(N$4+7))</f>
        <v>0</v>
      </c>
      <c r="O41" s="46">
        <f>SUMIFS(台帳!$I$2:$I$2000,台帳!$F$2:$F$2000,$B41,台帳!$A$2:$A$2000,"&gt;="&amp;O$4,台帳!$A$2:$A$2000,"&lt;"&amp;(O$4+7))</f>
        <v>0</v>
      </c>
      <c r="P41" s="46">
        <f>SUMIFS(台帳!$I$2:$I$2000,台帳!$F$2:$F$2000,$B41,台帳!$A$2:$A$2000,"&gt;="&amp;P$4,台帳!$A$2:$A$2000,"&lt;"&amp;(P$4+7))</f>
        <v>0</v>
      </c>
      <c r="Q41" s="46">
        <f>SUMIFS(台帳!$I$2:$I$2000,台帳!$F$2:$F$2000,$B41,台帳!$A$2:$A$2000,"&gt;="&amp;Q$4,台帳!$A$2:$A$2000,"&lt;"&amp;(Q$4+7))</f>
        <v>0</v>
      </c>
      <c r="R41" s="46">
        <f>SUMIFS(台帳!$I$2:$I$2000,台帳!$F$2:$F$2000,$B41,台帳!$A$2:$A$2000,"&gt;="&amp;R$4,台帳!$A$2:$A$2000,"&lt;"&amp;(R$4+7))</f>
        <v>0</v>
      </c>
      <c r="S41" s="46">
        <f>SUMIFS(台帳!$I$2:$I$2000,台帳!$F$2:$F$2000,$B41,台帳!$A$2:$A$2000,"&gt;="&amp;S$4,台帳!$A$2:$A$2000,"&lt;"&amp;(S$4+7))</f>
        <v>0</v>
      </c>
      <c r="T41" s="46">
        <f>SUMIFS(台帳!$I$2:$I$2000,台帳!$F$2:$F$2000,$B41,台帳!$A$2:$A$2000,"&gt;="&amp;T$4,台帳!$A$2:$A$2000,"&lt;"&amp;(T$4+7))</f>
        <v>8</v>
      </c>
      <c r="U41" s="46">
        <f>SUMIFS(台帳!$I$2:$I$2000,台帳!$F$2:$F$2000,$B41,台帳!$A$2:$A$2000,"&gt;="&amp;U$4,台帳!$A$2:$A$2000,"&lt;"&amp;(U$4+7))</f>
        <v>9</v>
      </c>
      <c r="V41" s="46">
        <f>SUMIFS(台帳!$I$2:$I$2000,台帳!$F$2:$F$2000,$B41,台帳!$A$2:$A$2000,"&gt;="&amp;V$4,台帳!$A$2:$A$2000,"&lt;"&amp;(V$4+7))</f>
        <v>2</v>
      </c>
      <c r="W41" s="45">
        <f>SUM(C41:V41)</f>
        <v>19</v>
      </c>
    </row>
    <row r="42" spans="1:23" ht="17.25" x14ac:dyDescent="0.35">
      <c r="A42" s="62" t="s">
        <v>387</v>
      </c>
      <c r="B42" s="45" t="s">
        <v>352</v>
      </c>
      <c r="C42" s="46">
        <f>SUMIFS(台帳!$I$2:$I$2000,台帳!$F$2:$F$2000,$B42,台帳!$A$2:$A$2000,"&gt;="&amp;C$4,台帳!$A$2:$A$2000,"&lt;"&amp;(C$4+7))</f>
        <v>0</v>
      </c>
      <c r="D42" s="46">
        <f>SUMIFS(台帳!$I$2:$I$2000,台帳!$F$2:$F$2000,$B42,台帳!$A$2:$A$2000,"&gt;="&amp;D$4,台帳!$A$2:$A$2000,"&lt;"&amp;(D$4+7))</f>
        <v>0</v>
      </c>
      <c r="E42" s="46">
        <f>SUMIFS(台帳!$I$2:$I$2000,台帳!$F$2:$F$2000,$B42,台帳!$A$2:$A$2000,"&gt;="&amp;E$4,台帳!$A$2:$A$2000,"&lt;"&amp;(E$4+7))</f>
        <v>0</v>
      </c>
      <c r="F42" s="46">
        <f>SUMIFS(台帳!$I$2:$I$2000,台帳!$F$2:$F$2000,$B42,台帳!$A$2:$A$2000,"&gt;="&amp;F$4,台帳!$A$2:$A$2000,"&lt;"&amp;(F$4+7))</f>
        <v>0</v>
      </c>
      <c r="G42" s="46">
        <f>SUMIFS(台帳!$I$2:$I$2000,台帳!$F$2:$F$2000,$B42,台帳!$A$2:$A$2000,"&gt;="&amp;G$4,台帳!$A$2:$A$2000,"&lt;"&amp;(G$4+7))</f>
        <v>0</v>
      </c>
      <c r="H42" s="46">
        <f>SUMIFS(台帳!$I$2:$I$2000,台帳!$F$2:$F$2000,$B42,台帳!$A$2:$A$2000,"&gt;="&amp;H$4,台帳!$A$2:$A$2000,"&lt;"&amp;(H$4+7))</f>
        <v>0</v>
      </c>
      <c r="I42" s="46">
        <f>SUMIFS(台帳!$I$2:$I$2000,台帳!$F$2:$F$2000,$B42,台帳!$A$2:$A$2000,"&gt;="&amp;I$4,台帳!$A$2:$A$2000,"&lt;"&amp;(I$4+7))</f>
        <v>0</v>
      </c>
      <c r="J42" s="46">
        <f>SUMIFS(台帳!$I$2:$I$2000,台帳!$F$2:$F$2000,$B42,台帳!$A$2:$A$2000,"&gt;="&amp;J$4,台帳!$A$2:$A$2000,"&lt;"&amp;(J$4+7))</f>
        <v>0</v>
      </c>
      <c r="K42" s="46">
        <f>SUMIFS(台帳!$I$2:$I$2000,台帳!$F$2:$F$2000,$B42,台帳!$A$2:$A$2000,"&gt;="&amp;K$4,台帳!$A$2:$A$2000,"&lt;"&amp;(K$4+7))</f>
        <v>0</v>
      </c>
      <c r="L42" s="46">
        <f>SUMIFS(台帳!$I$2:$I$2000,台帳!$F$2:$F$2000,$B42,台帳!$A$2:$A$2000,"&gt;="&amp;L$4,台帳!$A$2:$A$2000,"&lt;"&amp;(L$4+7))</f>
        <v>0</v>
      </c>
      <c r="M42" s="46">
        <f>SUMIFS(台帳!$I$2:$I$2000,台帳!$F$2:$F$2000,$B42,台帳!$A$2:$A$2000,"&gt;="&amp;M$4,台帳!$A$2:$A$2000,"&lt;"&amp;(M$4+7))</f>
        <v>0</v>
      </c>
      <c r="N42" s="46">
        <f>SUMIFS(台帳!$I$2:$I$2000,台帳!$F$2:$F$2000,$B42,台帳!$A$2:$A$2000,"&gt;="&amp;N$4,台帳!$A$2:$A$2000,"&lt;"&amp;(N$4+7))</f>
        <v>0</v>
      </c>
      <c r="O42" s="46">
        <f>SUMIFS(台帳!$I$2:$I$2000,台帳!$F$2:$F$2000,$B42,台帳!$A$2:$A$2000,"&gt;="&amp;O$4,台帳!$A$2:$A$2000,"&lt;"&amp;(O$4+7))</f>
        <v>0</v>
      </c>
      <c r="P42" s="46">
        <f>SUMIFS(台帳!$I$2:$I$2000,台帳!$F$2:$F$2000,$B42,台帳!$A$2:$A$2000,"&gt;="&amp;P$4,台帳!$A$2:$A$2000,"&lt;"&amp;(P$4+7))</f>
        <v>0</v>
      </c>
      <c r="Q42" s="46">
        <f>SUMIFS(台帳!$I$2:$I$2000,台帳!$F$2:$F$2000,$B42,台帳!$A$2:$A$2000,"&gt;="&amp;Q$4,台帳!$A$2:$A$2000,"&lt;"&amp;(Q$4+7))</f>
        <v>0</v>
      </c>
      <c r="R42" s="46">
        <f>SUMIFS(台帳!$I$2:$I$2000,台帳!$F$2:$F$2000,$B42,台帳!$A$2:$A$2000,"&gt;="&amp;R$4,台帳!$A$2:$A$2000,"&lt;"&amp;(R$4+7))</f>
        <v>0</v>
      </c>
      <c r="S42" s="46">
        <f>SUMIFS(台帳!$I$2:$I$2000,台帳!$F$2:$F$2000,$B42,台帳!$A$2:$A$2000,"&gt;="&amp;S$4,台帳!$A$2:$A$2000,"&lt;"&amp;(S$4+7))</f>
        <v>0</v>
      </c>
      <c r="T42" s="46">
        <f>SUMIFS(台帳!$I$2:$I$2000,台帳!$F$2:$F$2000,$B42,台帳!$A$2:$A$2000,"&gt;="&amp;T$4,台帳!$A$2:$A$2000,"&lt;"&amp;(T$4+7))</f>
        <v>0</v>
      </c>
      <c r="U42" s="46">
        <f>SUMIFS(台帳!$I$2:$I$2000,台帳!$F$2:$F$2000,$B42,台帳!$A$2:$A$2000,"&gt;="&amp;U$4,台帳!$A$2:$A$2000,"&lt;"&amp;(U$4+7))</f>
        <v>0</v>
      </c>
      <c r="V42" s="46">
        <f>SUMIFS(台帳!$I$2:$I$2000,台帳!$F$2:$F$2000,$B42,台帳!$A$2:$A$2000,"&gt;="&amp;V$4,台帳!$A$2:$A$2000,"&lt;"&amp;(V$4+7))</f>
        <v>2</v>
      </c>
      <c r="W42" s="45">
        <f>SUM(C42:V42)</f>
        <v>2</v>
      </c>
    </row>
    <row r="43" spans="1:23" ht="17.25" x14ac:dyDescent="0.35">
      <c r="A43" s="65" t="s">
        <v>389</v>
      </c>
      <c r="B43" s="65" t="s">
        <v>517</v>
      </c>
      <c r="C43" s="66">
        <f>SUMIFS(台帳!$I$2:$I$2000,台帳!$E$2:$E$2000,$A43,台帳!$A$2:$A$2000,"&gt;="&amp;C$4,台帳!$A$2:$A$2000,"&lt;"&amp;(C$4+7))</f>
        <v>0</v>
      </c>
      <c r="D43" s="66">
        <f>SUMIFS(台帳!$I$2:$I$2000,台帳!$E$2:$E$2000,$A43,台帳!$A$2:$A$2000,"&gt;="&amp;D$4,台帳!$A$2:$A$2000,"&lt;"&amp;(D$4+7))</f>
        <v>0</v>
      </c>
      <c r="E43" s="66">
        <f>SUMIFS(台帳!$I$2:$I$2000,台帳!$E$2:$E$2000,$A43,台帳!$A$2:$A$2000,"&gt;="&amp;E$4,台帳!$A$2:$A$2000,"&lt;"&amp;(E$4+7))</f>
        <v>0</v>
      </c>
      <c r="F43" s="66">
        <f>SUMIFS(台帳!$I$2:$I$2000,台帳!$E$2:$E$2000,$A43,台帳!$A$2:$A$2000,"&gt;="&amp;F$4,台帳!$A$2:$A$2000,"&lt;"&amp;(F$4+7))</f>
        <v>0</v>
      </c>
      <c r="G43" s="66">
        <f>SUMIFS(台帳!$I$2:$I$2000,台帳!$E$2:$E$2000,$A43,台帳!$A$2:$A$2000,"&gt;="&amp;G$4,台帳!$A$2:$A$2000,"&lt;"&amp;(G$4+7))</f>
        <v>0</v>
      </c>
      <c r="H43" s="66">
        <f>SUMIFS(台帳!$I$2:$I$2000,台帳!$E$2:$E$2000,$A43,台帳!$A$2:$A$2000,"&gt;="&amp;H$4,台帳!$A$2:$A$2000,"&lt;"&amp;(H$4+7))</f>
        <v>0</v>
      </c>
      <c r="I43" s="66">
        <f>SUMIFS(台帳!$I$2:$I$2000,台帳!$E$2:$E$2000,$A43,台帳!$A$2:$A$2000,"&gt;="&amp;I$4,台帳!$A$2:$A$2000,"&lt;"&amp;(I$4+7))</f>
        <v>0</v>
      </c>
      <c r="J43" s="66">
        <f>SUMIFS(台帳!$I$2:$I$2000,台帳!$E$2:$E$2000,$A43,台帳!$A$2:$A$2000,"&gt;="&amp;J$4,台帳!$A$2:$A$2000,"&lt;"&amp;(J$4+7))</f>
        <v>0</v>
      </c>
      <c r="K43" s="66">
        <f>SUMIFS(台帳!$I$2:$I$2000,台帳!$E$2:$E$2000,$A43,台帳!$A$2:$A$2000,"&gt;="&amp;K$4,台帳!$A$2:$A$2000,"&lt;"&amp;(K$4+7))</f>
        <v>0</v>
      </c>
      <c r="L43" s="66">
        <f>SUMIFS(台帳!$I$2:$I$2000,台帳!$E$2:$E$2000,$A43,台帳!$A$2:$A$2000,"&gt;="&amp;L$4,台帳!$A$2:$A$2000,"&lt;"&amp;(L$4+7))</f>
        <v>0</v>
      </c>
      <c r="M43" s="66">
        <f>SUMIFS(台帳!$I$2:$I$2000,台帳!$E$2:$E$2000,$A43,台帳!$A$2:$A$2000,"&gt;="&amp;M$4,台帳!$A$2:$A$2000,"&lt;"&amp;(M$4+7))</f>
        <v>0</v>
      </c>
      <c r="N43" s="66">
        <f>SUMIFS(台帳!$I$2:$I$2000,台帳!$E$2:$E$2000,$A43,台帳!$A$2:$A$2000,"&gt;="&amp;N$4,台帳!$A$2:$A$2000,"&lt;"&amp;(N$4+7))</f>
        <v>0</v>
      </c>
      <c r="O43" s="66">
        <f>SUMIFS(台帳!$I$2:$I$2000,台帳!$E$2:$E$2000,$A43,台帳!$A$2:$A$2000,"&gt;="&amp;O$4,台帳!$A$2:$A$2000,"&lt;"&amp;(O$4+7))</f>
        <v>0</v>
      </c>
      <c r="P43" s="66">
        <f>SUMIFS(台帳!$I$2:$I$2000,台帳!$E$2:$E$2000,$A43,台帳!$A$2:$A$2000,"&gt;="&amp;P$4,台帳!$A$2:$A$2000,"&lt;"&amp;(P$4+7))</f>
        <v>0</v>
      </c>
      <c r="Q43" s="66">
        <f>SUMIFS(台帳!$I$2:$I$2000,台帳!$E$2:$E$2000,$A43,台帳!$A$2:$A$2000,"&gt;="&amp;Q$4,台帳!$A$2:$A$2000,"&lt;"&amp;(Q$4+7))</f>
        <v>11</v>
      </c>
      <c r="R43" s="66">
        <f>SUMIFS(台帳!$I$2:$I$2000,台帳!$E$2:$E$2000,$A43,台帳!$A$2:$A$2000,"&gt;="&amp;R$4,台帳!$A$2:$A$2000,"&lt;"&amp;(R$4+7))</f>
        <v>2</v>
      </c>
      <c r="S43" s="66">
        <f>SUMIFS(台帳!$I$2:$I$2000,台帳!$E$2:$E$2000,$A43,台帳!$A$2:$A$2000,"&gt;="&amp;S$4,台帳!$A$2:$A$2000,"&lt;"&amp;(S$4+7))</f>
        <v>4</v>
      </c>
      <c r="T43" s="66">
        <f>SUMIFS(台帳!$I$2:$I$2000,台帳!$E$2:$E$2000,$A43,台帳!$A$2:$A$2000,"&gt;="&amp;T$4,台帳!$A$2:$A$2000,"&lt;"&amp;(T$4+7))</f>
        <v>0</v>
      </c>
      <c r="U43" s="66">
        <f>SUMIFS(台帳!$I$2:$I$2000,台帳!$E$2:$E$2000,$A43,台帳!$A$2:$A$2000,"&gt;="&amp;U$4,台帳!$A$2:$A$2000,"&lt;"&amp;(U$4+7))</f>
        <v>2</v>
      </c>
      <c r="V43" s="66">
        <f>SUMIFS(台帳!$I$2:$I$2000,台帳!$E$2:$E$2000,$A43,台帳!$A$2:$A$2000,"&gt;="&amp;V$4,台帳!$A$2:$A$2000,"&lt;"&amp;(V$4+7))</f>
        <v>0</v>
      </c>
      <c r="W43" s="60">
        <f>SUM(C43:V43)</f>
        <v>19</v>
      </c>
    </row>
    <row r="44" spans="1:23" ht="17.25" x14ac:dyDescent="0.35">
      <c r="A44" s="62" t="s">
        <v>389</v>
      </c>
      <c r="B44" s="45" t="s">
        <v>252</v>
      </c>
      <c r="C44" s="46">
        <f>SUMIFS(台帳!$I$2:$I$2000,台帳!$F$2:$F$2000,$B44,台帳!$A$2:$A$2000,"&gt;="&amp;C$4,台帳!$A$2:$A$2000,"&lt;"&amp;(C$4+7))</f>
        <v>0</v>
      </c>
      <c r="D44" s="46">
        <f>SUMIFS(台帳!$I$2:$I$2000,台帳!$F$2:$F$2000,$B44,台帳!$A$2:$A$2000,"&gt;="&amp;D$4,台帳!$A$2:$A$2000,"&lt;"&amp;(D$4+7))</f>
        <v>0</v>
      </c>
      <c r="E44" s="46">
        <f>SUMIFS(台帳!$I$2:$I$2000,台帳!$F$2:$F$2000,$B44,台帳!$A$2:$A$2000,"&gt;="&amp;E$4,台帳!$A$2:$A$2000,"&lt;"&amp;(E$4+7))</f>
        <v>0</v>
      </c>
      <c r="F44" s="46">
        <f>SUMIFS(台帳!$I$2:$I$2000,台帳!$F$2:$F$2000,$B44,台帳!$A$2:$A$2000,"&gt;="&amp;F$4,台帳!$A$2:$A$2000,"&lt;"&amp;(F$4+7))</f>
        <v>0</v>
      </c>
      <c r="G44" s="46">
        <f>SUMIFS(台帳!$I$2:$I$2000,台帳!$F$2:$F$2000,$B44,台帳!$A$2:$A$2000,"&gt;="&amp;G$4,台帳!$A$2:$A$2000,"&lt;"&amp;(G$4+7))</f>
        <v>0</v>
      </c>
      <c r="H44" s="46">
        <f>SUMIFS(台帳!$I$2:$I$2000,台帳!$F$2:$F$2000,$B44,台帳!$A$2:$A$2000,"&gt;="&amp;H$4,台帳!$A$2:$A$2000,"&lt;"&amp;(H$4+7))</f>
        <v>0</v>
      </c>
      <c r="I44" s="46">
        <f>SUMIFS(台帳!$I$2:$I$2000,台帳!$F$2:$F$2000,$B44,台帳!$A$2:$A$2000,"&gt;="&amp;I$4,台帳!$A$2:$A$2000,"&lt;"&amp;(I$4+7))</f>
        <v>0</v>
      </c>
      <c r="J44" s="46">
        <f>SUMIFS(台帳!$I$2:$I$2000,台帳!$F$2:$F$2000,$B44,台帳!$A$2:$A$2000,"&gt;="&amp;J$4,台帳!$A$2:$A$2000,"&lt;"&amp;(J$4+7))</f>
        <v>0</v>
      </c>
      <c r="K44" s="46">
        <f>SUMIFS(台帳!$I$2:$I$2000,台帳!$F$2:$F$2000,$B44,台帳!$A$2:$A$2000,"&gt;="&amp;K$4,台帳!$A$2:$A$2000,"&lt;"&amp;(K$4+7))</f>
        <v>0</v>
      </c>
      <c r="L44" s="46">
        <f>SUMIFS(台帳!$I$2:$I$2000,台帳!$F$2:$F$2000,$B44,台帳!$A$2:$A$2000,"&gt;="&amp;L$4,台帳!$A$2:$A$2000,"&lt;"&amp;(L$4+7))</f>
        <v>0</v>
      </c>
      <c r="M44" s="46">
        <f>SUMIFS(台帳!$I$2:$I$2000,台帳!$F$2:$F$2000,$B44,台帳!$A$2:$A$2000,"&gt;="&amp;M$4,台帳!$A$2:$A$2000,"&lt;"&amp;(M$4+7))</f>
        <v>0</v>
      </c>
      <c r="N44" s="46">
        <f>SUMIFS(台帳!$I$2:$I$2000,台帳!$F$2:$F$2000,$B44,台帳!$A$2:$A$2000,"&gt;="&amp;N$4,台帳!$A$2:$A$2000,"&lt;"&amp;(N$4+7))</f>
        <v>0</v>
      </c>
      <c r="O44" s="46">
        <f>SUMIFS(台帳!$I$2:$I$2000,台帳!$F$2:$F$2000,$B44,台帳!$A$2:$A$2000,"&gt;="&amp;O$4,台帳!$A$2:$A$2000,"&lt;"&amp;(O$4+7))</f>
        <v>0</v>
      </c>
      <c r="P44" s="46">
        <f>SUMIFS(台帳!$I$2:$I$2000,台帳!$F$2:$F$2000,$B44,台帳!$A$2:$A$2000,"&gt;="&amp;P$4,台帳!$A$2:$A$2000,"&lt;"&amp;(P$4+7))</f>
        <v>0</v>
      </c>
      <c r="Q44" s="46">
        <f>SUMIFS(台帳!$I$2:$I$2000,台帳!$F$2:$F$2000,$B44,台帳!$A$2:$A$2000,"&gt;="&amp;Q$4,台帳!$A$2:$A$2000,"&lt;"&amp;(Q$4+7))</f>
        <v>11</v>
      </c>
      <c r="R44" s="46">
        <f>SUMIFS(台帳!$I$2:$I$2000,台帳!$F$2:$F$2000,$B44,台帳!$A$2:$A$2000,"&gt;="&amp;R$4,台帳!$A$2:$A$2000,"&lt;"&amp;(R$4+7))</f>
        <v>2</v>
      </c>
      <c r="S44" s="46">
        <f>SUMIFS(台帳!$I$2:$I$2000,台帳!$F$2:$F$2000,$B44,台帳!$A$2:$A$2000,"&gt;="&amp;S$4,台帳!$A$2:$A$2000,"&lt;"&amp;(S$4+7))</f>
        <v>4</v>
      </c>
      <c r="T44" s="46">
        <f>SUMIFS(台帳!$I$2:$I$2000,台帳!$F$2:$F$2000,$B44,台帳!$A$2:$A$2000,"&gt;="&amp;T$4,台帳!$A$2:$A$2000,"&lt;"&amp;(T$4+7))</f>
        <v>0</v>
      </c>
      <c r="U44" s="46">
        <f>SUMIFS(台帳!$I$2:$I$2000,台帳!$F$2:$F$2000,$B44,台帳!$A$2:$A$2000,"&gt;="&amp;U$4,台帳!$A$2:$A$2000,"&lt;"&amp;(U$4+7))</f>
        <v>0</v>
      </c>
      <c r="V44" s="46">
        <f>SUMIFS(台帳!$I$2:$I$2000,台帳!$F$2:$F$2000,$B44,台帳!$A$2:$A$2000,"&gt;="&amp;V$4,台帳!$A$2:$A$2000,"&lt;"&amp;(V$4+7))</f>
        <v>0</v>
      </c>
      <c r="W44" s="45">
        <f>SUM(C44:V44)</f>
        <v>17</v>
      </c>
    </row>
    <row r="45" spans="1:23" ht="17.25" x14ac:dyDescent="0.35">
      <c r="A45" s="62" t="s">
        <v>389</v>
      </c>
      <c r="B45" s="45" t="s">
        <v>334</v>
      </c>
      <c r="C45" s="46">
        <f>SUMIFS(台帳!$I$2:$I$2000,台帳!$F$2:$F$2000,$B45,台帳!$A$2:$A$2000,"&gt;="&amp;C$4,台帳!$A$2:$A$2000,"&lt;"&amp;(C$4+7))</f>
        <v>0</v>
      </c>
      <c r="D45" s="46">
        <f>SUMIFS(台帳!$I$2:$I$2000,台帳!$F$2:$F$2000,$B45,台帳!$A$2:$A$2000,"&gt;="&amp;D$4,台帳!$A$2:$A$2000,"&lt;"&amp;(D$4+7))</f>
        <v>0</v>
      </c>
      <c r="E45" s="46">
        <f>SUMIFS(台帳!$I$2:$I$2000,台帳!$F$2:$F$2000,$B45,台帳!$A$2:$A$2000,"&gt;="&amp;E$4,台帳!$A$2:$A$2000,"&lt;"&amp;(E$4+7))</f>
        <v>0</v>
      </c>
      <c r="F45" s="46">
        <f>SUMIFS(台帳!$I$2:$I$2000,台帳!$F$2:$F$2000,$B45,台帳!$A$2:$A$2000,"&gt;="&amp;F$4,台帳!$A$2:$A$2000,"&lt;"&amp;(F$4+7))</f>
        <v>0</v>
      </c>
      <c r="G45" s="46">
        <f>SUMIFS(台帳!$I$2:$I$2000,台帳!$F$2:$F$2000,$B45,台帳!$A$2:$A$2000,"&gt;="&amp;G$4,台帳!$A$2:$A$2000,"&lt;"&amp;(G$4+7))</f>
        <v>0</v>
      </c>
      <c r="H45" s="46">
        <f>SUMIFS(台帳!$I$2:$I$2000,台帳!$F$2:$F$2000,$B45,台帳!$A$2:$A$2000,"&gt;="&amp;H$4,台帳!$A$2:$A$2000,"&lt;"&amp;(H$4+7))</f>
        <v>0</v>
      </c>
      <c r="I45" s="46">
        <f>SUMIFS(台帳!$I$2:$I$2000,台帳!$F$2:$F$2000,$B45,台帳!$A$2:$A$2000,"&gt;="&amp;I$4,台帳!$A$2:$A$2000,"&lt;"&amp;(I$4+7))</f>
        <v>0</v>
      </c>
      <c r="J45" s="46">
        <f>SUMIFS(台帳!$I$2:$I$2000,台帳!$F$2:$F$2000,$B45,台帳!$A$2:$A$2000,"&gt;="&amp;J$4,台帳!$A$2:$A$2000,"&lt;"&amp;(J$4+7))</f>
        <v>0</v>
      </c>
      <c r="K45" s="46">
        <f>SUMIFS(台帳!$I$2:$I$2000,台帳!$F$2:$F$2000,$B45,台帳!$A$2:$A$2000,"&gt;="&amp;K$4,台帳!$A$2:$A$2000,"&lt;"&amp;(K$4+7))</f>
        <v>0</v>
      </c>
      <c r="L45" s="46">
        <f>SUMIFS(台帳!$I$2:$I$2000,台帳!$F$2:$F$2000,$B45,台帳!$A$2:$A$2000,"&gt;="&amp;L$4,台帳!$A$2:$A$2000,"&lt;"&amp;(L$4+7))</f>
        <v>0</v>
      </c>
      <c r="M45" s="46">
        <f>SUMIFS(台帳!$I$2:$I$2000,台帳!$F$2:$F$2000,$B45,台帳!$A$2:$A$2000,"&gt;="&amp;M$4,台帳!$A$2:$A$2000,"&lt;"&amp;(M$4+7))</f>
        <v>0</v>
      </c>
      <c r="N45" s="46">
        <f>SUMIFS(台帳!$I$2:$I$2000,台帳!$F$2:$F$2000,$B45,台帳!$A$2:$A$2000,"&gt;="&amp;N$4,台帳!$A$2:$A$2000,"&lt;"&amp;(N$4+7))</f>
        <v>0</v>
      </c>
      <c r="O45" s="46">
        <f>SUMIFS(台帳!$I$2:$I$2000,台帳!$F$2:$F$2000,$B45,台帳!$A$2:$A$2000,"&gt;="&amp;O$4,台帳!$A$2:$A$2000,"&lt;"&amp;(O$4+7))</f>
        <v>0</v>
      </c>
      <c r="P45" s="46">
        <f>SUMIFS(台帳!$I$2:$I$2000,台帳!$F$2:$F$2000,$B45,台帳!$A$2:$A$2000,"&gt;="&amp;P$4,台帳!$A$2:$A$2000,"&lt;"&amp;(P$4+7))</f>
        <v>0</v>
      </c>
      <c r="Q45" s="46">
        <f>SUMIFS(台帳!$I$2:$I$2000,台帳!$F$2:$F$2000,$B45,台帳!$A$2:$A$2000,"&gt;="&amp;Q$4,台帳!$A$2:$A$2000,"&lt;"&amp;(Q$4+7))</f>
        <v>0</v>
      </c>
      <c r="R45" s="46">
        <f>SUMIFS(台帳!$I$2:$I$2000,台帳!$F$2:$F$2000,$B45,台帳!$A$2:$A$2000,"&gt;="&amp;R$4,台帳!$A$2:$A$2000,"&lt;"&amp;(R$4+7))</f>
        <v>0</v>
      </c>
      <c r="S45" s="46">
        <f>SUMIFS(台帳!$I$2:$I$2000,台帳!$F$2:$F$2000,$B45,台帳!$A$2:$A$2000,"&gt;="&amp;S$4,台帳!$A$2:$A$2000,"&lt;"&amp;(S$4+7))</f>
        <v>0</v>
      </c>
      <c r="T45" s="46">
        <f>SUMIFS(台帳!$I$2:$I$2000,台帳!$F$2:$F$2000,$B45,台帳!$A$2:$A$2000,"&gt;="&amp;T$4,台帳!$A$2:$A$2000,"&lt;"&amp;(T$4+7))</f>
        <v>0</v>
      </c>
      <c r="U45" s="46">
        <f>SUMIFS(台帳!$I$2:$I$2000,台帳!$F$2:$F$2000,$B45,台帳!$A$2:$A$2000,"&gt;="&amp;U$4,台帳!$A$2:$A$2000,"&lt;"&amp;(U$4+7))</f>
        <v>2</v>
      </c>
      <c r="V45" s="46">
        <f>SUMIFS(台帳!$I$2:$I$2000,台帳!$F$2:$F$2000,$B45,台帳!$A$2:$A$2000,"&gt;="&amp;V$4,台帳!$A$2:$A$2000,"&lt;"&amp;(V$4+7))</f>
        <v>0</v>
      </c>
      <c r="W45" s="45">
        <f>SUM(C45:V45)</f>
        <v>2</v>
      </c>
    </row>
    <row r="46" spans="1:23" ht="17.25" x14ac:dyDescent="0.35">
      <c r="A46" s="65" t="s">
        <v>392</v>
      </c>
      <c r="B46" s="65" t="s">
        <v>517</v>
      </c>
      <c r="C46" s="66">
        <f>SUMIFS(台帳!$I$2:$I$2000,台帳!$E$2:$E$2000,$A46,台帳!$A$2:$A$2000,"&gt;="&amp;C$4,台帳!$A$2:$A$2000,"&lt;"&amp;(C$4+7))</f>
        <v>0</v>
      </c>
      <c r="D46" s="66">
        <f>SUMIFS(台帳!$I$2:$I$2000,台帳!$E$2:$E$2000,$A46,台帳!$A$2:$A$2000,"&gt;="&amp;D$4,台帳!$A$2:$A$2000,"&lt;"&amp;(D$4+7))</f>
        <v>0</v>
      </c>
      <c r="E46" s="66">
        <f>SUMIFS(台帳!$I$2:$I$2000,台帳!$E$2:$E$2000,$A46,台帳!$A$2:$A$2000,"&gt;="&amp;E$4,台帳!$A$2:$A$2000,"&lt;"&amp;(E$4+7))</f>
        <v>0</v>
      </c>
      <c r="F46" s="66">
        <f>SUMIFS(台帳!$I$2:$I$2000,台帳!$E$2:$E$2000,$A46,台帳!$A$2:$A$2000,"&gt;="&amp;F$4,台帳!$A$2:$A$2000,"&lt;"&amp;(F$4+7))</f>
        <v>0</v>
      </c>
      <c r="G46" s="66">
        <f>SUMIFS(台帳!$I$2:$I$2000,台帳!$E$2:$E$2000,$A46,台帳!$A$2:$A$2000,"&gt;="&amp;G$4,台帳!$A$2:$A$2000,"&lt;"&amp;(G$4+7))</f>
        <v>0</v>
      </c>
      <c r="H46" s="66">
        <f>SUMIFS(台帳!$I$2:$I$2000,台帳!$E$2:$E$2000,$A46,台帳!$A$2:$A$2000,"&gt;="&amp;H$4,台帳!$A$2:$A$2000,"&lt;"&amp;(H$4+7))</f>
        <v>0</v>
      </c>
      <c r="I46" s="66">
        <f>SUMIFS(台帳!$I$2:$I$2000,台帳!$E$2:$E$2000,$A46,台帳!$A$2:$A$2000,"&gt;="&amp;I$4,台帳!$A$2:$A$2000,"&lt;"&amp;(I$4+7))</f>
        <v>0</v>
      </c>
      <c r="J46" s="66">
        <f>SUMIFS(台帳!$I$2:$I$2000,台帳!$E$2:$E$2000,$A46,台帳!$A$2:$A$2000,"&gt;="&amp;J$4,台帳!$A$2:$A$2000,"&lt;"&amp;(J$4+7))</f>
        <v>0</v>
      </c>
      <c r="K46" s="66">
        <f>SUMIFS(台帳!$I$2:$I$2000,台帳!$E$2:$E$2000,$A46,台帳!$A$2:$A$2000,"&gt;="&amp;K$4,台帳!$A$2:$A$2000,"&lt;"&amp;(K$4+7))</f>
        <v>0</v>
      </c>
      <c r="L46" s="66">
        <f>SUMIFS(台帳!$I$2:$I$2000,台帳!$E$2:$E$2000,$A46,台帳!$A$2:$A$2000,"&gt;="&amp;L$4,台帳!$A$2:$A$2000,"&lt;"&amp;(L$4+7))</f>
        <v>0</v>
      </c>
      <c r="M46" s="66">
        <f>SUMIFS(台帳!$I$2:$I$2000,台帳!$E$2:$E$2000,$A46,台帳!$A$2:$A$2000,"&gt;="&amp;M$4,台帳!$A$2:$A$2000,"&lt;"&amp;(M$4+7))</f>
        <v>0</v>
      </c>
      <c r="N46" s="66">
        <f>SUMIFS(台帳!$I$2:$I$2000,台帳!$E$2:$E$2000,$A46,台帳!$A$2:$A$2000,"&gt;="&amp;N$4,台帳!$A$2:$A$2000,"&lt;"&amp;(N$4+7))</f>
        <v>0</v>
      </c>
      <c r="O46" s="66">
        <f>SUMIFS(台帳!$I$2:$I$2000,台帳!$E$2:$E$2000,$A46,台帳!$A$2:$A$2000,"&gt;="&amp;O$4,台帳!$A$2:$A$2000,"&lt;"&amp;(O$4+7))</f>
        <v>0</v>
      </c>
      <c r="P46" s="66">
        <f>SUMIFS(台帳!$I$2:$I$2000,台帳!$E$2:$E$2000,$A46,台帳!$A$2:$A$2000,"&gt;="&amp;P$4,台帳!$A$2:$A$2000,"&lt;"&amp;(P$4+7))</f>
        <v>0</v>
      </c>
      <c r="Q46" s="66">
        <f>SUMIFS(台帳!$I$2:$I$2000,台帳!$E$2:$E$2000,$A46,台帳!$A$2:$A$2000,"&gt;="&amp;Q$4,台帳!$A$2:$A$2000,"&lt;"&amp;(Q$4+7))</f>
        <v>0</v>
      </c>
      <c r="R46" s="66">
        <f>SUMIFS(台帳!$I$2:$I$2000,台帳!$E$2:$E$2000,$A46,台帳!$A$2:$A$2000,"&gt;="&amp;R$4,台帳!$A$2:$A$2000,"&lt;"&amp;(R$4+7))</f>
        <v>2</v>
      </c>
      <c r="S46" s="66">
        <f>SUMIFS(台帳!$I$2:$I$2000,台帳!$E$2:$E$2000,$A46,台帳!$A$2:$A$2000,"&gt;="&amp;S$4,台帳!$A$2:$A$2000,"&lt;"&amp;(S$4+7))</f>
        <v>0</v>
      </c>
      <c r="T46" s="66">
        <f>SUMIFS(台帳!$I$2:$I$2000,台帳!$E$2:$E$2000,$A46,台帳!$A$2:$A$2000,"&gt;="&amp;T$4,台帳!$A$2:$A$2000,"&lt;"&amp;(T$4+7))</f>
        <v>1</v>
      </c>
      <c r="U46" s="66">
        <f>SUMIFS(台帳!$I$2:$I$2000,台帳!$E$2:$E$2000,$A46,台帳!$A$2:$A$2000,"&gt;="&amp;U$4,台帳!$A$2:$A$2000,"&lt;"&amp;(U$4+7))</f>
        <v>5</v>
      </c>
      <c r="V46" s="66">
        <f>SUMIFS(台帳!$I$2:$I$2000,台帳!$E$2:$E$2000,$A46,台帳!$A$2:$A$2000,"&gt;="&amp;V$4,台帳!$A$2:$A$2000,"&lt;"&amp;(V$4+7))</f>
        <v>0</v>
      </c>
      <c r="W46" s="60">
        <f>SUM(C46:V46)</f>
        <v>8</v>
      </c>
    </row>
    <row r="47" spans="1:23" ht="17.25" x14ac:dyDescent="0.35">
      <c r="A47" s="62" t="s">
        <v>392</v>
      </c>
      <c r="B47" s="45" t="s">
        <v>212</v>
      </c>
      <c r="C47" s="46">
        <f>SUMIFS(台帳!$I$2:$I$2000,台帳!$F$2:$F$2000,$B47,台帳!$A$2:$A$2000,"&gt;="&amp;C$4,台帳!$A$2:$A$2000,"&lt;"&amp;(C$4+7))</f>
        <v>0</v>
      </c>
      <c r="D47" s="46">
        <f>SUMIFS(台帳!$I$2:$I$2000,台帳!$F$2:$F$2000,$B47,台帳!$A$2:$A$2000,"&gt;="&amp;D$4,台帳!$A$2:$A$2000,"&lt;"&amp;(D$4+7))</f>
        <v>0</v>
      </c>
      <c r="E47" s="46">
        <f>SUMIFS(台帳!$I$2:$I$2000,台帳!$F$2:$F$2000,$B47,台帳!$A$2:$A$2000,"&gt;="&amp;E$4,台帳!$A$2:$A$2000,"&lt;"&amp;(E$4+7))</f>
        <v>0</v>
      </c>
      <c r="F47" s="46">
        <f>SUMIFS(台帳!$I$2:$I$2000,台帳!$F$2:$F$2000,$B47,台帳!$A$2:$A$2000,"&gt;="&amp;F$4,台帳!$A$2:$A$2000,"&lt;"&amp;(F$4+7))</f>
        <v>0</v>
      </c>
      <c r="G47" s="46">
        <f>SUMIFS(台帳!$I$2:$I$2000,台帳!$F$2:$F$2000,$B47,台帳!$A$2:$A$2000,"&gt;="&amp;G$4,台帳!$A$2:$A$2000,"&lt;"&amp;(G$4+7))</f>
        <v>0</v>
      </c>
      <c r="H47" s="46">
        <f>SUMIFS(台帳!$I$2:$I$2000,台帳!$F$2:$F$2000,$B47,台帳!$A$2:$A$2000,"&gt;="&amp;H$4,台帳!$A$2:$A$2000,"&lt;"&amp;(H$4+7))</f>
        <v>0</v>
      </c>
      <c r="I47" s="46">
        <f>SUMIFS(台帳!$I$2:$I$2000,台帳!$F$2:$F$2000,$B47,台帳!$A$2:$A$2000,"&gt;="&amp;I$4,台帳!$A$2:$A$2000,"&lt;"&amp;(I$4+7))</f>
        <v>0</v>
      </c>
      <c r="J47" s="46">
        <f>SUMIFS(台帳!$I$2:$I$2000,台帳!$F$2:$F$2000,$B47,台帳!$A$2:$A$2000,"&gt;="&amp;J$4,台帳!$A$2:$A$2000,"&lt;"&amp;(J$4+7))</f>
        <v>0</v>
      </c>
      <c r="K47" s="46">
        <f>SUMIFS(台帳!$I$2:$I$2000,台帳!$F$2:$F$2000,$B47,台帳!$A$2:$A$2000,"&gt;="&amp;K$4,台帳!$A$2:$A$2000,"&lt;"&amp;(K$4+7))</f>
        <v>0</v>
      </c>
      <c r="L47" s="46">
        <f>SUMIFS(台帳!$I$2:$I$2000,台帳!$F$2:$F$2000,$B47,台帳!$A$2:$A$2000,"&gt;="&amp;L$4,台帳!$A$2:$A$2000,"&lt;"&amp;(L$4+7))</f>
        <v>0</v>
      </c>
      <c r="M47" s="46">
        <f>SUMIFS(台帳!$I$2:$I$2000,台帳!$F$2:$F$2000,$B47,台帳!$A$2:$A$2000,"&gt;="&amp;M$4,台帳!$A$2:$A$2000,"&lt;"&amp;(M$4+7))</f>
        <v>0</v>
      </c>
      <c r="N47" s="46">
        <f>SUMIFS(台帳!$I$2:$I$2000,台帳!$F$2:$F$2000,$B47,台帳!$A$2:$A$2000,"&gt;="&amp;N$4,台帳!$A$2:$A$2000,"&lt;"&amp;(N$4+7))</f>
        <v>0</v>
      </c>
      <c r="O47" s="46">
        <f>SUMIFS(台帳!$I$2:$I$2000,台帳!$F$2:$F$2000,$B47,台帳!$A$2:$A$2000,"&gt;="&amp;O$4,台帳!$A$2:$A$2000,"&lt;"&amp;(O$4+7))</f>
        <v>0</v>
      </c>
      <c r="P47" s="46">
        <f>SUMIFS(台帳!$I$2:$I$2000,台帳!$F$2:$F$2000,$B47,台帳!$A$2:$A$2000,"&gt;="&amp;P$4,台帳!$A$2:$A$2000,"&lt;"&amp;(P$4+7))</f>
        <v>0</v>
      </c>
      <c r="Q47" s="46">
        <f>SUMIFS(台帳!$I$2:$I$2000,台帳!$F$2:$F$2000,$B47,台帳!$A$2:$A$2000,"&gt;="&amp;Q$4,台帳!$A$2:$A$2000,"&lt;"&amp;(Q$4+7))</f>
        <v>0</v>
      </c>
      <c r="R47" s="46">
        <f>SUMIFS(台帳!$I$2:$I$2000,台帳!$F$2:$F$2000,$B47,台帳!$A$2:$A$2000,"&gt;="&amp;R$4,台帳!$A$2:$A$2000,"&lt;"&amp;(R$4+7))</f>
        <v>0</v>
      </c>
      <c r="S47" s="46">
        <f>SUMIFS(台帳!$I$2:$I$2000,台帳!$F$2:$F$2000,$B47,台帳!$A$2:$A$2000,"&gt;="&amp;S$4,台帳!$A$2:$A$2000,"&lt;"&amp;(S$4+7))</f>
        <v>0</v>
      </c>
      <c r="T47" s="46">
        <f>SUMIFS(台帳!$I$2:$I$2000,台帳!$F$2:$F$2000,$B47,台帳!$A$2:$A$2000,"&gt;="&amp;T$4,台帳!$A$2:$A$2000,"&lt;"&amp;(T$4+7))</f>
        <v>0</v>
      </c>
      <c r="U47" s="46">
        <f>SUMIFS(台帳!$I$2:$I$2000,台帳!$F$2:$F$2000,$B47,台帳!$A$2:$A$2000,"&gt;="&amp;U$4,台帳!$A$2:$A$2000,"&lt;"&amp;(U$4+7))</f>
        <v>3</v>
      </c>
      <c r="V47" s="46">
        <f>SUMIFS(台帳!$I$2:$I$2000,台帳!$F$2:$F$2000,$B47,台帳!$A$2:$A$2000,"&gt;="&amp;V$4,台帳!$A$2:$A$2000,"&lt;"&amp;(V$4+7))</f>
        <v>0</v>
      </c>
      <c r="W47" s="45">
        <f>SUM(C47:V47)</f>
        <v>3</v>
      </c>
    </row>
    <row r="48" spans="1:23" ht="17.25" x14ac:dyDescent="0.35">
      <c r="A48" s="62" t="s">
        <v>392</v>
      </c>
      <c r="B48" s="45" t="s">
        <v>271</v>
      </c>
      <c r="C48" s="46">
        <f>SUMIFS(台帳!$I$2:$I$2000,台帳!$F$2:$F$2000,$B48,台帳!$A$2:$A$2000,"&gt;="&amp;C$4,台帳!$A$2:$A$2000,"&lt;"&amp;(C$4+7))</f>
        <v>0</v>
      </c>
      <c r="D48" s="46">
        <f>SUMIFS(台帳!$I$2:$I$2000,台帳!$F$2:$F$2000,$B48,台帳!$A$2:$A$2000,"&gt;="&amp;D$4,台帳!$A$2:$A$2000,"&lt;"&amp;(D$4+7))</f>
        <v>0</v>
      </c>
      <c r="E48" s="46">
        <f>SUMIFS(台帳!$I$2:$I$2000,台帳!$F$2:$F$2000,$B48,台帳!$A$2:$A$2000,"&gt;="&amp;E$4,台帳!$A$2:$A$2000,"&lt;"&amp;(E$4+7))</f>
        <v>0</v>
      </c>
      <c r="F48" s="46">
        <f>SUMIFS(台帳!$I$2:$I$2000,台帳!$F$2:$F$2000,$B48,台帳!$A$2:$A$2000,"&gt;="&amp;F$4,台帳!$A$2:$A$2000,"&lt;"&amp;(F$4+7))</f>
        <v>0</v>
      </c>
      <c r="G48" s="46">
        <f>SUMIFS(台帳!$I$2:$I$2000,台帳!$F$2:$F$2000,$B48,台帳!$A$2:$A$2000,"&gt;="&amp;G$4,台帳!$A$2:$A$2000,"&lt;"&amp;(G$4+7))</f>
        <v>0</v>
      </c>
      <c r="H48" s="46">
        <f>SUMIFS(台帳!$I$2:$I$2000,台帳!$F$2:$F$2000,$B48,台帳!$A$2:$A$2000,"&gt;="&amp;H$4,台帳!$A$2:$A$2000,"&lt;"&amp;(H$4+7))</f>
        <v>0</v>
      </c>
      <c r="I48" s="46">
        <f>SUMIFS(台帳!$I$2:$I$2000,台帳!$F$2:$F$2000,$B48,台帳!$A$2:$A$2000,"&gt;="&amp;I$4,台帳!$A$2:$A$2000,"&lt;"&amp;(I$4+7))</f>
        <v>0</v>
      </c>
      <c r="J48" s="46">
        <f>SUMIFS(台帳!$I$2:$I$2000,台帳!$F$2:$F$2000,$B48,台帳!$A$2:$A$2000,"&gt;="&amp;J$4,台帳!$A$2:$A$2000,"&lt;"&amp;(J$4+7))</f>
        <v>0</v>
      </c>
      <c r="K48" s="46">
        <f>SUMIFS(台帳!$I$2:$I$2000,台帳!$F$2:$F$2000,$B48,台帳!$A$2:$A$2000,"&gt;="&amp;K$4,台帳!$A$2:$A$2000,"&lt;"&amp;(K$4+7))</f>
        <v>0</v>
      </c>
      <c r="L48" s="46">
        <f>SUMIFS(台帳!$I$2:$I$2000,台帳!$F$2:$F$2000,$B48,台帳!$A$2:$A$2000,"&gt;="&amp;L$4,台帳!$A$2:$A$2000,"&lt;"&amp;(L$4+7))</f>
        <v>0</v>
      </c>
      <c r="M48" s="46">
        <f>SUMIFS(台帳!$I$2:$I$2000,台帳!$F$2:$F$2000,$B48,台帳!$A$2:$A$2000,"&gt;="&amp;M$4,台帳!$A$2:$A$2000,"&lt;"&amp;(M$4+7))</f>
        <v>0</v>
      </c>
      <c r="N48" s="46">
        <f>SUMIFS(台帳!$I$2:$I$2000,台帳!$F$2:$F$2000,$B48,台帳!$A$2:$A$2000,"&gt;="&amp;N$4,台帳!$A$2:$A$2000,"&lt;"&amp;(N$4+7))</f>
        <v>0</v>
      </c>
      <c r="O48" s="46">
        <f>SUMIFS(台帳!$I$2:$I$2000,台帳!$F$2:$F$2000,$B48,台帳!$A$2:$A$2000,"&gt;="&amp;O$4,台帳!$A$2:$A$2000,"&lt;"&amp;(O$4+7))</f>
        <v>0</v>
      </c>
      <c r="P48" s="46">
        <f>SUMIFS(台帳!$I$2:$I$2000,台帳!$F$2:$F$2000,$B48,台帳!$A$2:$A$2000,"&gt;="&amp;P$4,台帳!$A$2:$A$2000,"&lt;"&amp;(P$4+7))</f>
        <v>0</v>
      </c>
      <c r="Q48" s="46">
        <f>SUMIFS(台帳!$I$2:$I$2000,台帳!$F$2:$F$2000,$B48,台帳!$A$2:$A$2000,"&gt;="&amp;Q$4,台帳!$A$2:$A$2000,"&lt;"&amp;(Q$4+7))</f>
        <v>0</v>
      </c>
      <c r="R48" s="46">
        <f>SUMIFS(台帳!$I$2:$I$2000,台帳!$F$2:$F$2000,$B48,台帳!$A$2:$A$2000,"&gt;="&amp;R$4,台帳!$A$2:$A$2000,"&lt;"&amp;(R$4+7))</f>
        <v>2</v>
      </c>
      <c r="S48" s="46">
        <f>SUMIFS(台帳!$I$2:$I$2000,台帳!$F$2:$F$2000,$B48,台帳!$A$2:$A$2000,"&gt;="&amp;S$4,台帳!$A$2:$A$2000,"&lt;"&amp;(S$4+7))</f>
        <v>0</v>
      </c>
      <c r="T48" s="46">
        <f>SUMIFS(台帳!$I$2:$I$2000,台帳!$F$2:$F$2000,$B48,台帳!$A$2:$A$2000,"&gt;="&amp;T$4,台帳!$A$2:$A$2000,"&lt;"&amp;(T$4+7))</f>
        <v>0</v>
      </c>
      <c r="U48" s="46">
        <f>SUMIFS(台帳!$I$2:$I$2000,台帳!$F$2:$F$2000,$B48,台帳!$A$2:$A$2000,"&gt;="&amp;U$4,台帳!$A$2:$A$2000,"&lt;"&amp;(U$4+7))</f>
        <v>0</v>
      </c>
      <c r="V48" s="46">
        <f>SUMIFS(台帳!$I$2:$I$2000,台帳!$F$2:$F$2000,$B48,台帳!$A$2:$A$2000,"&gt;="&amp;V$4,台帳!$A$2:$A$2000,"&lt;"&amp;(V$4+7))</f>
        <v>0</v>
      </c>
      <c r="W48" s="45">
        <f>SUM(C48:V48)</f>
        <v>2</v>
      </c>
    </row>
    <row r="49" spans="1:23" ht="17.25" x14ac:dyDescent="0.35">
      <c r="A49" s="62" t="s">
        <v>392</v>
      </c>
      <c r="B49" s="45" t="s">
        <v>348</v>
      </c>
      <c r="C49" s="46">
        <f>SUMIFS(台帳!$I$2:$I$2000,台帳!$F$2:$F$2000,$B49,台帳!$A$2:$A$2000,"&gt;="&amp;C$4,台帳!$A$2:$A$2000,"&lt;"&amp;(C$4+7))</f>
        <v>0</v>
      </c>
      <c r="D49" s="46">
        <f>SUMIFS(台帳!$I$2:$I$2000,台帳!$F$2:$F$2000,$B49,台帳!$A$2:$A$2000,"&gt;="&amp;D$4,台帳!$A$2:$A$2000,"&lt;"&amp;(D$4+7))</f>
        <v>0</v>
      </c>
      <c r="E49" s="46">
        <f>SUMIFS(台帳!$I$2:$I$2000,台帳!$F$2:$F$2000,$B49,台帳!$A$2:$A$2000,"&gt;="&amp;E$4,台帳!$A$2:$A$2000,"&lt;"&amp;(E$4+7))</f>
        <v>0</v>
      </c>
      <c r="F49" s="46">
        <f>SUMIFS(台帳!$I$2:$I$2000,台帳!$F$2:$F$2000,$B49,台帳!$A$2:$A$2000,"&gt;="&amp;F$4,台帳!$A$2:$A$2000,"&lt;"&amp;(F$4+7))</f>
        <v>0</v>
      </c>
      <c r="G49" s="46">
        <f>SUMIFS(台帳!$I$2:$I$2000,台帳!$F$2:$F$2000,$B49,台帳!$A$2:$A$2000,"&gt;="&amp;G$4,台帳!$A$2:$A$2000,"&lt;"&amp;(G$4+7))</f>
        <v>0</v>
      </c>
      <c r="H49" s="46">
        <f>SUMIFS(台帳!$I$2:$I$2000,台帳!$F$2:$F$2000,$B49,台帳!$A$2:$A$2000,"&gt;="&amp;H$4,台帳!$A$2:$A$2000,"&lt;"&amp;(H$4+7))</f>
        <v>0</v>
      </c>
      <c r="I49" s="46">
        <f>SUMIFS(台帳!$I$2:$I$2000,台帳!$F$2:$F$2000,$B49,台帳!$A$2:$A$2000,"&gt;="&amp;I$4,台帳!$A$2:$A$2000,"&lt;"&amp;(I$4+7))</f>
        <v>0</v>
      </c>
      <c r="J49" s="46">
        <f>SUMIFS(台帳!$I$2:$I$2000,台帳!$F$2:$F$2000,$B49,台帳!$A$2:$A$2000,"&gt;="&amp;J$4,台帳!$A$2:$A$2000,"&lt;"&amp;(J$4+7))</f>
        <v>0</v>
      </c>
      <c r="K49" s="46">
        <f>SUMIFS(台帳!$I$2:$I$2000,台帳!$F$2:$F$2000,$B49,台帳!$A$2:$A$2000,"&gt;="&amp;K$4,台帳!$A$2:$A$2000,"&lt;"&amp;(K$4+7))</f>
        <v>0</v>
      </c>
      <c r="L49" s="46">
        <f>SUMIFS(台帳!$I$2:$I$2000,台帳!$F$2:$F$2000,$B49,台帳!$A$2:$A$2000,"&gt;="&amp;L$4,台帳!$A$2:$A$2000,"&lt;"&amp;(L$4+7))</f>
        <v>0</v>
      </c>
      <c r="M49" s="46">
        <f>SUMIFS(台帳!$I$2:$I$2000,台帳!$F$2:$F$2000,$B49,台帳!$A$2:$A$2000,"&gt;="&amp;M$4,台帳!$A$2:$A$2000,"&lt;"&amp;(M$4+7))</f>
        <v>0</v>
      </c>
      <c r="N49" s="46">
        <f>SUMIFS(台帳!$I$2:$I$2000,台帳!$F$2:$F$2000,$B49,台帳!$A$2:$A$2000,"&gt;="&amp;N$4,台帳!$A$2:$A$2000,"&lt;"&amp;(N$4+7))</f>
        <v>0</v>
      </c>
      <c r="O49" s="46">
        <f>SUMIFS(台帳!$I$2:$I$2000,台帳!$F$2:$F$2000,$B49,台帳!$A$2:$A$2000,"&gt;="&amp;O$4,台帳!$A$2:$A$2000,"&lt;"&amp;(O$4+7))</f>
        <v>0</v>
      </c>
      <c r="P49" s="46">
        <f>SUMIFS(台帳!$I$2:$I$2000,台帳!$F$2:$F$2000,$B49,台帳!$A$2:$A$2000,"&gt;="&amp;P$4,台帳!$A$2:$A$2000,"&lt;"&amp;(P$4+7))</f>
        <v>0</v>
      </c>
      <c r="Q49" s="46">
        <f>SUMIFS(台帳!$I$2:$I$2000,台帳!$F$2:$F$2000,$B49,台帳!$A$2:$A$2000,"&gt;="&amp;Q$4,台帳!$A$2:$A$2000,"&lt;"&amp;(Q$4+7))</f>
        <v>0</v>
      </c>
      <c r="R49" s="46">
        <f>SUMIFS(台帳!$I$2:$I$2000,台帳!$F$2:$F$2000,$B49,台帳!$A$2:$A$2000,"&gt;="&amp;R$4,台帳!$A$2:$A$2000,"&lt;"&amp;(R$4+7))</f>
        <v>0</v>
      </c>
      <c r="S49" s="46">
        <f>SUMIFS(台帳!$I$2:$I$2000,台帳!$F$2:$F$2000,$B49,台帳!$A$2:$A$2000,"&gt;="&amp;S$4,台帳!$A$2:$A$2000,"&lt;"&amp;(S$4+7))</f>
        <v>0</v>
      </c>
      <c r="T49" s="46">
        <f>SUMIFS(台帳!$I$2:$I$2000,台帳!$F$2:$F$2000,$B49,台帳!$A$2:$A$2000,"&gt;="&amp;T$4,台帳!$A$2:$A$2000,"&lt;"&amp;(T$4+7))</f>
        <v>0</v>
      </c>
      <c r="U49" s="46">
        <f>SUMIFS(台帳!$I$2:$I$2000,台帳!$F$2:$F$2000,$B49,台帳!$A$2:$A$2000,"&gt;="&amp;U$4,台帳!$A$2:$A$2000,"&lt;"&amp;(U$4+7))</f>
        <v>2</v>
      </c>
      <c r="V49" s="46">
        <f>SUMIFS(台帳!$I$2:$I$2000,台帳!$F$2:$F$2000,$B49,台帳!$A$2:$A$2000,"&gt;="&amp;V$4,台帳!$A$2:$A$2000,"&lt;"&amp;(V$4+7))</f>
        <v>0</v>
      </c>
      <c r="W49" s="45">
        <f>SUM(C49:V49)</f>
        <v>2</v>
      </c>
    </row>
    <row r="50" spans="1:23" ht="17.25" x14ac:dyDescent="0.35">
      <c r="A50" s="62" t="s">
        <v>392</v>
      </c>
      <c r="B50" s="45" t="s">
        <v>328</v>
      </c>
      <c r="C50" s="46">
        <f>SUMIFS(台帳!$I$2:$I$2000,台帳!$F$2:$F$2000,$B50,台帳!$A$2:$A$2000,"&gt;="&amp;C$4,台帳!$A$2:$A$2000,"&lt;"&amp;(C$4+7))</f>
        <v>0</v>
      </c>
      <c r="D50" s="46">
        <f>SUMIFS(台帳!$I$2:$I$2000,台帳!$F$2:$F$2000,$B50,台帳!$A$2:$A$2000,"&gt;="&amp;D$4,台帳!$A$2:$A$2000,"&lt;"&amp;(D$4+7))</f>
        <v>0</v>
      </c>
      <c r="E50" s="46">
        <f>SUMIFS(台帳!$I$2:$I$2000,台帳!$F$2:$F$2000,$B50,台帳!$A$2:$A$2000,"&gt;="&amp;E$4,台帳!$A$2:$A$2000,"&lt;"&amp;(E$4+7))</f>
        <v>0</v>
      </c>
      <c r="F50" s="46">
        <f>SUMIFS(台帳!$I$2:$I$2000,台帳!$F$2:$F$2000,$B50,台帳!$A$2:$A$2000,"&gt;="&amp;F$4,台帳!$A$2:$A$2000,"&lt;"&amp;(F$4+7))</f>
        <v>0</v>
      </c>
      <c r="G50" s="46">
        <f>SUMIFS(台帳!$I$2:$I$2000,台帳!$F$2:$F$2000,$B50,台帳!$A$2:$A$2000,"&gt;="&amp;G$4,台帳!$A$2:$A$2000,"&lt;"&amp;(G$4+7))</f>
        <v>0</v>
      </c>
      <c r="H50" s="46">
        <f>SUMIFS(台帳!$I$2:$I$2000,台帳!$F$2:$F$2000,$B50,台帳!$A$2:$A$2000,"&gt;="&amp;H$4,台帳!$A$2:$A$2000,"&lt;"&amp;(H$4+7))</f>
        <v>0</v>
      </c>
      <c r="I50" s="46">
        <f>SUMIFS(台帳!$I$2:$I$2000,台帳!$F$2:$F$2000,$B50,台帳!$A$2:$A$2000,"&gt;="&amp;I$4,台帳!$A$2:$A$2000,"&lt;"&amp;(I$4+7))</f>
        <v>0</v>
      </c>
      <c r="J50" s="46">
        <f>SUMIFS(台帳!$I$2:$I$2000,台帳!$F$2:$F$2000,$B50,台帳!$A$2:$A$2000,"&gt;="&amp;J$4,台帳!$A$2:$A$2000,"&lt;"&amp;(J$4+7))</f>
        <v>0</v>
      </c>
      <c r="K50" s="46">
        <f>SUMIFS(台帳!$I$2:$I$2000,台帳!$F$2:$F$2000,$B50,台帳!$A$2:$A$2000,"&gt;="&amp;K$4,台帳!$A$2:$A$2000,"&lt;"&amp;(K$4+7))</f>
        <v>0</v>
      </c>
      <c r="L50" s="46">
        <f>SUMIFS(台帳!$I$2:$I$2000,台帳!$F$2:$F$2000,$B50,台帳!$A$2:$A$2000,"&gt;="&amp;L$4,台帳!$A$2:$A$2000,"&lt;"&amp;(L$4+7))</f>
        <v>0</v>
      </c>
      <c r="M50" s="46">
        <f>SUMIFS(台帳!$I$2:$I$2000,台帳!$F$2:$F$2000,$B50,台帳!$A$2:$A$2000,"&gt;="&amp;M$4,台帳!$A$2:$A$2000,"&lt;"&amp;(M$4+7))</f>
        <v>0</v>
      </c>
      <c r="N50" s="46">
        <f>SUMIFS(台帳!$I$2:$I$2000,台帳!$F$2:$F$2000,$B50,台帳!$A$2:$A$2000,"&gt;="&amp;N$4,台帳!$A$2:$A$2000,"&lt;"&amp;(N$4+7))</f>
        <v>0</v>
      </c>
      <c r="O50" s="46">
        <f>SUMIFS(台帳!$I$2:$I$2000,台帳!$F$2:$F$2000,$B50,台帳!$A$2:$A$2000,"&gt;="&amp;O$4,台帳!$A$2:$A$2000,"&lt;"&amp;(O$4+7))</f>
        <v>0</v>
      </c>
      <c r="P50" s="46">
        <f>SUMIFS(台帳!$I$2:$I$2000,台帳!$F$2:$F$2000,$B50,台帳!$A$2:$A$2000,"&gt;="&amp;P$4,台帳!$A$2:$A$2000,"&lt;"&amp;(P$4+7))</f>
        <v>0</v>
      </c>
      <c r="Q50" s="46">
        <f>SUMIFS(台帳!$I$2:$I$2000,台帳!$F$2:$F$2000,$B50,台帳!$A$2:$A$2000,"&gt;="&amp;Q$4,台帳!$A$2:$A$2000,"&lt;"&amp;(Q$4+7))</f>
        <v>0</v>
      </c>
      <c r="R50" s="46">
        <f>SUMIFS(台帳!$I$2:$I$2000,台帳!$F$2:$F$2000,$B50,台帳!$A$2:$A$2000,"&gt;="&amp;R$4,台帳!$A$2:$A$2000,"&lt;"&amp;(R$4+7))</f>
        <v>0</v>
      </c>
      <c r="S50" s="46">
        <f>SUMIFS(台帳!$I$2:$I$2000,台帳!$F$2:$F$2000,$B50,台帳!$A$2:$A$2000,"&gt;="&amp;S$4,台帳!$A$2:$A$2000,"&lt;"&amp;(S$4+7))</f>
        <v>0</v>
      </c>
      <c r="T50" s="46">
        <f>SUMIFS(台帳!$I$2:$I$2000,台帳!$F$2:$F$2000,$B50,台帳!$A$2:$A$2000,"&gt;="&amp;T$4,台帳!$A$2:$A$2000,"&lt;"&amp;(T$4+7))</f>
        <v>1</v>
      </c>
      <c r="U50" s="46">
        <f>SUMIFS(台帳!$I$2:$I$2000,台帳!$F$2:$F$2000,$B50,台帳!$A$2:$A$2000,"&gt;="&amp;U$4,台帳!$A$2:$A$2000,"&lt;"&amp;(U$4+7))</f>
        <v>0</v>
      </c>
      <c r="V50" s="46">
        <f>SUMIFS(台帳!$I$2:$I$2000,台帳!$F$2:$F$2000,$B50,台帳!$A$2:$A$2000,"&gt;="&amp;V$4,台帳!$A$2:$A$2000,"&lt;"&amp;(V$4+7))</f>
        <v>0</v>
      </c>
      <c r="W50" s="45">
        <f>SUM(C50:V50)</f>
        <v>1</v>
      </c>
    </row>
    <row r="51" spans="1:23" ht="17.25" x14ac:dyDescent="0.35">
      <c r="A51" s="65" t="s">
        <v>394</v>
      </c>
      <c r="B51" s="65" t="s">
        <v>517</v>
      </c>
      <c r="C51" s="66">
        <f>SUMIFS(台帳!$I$2:$I$2000,台帳!$E$2:$E$2000,$A51,台帳!$A$2:$A$2000,"&gt;="&amp;C$4,台帳!$A$2:$A$2000,"&lt;"&amp;(C$4+7))</f>
        <v>0</v>
      </c>
      <c r="D51" s="66">
        <f>SUMIFS(台帳!$I$2:$I$2000,台帳!$E$2:$E$2000,$A51,台帳!$A$2:$A$2000,"&gt;="&amp;D$4,台帳!$A$2:$A$2000,"&lt;"&amp;(D$4+7))</f>
        <v>0</v>
      </c>
      <c r="E51" s="66">
        <f>SUMIFS(台帳!$I$2:$I$2000,台帳!$E$2:$E$2000,$A51,台帳!$A$2:$A$2000,"&gt;="&amp;E$4,台帳!$A$2:$A$2000,"&lt;"&amp;(E$4+7))</f>
        <v>0</v>
      </c>
      <c r="F51" s="66">
        <f>SUMIFS(台帳!$I$2:$I$2000,台帳!$E$2:$E$2000,$A51,台帳!$A$2:$A$2000,"&gt;="&amp;F$4,台帳!$A$2:$A$2000,"&lt;"&amp;(F$4+7))</f>
        <v>0</v>
      </c>
      <c r="G51" s="66">
        <f>SUMIFS(台帳!$I$2:$I$2000,台帳!$E$2:$E$2000,$A51,台帳!$A$2:$A$2000,"&gt;="&amp;G$4,台帳!$A$2:$A$2000,"&lt;"&amp;(G$4+7))</f>
        <v>0</v>
      </c>
      <c r="H51" s="66">
        <f>SUMIFS(台帳!$I$2:$I$2000,台帳!$E$2:$E$2000,$A51,台帳!$A$2:$A$2000,"&gt;="&amp;H$4,台帳!$A$2:$A$2000,"&lt;"&amp;(H$4+7))</f>
        <v>0</v>
      </c>
      <c r="I51" s="66">
        <f>SUMIFS(台帳!$I$2:$I$2000,台帳!$E$2:$E$2000,$A51,台帳!$A$2:$A$2000,"&gt;="&amp;I$4,台帳!$A$2:$A$2000,"&lt;"&amp;(I$4+7))</f>
        <v>0</v>
      </c>
      <c r="J51" s="66">
        <f>SUMIFS(台帳!$I$2:$I$2000,台帳!$E$2:$E$2000,$A51,台帳!$A$2:$A$2000,"&gt;="&amp;J$4,台帳!$A$2:$A$2000,"&lt;"&amp;(J$4+7))</f>
        <v>0</v>
      </c>
      <c r="K51" s="66">
        <f>SUMIFS(台帳!$I$2:$I$2000,台帳!$E$2:$E$2000,$A51,台帳!$A$2:$A$2000,"&gt;="&amp;K$4,台帳!$A$2:$A$2000,"&lt;"&amp;(K$4+7))</f>
        <v>0</v>
      </c>
      <c r="L51" s="66">
        <f>SUMIFS(台帳!$I$2:$I$2000,台帳!$E$2:$E$2000,$A51,台帳!$A$2:$A$2000,"&gt;="&amp;L$4,台帳!$A$2:$A$2000,"&lt;"&amp;(L$4+7))</f>
        <v>0</v>
      </c>
      <c r="M51" s="66">
        <f>SUMIFS(台帳!$I$2:$I$2000,台帳!$E$2:$E$2000,$A51,台帳!$A$2:$A$2000,"&gt;="&amp;M$4,台帳!$A$2:$A$2000,"&lt;"&amp;(M$4+7))</f>
        <v>0</v>
      </c>
      <c r="N51" s="66">
        <f>SUMIFS(台帳!$I$2:$I$2000,台帳!$E$2:$E$2000,$A51,台帳!$A$2:$A$2000,"&gt;="&amp;N$4,台帳!$A$2:$A$2000,"&lt;"&amp;(N$4+7))</f>
        <v>0</v>
      </c>
      <c r="O51" s="66">
        <f>SUMIFS(台帳!$I$2:$I$2000,台帳!$E$2:$E$2000,$A51,台帳!$A$2:$A$2000,"&gt;="&amp;O$4,台帳!$A$2:$A$2000,"&lt;"&amp;(O$4+7))</f>
        <v>0</v>
      </c>
      <c r="P51" s="66">
        <f>SUMIFS(台帳!$I$2:$I$2000,台帳!$E$2:$E$2000,$A51,台帳!$A$2:$A$2000,"&gt;="&amp;P$4,台帳!$A$2:$A$2000,"&lt;"&amp;(P$4+7))</f>
        <v>0</v>
      </c>
      <c r="Q51" s="66">
        <f>SUMIFS(台帳!$I$2:$I$2000,台帳!$E$2:$E$2000,$A51,台帳!$A$2:$A$2000,"&gt;="&amp;Q$4,台帳!$A$2:$A$2000,"&lt;"&amp;(Q$4+7))</f>
        <v>0</v>
      </c>
      <c r="R51" s="66">
        <f>SUMIFS(台帳!$I$2:$I$2000,台帳!$E$2:$E$2000,$A51,台帳!$A$2:$A$2000,"&gt;="&amp;R$4,台帳!$A$2:$A$2000,"&lt;"&amp;(R$4+7))</f>
        <v>0</v>
      </c>
      <c r="S51" s="66">
        <f>SUMIFS(台帳!$I$2:$I$2000,台帳!$E$2:$E$2000,$A51,台帳!$A$2:$A$2000,"&gt;="&amp;S$4,台帳!$A$2:$A$2000,"&lt;"&amp;(S$4+7))</f>
        <v>0</v>
      </c>
      <c r="T51" s="66">
        <f>SUMIFS(台帳!$I$2:$I$2000,台帳!$E$2:$E$2000,$A51,台帳!$A$2:$A$2000,"&gt;="&amp;T$4,台帳!$A$2:$A$2000,"&lt;"&amp;(T$4+7))</f>
        <v>4</v>
      </c>
      <c r="U51" s="66">
        <f>SUMIFS(台帳!$I$2:$I$2000,台帳!$E$2:$E$2000,$A51,台帳!$A$2:$A$2000,"&gt;="&amp;U$4,台帳!$A$2:$A$2000,"&lt;"&amp;(U$4+7))</f>
        <v>0</v>
      </c>
      <c r="V51" s="66">
        <f>SUMIFS(台帳!$I$2:$I$2000,台帳!$E$2:$E$2000,$A51,台帳!$A$2:$A$2000,"&gt;="&amp;V$4,台帳!$A$2:$A$2000,"&lt;"&amp;(V$4+7))</f>
        <v>5</v>
      </c>
      <c r="W51" s="60">
        <f>SUM(C51:V51)</f>
        <v>9</v>
      </c>
    </row>
    <row r="52" spans="1:23" ht="17.25" x14ac:dyDescent="0.35">
      <c r="A52" s="62" t="s">
        <v>394</v>
      </c>
      <c r="B52" s="45" t="s">
        <v>356</v>
      </c>
      <c r="C52" s="46">
        <f>SUMIFS(台帳!$I$2:$I$2000,台帳!$F$2:$F$2000,$B52,台帳!$A$2:$A$2000,"&gt;="&amp;C$4,台帳!$A$2:$A$2000,"&lt;"&amp;(C$4+7))</f>
        <v>0</v>
      </c>
      <c r="D52" s="46">
        <f>SUMIFS(台帳!$I$2:$I$2000,台帳!$F$2:$F$2000,$B52,台帳!$A$2:$A$2000,"&gt;="&amp;D$4,台帳!$A$2:$A$2000,"&lt;"&amp;(D$4+7))</f>
        <v>0</v>
      </c>
      <c r="E52" s="46">
        <f>SUMIFS(台帳!$I$2:$I$2000,台帳!$F$2:$F$2000,$B52,台帳!$A$2:$A$2000,"&gt;="&amp;E$4,台帳!$A$2:$A$2000,"&lt;"&amp;(E$4+7))</f>
        <v>0</v>
      </c>
      <c r="F52" s="46">
        <f>SUMIFS(台帳!$I$2:$I$2000,台帳!$F$2:$F$2000,$B52,台帳!$A$2:$A$2000,"&gt;="&amp;F$4,台帳!$A$2:$A$2000,"&lt;"&amp;(F$4+7))</f>
        <v>0</v>
      </c>
      <c r="G52" s="46">
        <f>SUMIFS(台帳!$I$2:$I$2000,台帳!$F$2:$F$2000,$B52,台帳!$A$2:$A$2000,"&gt;="&amp;G$4,台帳!$A$2:$A$2000,"&lt;"&amp;(G$4+7))</f>
        <v>0</v>
      </c>
      <c r="H52" s="46">
        <f>SUMIFS(台帳!$I$2:$I$2000,台帳!$F$2:$F$2000,$B52,台帳!$A$2:$A$2000,"&gt;="&amp;H$4,台帳!$A$2:$A$2000,"&lt;"&amp;(H$4+7))</f>
        <v>0</v>
      </c>
      <c r="I52" s="46">
        <f>SUMIFS(台帳!$I$2:$I$2000,台帳!$F$2:$F$2000,$B52,台帳!$A$2:$A$2000,"&gt;="&amp;I$4,台帳!$A$2:$A$2000,"&lt;"&amp;(I$4+7))</f>
        <v>0</v>
      </c>
      <c r="J52" s="46">
        <f>SUMIFS(台帳!$I$2:$I$2000,台帳!$F$2:$F$2000,$B52,台帳!$A$2:$A$2000,"&gt;="&amp;J$4,台帳!$A$2:$A$2000,"&lt;"&amp;(J$4+7))</f>
        <v>0</v>
      </c>
      <c r="K52" s="46">
        <f>SUMIFS(台帳!$I$2:$I$2000,台帳!$F$2:$F$2000,$B52,台帳!$A$2:$A$2000,"&gt;="&amp;K$4,台帳!$A$2:$A$2000,"&lt;"&amp;(K$4+7))</f>
        <v>0</v>
      </c>
      <c r="L52" s="46">
        <f>SUMIFS(台帳!$I$2:$I$2000,台帳!$F$2:$F$2000,$B52,台帳!$A$2:$A$2000,"&gt;="&amp;L$4,台帳!$A$2:$A$2000,"&lt;"&amp;(L$4+7))</f>
        <v>0</v>
      </c>
      <c r="M52" s="46">
        <f>SUMIFS(台帳!$I$2:$I$2000,台帳!$F$2:$F$2000,$B52,台帳!$A$2:$A$2000,"&gt;="&amp;M$4,台帳!$A$2:$A$2000,"&lt;"&amp;(M$4+7))</f>
        <v>0</v>
      </c>
      <c r="N52" s="46">
        <f>SUMIFS(台帳!$I$2:$I$2000,台帳!$F$2:$F$2000,$B52,台帳!$A$2:$A$2000,"&gt;="&amp;N$4,台帳!$A$2:$A$2000,"&lt;"&amp;(N$4+7))</f>
        <v>0</v>
      </c>
      <c r="O52" s="46">
        <f>SUMIFS(台帳!$I$2:$I$2000,台帳!$F$2:$F$2000,$B52,台帳!$A$2:$A$2000,"&gt;="&amp;O$4,台帳!$A$2:$A$2000,"&lt;"&amp;(O$4+7))</f>
        <v>0</v>
      </c>
      <c r="P52" s="46">
        <f>SUMIFS(台帳!$I$2:$I$2000,台帳!$F$2:$F$2000,$B52,台帳!$A$2:$A$2000,"&gt;="&amp;P$4,台帳!$A$2:$A$2000,"&lt;"&amp;(P$4+7))</f>
        <v>0</v>
      </c>
      <c r="Q52" s="46">
        <f>SUMIFS(台帳!$I$2:$I$2000,台帳!$F$2:$F$2000,$B52,台帳!$A$2:$A$2000,"&gt;="&amp;Q$4,台帳!$A$2:$A$2000,"&lt;"&amp;(Q$4+7))</f>
        <v>0</v>
      </c>
      <c r="R52" s="46">
        <f>SUMIFS(台帳!$I$2:$I$2000,台帳!$F$2:$F$2000,$B52,台帳!$A$2:$A$2000,"&gt;="&amp;R$4,台帳!$A$2:$A$2000,"&lt;"&amp;(R$4+7))</f>
        <v>0</v>
      </c>
      <c r="S52" s="46">
        <f>SUMIFS(台帳!$I$2:$I$2000,台帳!$F$2:$F$2000,$B52,台帳!$A$2:$A$2000,"&gt;="&amp;S$4,台帳!$A$2:$A$2000,"&lt;"&amp;(S$4+7))</f>
        <v>0</v>
      </c>
      <c r="T52" s="46">
        <f>SUMIFS(台帳!$I$2:$I$2000,台帳!$F$2:$F$2000,$B52,台帳!$A$2:$A$2000,"&gt;="&amp;T$4,台帳!$A$2:$A$2000,"&lt;"&amp;(T$4+7))</f>
        <v>0</v>
      </c>
      <c r="U52" s="46">
        <f>SUMIFS(台帳!$I$2:$I$2000,台帳!$F$2:$F$2000,$B52,台帳!$A$2:$A$2000,"&gt;="&amp;U$4,台帳!$A$2:$A$2000,"&lt;"&amp;(U$4+7))</f>
        <v>0</v>
      </c>
      <c r="V52" s="46">
        <f>SUMIFS(台帳!$I$2:$I$2000,台帳!$F$2:$F$2000,$B52,台帳!$A$2:$A$2000,"&gt;="&amp;V$4,台帳!$A$2:$A$2000,"&lt;"&amp;(V$4+7))</f>
        <v>5</v>
      </c>
      <c r="W52" s="45">
        <f>SUM(C52:V52)</f>
        <v>5</v>
      </c>
    </row>
    <row r="53" spans="1:23" ht="17.25" x14ac:dyDescent="0.35">
      <c r="A53" s="62" t="s">
        <v>394</v>
      </c>
      <c r="B53" s="45" t="s">
        <v>310</v>
      </c>
      <c r="C53" s="46">
        <f>SUMIFS(台帳!$I$2:$I$2000,台帳!$F$2:$F$2000,$B53,台帳!$A$2:$A$2000,"&gt;="&amp;C$4,台帳!$A$2:$A$2000,"&lt;"&amp;(C$4+7))</f>
        <v>0</v>
      </c>
      <c r="D53" s="46">
        <f>SUMIFS(台帳!$I$2:$I$2000,台帳!$F$2:$F$2000,$B53,台帳!$A$2:$A$2000,"&gt;="&amp;D$4,台帳!$A$2:$A$2000,"&lt;"&amp;(D$4+7))</f>
        <v>0</v>
      </c>
      <c r="E53" s="46">
        <f>SUMIFS(台帳!$I$2:$I$2000,台帳!$F$2:$F$2000,$B53,台帳!$A$2:$A$2000,"&gt;="&amp;E$4,台帳!$A$2:$A$2000,"&lt;"&amp;(E$4+7))</f>
        <v>0</v>
      </c>
      <c r="F53" s="46">
        <f>SUMIFS(台帳!$I$2:$I$2000,台帳!$F$2:$F$2000,$B53,台帳!$A$2:$A$2000,"&gt;="&amp;F$4,台帳!$A$2:$A$2000,"&lt;"&amp;(F$4+7))</f>
        <v>0</v>
      </c>
      <c r="G53" s="46">
        <f>SUMIFS(台帳!$I$2:$I$2000,台帳!$F$2:$F$2000,$B53,台帳!$A$2:$A$2000,"&gt;="&amp;G$4,台帳!$A$2:$A$2000,"&lt;"&amp;(G$4+7))</f>
        <v>0</v>
      </c>
      <c r="H53" s="46">
        <f>SUMIFS(台帳!$I$2:$I$2000,台帳!$F$2:$F$2000,$B53,台帳!$A$2:$A$2000,"&gt;="&amp;H$4,台帳!$A$2:$A$2000,"&lt;"&amp;(H$4+7))</f>
        <v>0</v>
      </c>
      <c r="I53" s="46">
        <f>SUMIFS(台帳!$I$2:$I$2000,台帳!$F$2:$F$2000,$B53,台帳!$A$2:$A$2000,"&gt;="&amp;I$4,台帳!$A$2:$A$2000,"&lt;"&amp;(I$4+7))</f>
        <v>0</v>
      </c>
      <c r="J53" s="46">
        <f>SUMIFS(台帳!$I$2:$I$2000,台帳!$F$2:$F$2000,$B53,台帳!$A$2:$A$2000,"&gt;="&amp;J$4,台帳!$A$2:$A$2000,"&lt;"&amp;(J$4+7))</f>
        <v>0</v>
      </c>
      <c r="K53" s="46">
        <f>SUMIFS(台帳!$I$2:$I$2000,台帳!$F$2:$F$2000,$B53,台帳!$A$2:$A$2000,"&gt;="&amp;K$4,台帳!$A$2:$A$2000,"&lt;"&amp;(K$4+7))</f>
        <v>0</v>
      </c>
      <c r="L53" s="46">
        <f>SUMIFS(台帳!$I$2:$I$2000,台帳!$F$2:$F$2000,$B53,台帳!$A$2:$A$2000,"&gt;="&amp;L$4,台帳!$A$2:$A$2000,"&lt;"&amp;(L$4+7))</f>
        <v>0</v>
      </c>
      <c r="M53" s="46">
        <f>SUMIFS(台帳!$I$2:$I$2000,台帳!$F$2:$F$2000,$B53,台帳!$A$2:$A$2000,"&gt;="&amp;M$4,台帳!$A$2:$A$2000,"&lt;"&amp;(M$4+7))</f>
        <v>0</v>
      </c>
      <c r="N53" s="46">
        <f>SUMIFS(台帳!$I$2:$I$2000,台帳!$F$2:$F$2000,$B53,台帳!$A$2:$A$2000,"&gt;="&amp;N$4,台帳!$A$2:$A$2000,"&lt;"&amp;(N$4+7))</f>
        <v>0</v>
      </c>
      <c r="O53" s="46">
        <f>SUMIFS(台帳!$I$2:$I$2000,台帳!$F$2:$F$2000,$B53,台帳!$A$2:$A$2000,"&gt;="&amp;O$4,台帳!$A$2:$A$2000,"&lt;"&amp;(O$4+7))</f>
        <v>0</v>
      </c>
      <c r="P53" s="46">
        <f>SUMIFS(台帳!$I$2:$I$2000,台帳!$F$2:$F$2000,$B53,台帳!$A$2:$A$2000,"&gt;="&amp;P$4,台帳!$A$2:$A$2000,"&lt;"&amp;(P$4+7))</f>
        <v>0</v>
      </c>
      <c r="Q53" s="46">
        <f>SUMIFS(台帳!$I$2:$I$2000,台帳!$F$2:$F$2000,$B53,台帳!$A$2:$A$2000,"&gt;="&amp;Q$4,台帳!$A$2:$A$2000,"&lt;"&amp;(Q$4+7))</f>
        <v>0</v>
      </c>
      <c r="R53" s="46">
        <f>SUMIFS(台帳!$I$2:$I$2000,台帳!$F$2:$F$2000,$B53,台帳!$A$2:$A$2000,"&gt;="&amp;R$4,台帳!$A$2:$A$2000,"&lt;"&amp;(R$4+7))</f>
        <v>0</v>
      </c>
      <c r="S53" s="46">
        <f>SUMIFS(台帳!$I$2:$I$2000,台帳!$F$2:$F$2000,$B53,台帳!$A$2:$A$2000,"&gt;="&amp;S$4,台帳!$A$2:$A$2000,"&lt;"&amp;(S$4+7))</f>
        <v>0</v>
      </c>
      <c r="T53" s="46">
        <f>SUMIFS(台帳!$I$2:$I$2000,台帳!$F$2:$F$2000,$B53,台帳!$A$2:$A$2000,"&gt;="&amp;T$4,台帳!$A$2:$A$2000,"&lt;"&amp;(T$4+7))</f>
        <v>4</v>
      </c>
      <c r="U53" s="46">
        <f>SUMIFS(台帳!$I$2:$I$2000,台帳!$F$2:$F$2000,$B53,台帳!$A$2:$A$2000,"&gt;="&amp;U$4,台帳!$A$2:$A$2000,"&lt;"&amp;(U$4+7))</f>
        <v>0</v>
      </c>
      <c r="V53" s="46">
        <f>SUMIFS(台帳!$I$2:$I$2000,台帳!$F$2:$F$2000,$B53,台帳!$A$2:$A$2000,"&gt;="&amp;V$4,台帳!$A$2:$A$2000,"&lt;"&amp;(V$4+7))</f>
        <v>0</v>
      </c>
      <c r="W53" s="45">
        <f>SUM(C53:V53)</f>
        <v>4</v>
      </c>
    </row>
    <row r="54" spans="1:23" ht="17.25" x14ac:dyDescent="0.35">
      <c r="A54" s="65" t="s">
        <v>396</v>
      </c>
      <c r="B54" s="65" t="s">
        <v>517</v>
      </c>
      <c r="C54" s="66">
        <f>SUMIFS(台帳!$I$2:$I$2000,台帳!$E$2:$E$2000,$A54,台帳!$A$2:$A$2000,"&gt;="&amp;C$4,台帳!$A$2:$A$2000,"&lt;"&amp;(C$4+7))</f>
        <v>0</v>
      </c>
      <c r="D54" s="66">
        <f>SUMIFS(台帳!$I$2:$I$2000,台帳!$E$2:$E$2000,$A54,台帳!$A$2:$A$2000,"&gt;="&amp;D$4,台帳!$A$2:$A$2000,"&lt;"&amp;(D$4+7))</f>
        <v>0</v>
      </c>
      <c r="E54" s="66">
        <f>SUMIFS(台帳!$I$2:$I$2000,台帳!$E$2:$E$2000,$A54,台帳!$A$2:$A$2000,"&gt;="&amp;E$4,台帳!$A$2:$A$2000,"&lt;"&amp;(E$4+7))</f>
        <v>0</v>
      </c>
      <c r="F54" s="66">
        <f>SUMIFS(台帳!$I$2:$I$2000,台帳!$E$2:$E$2000,$A54,台帳!$A$2:$A$2000,"&gt;="&amp;F$4,台帳!$A$2:$A$2000,"&lt;"&amp;(F$4+7))</f>
        <v>0</v>
      </c>
      <c r="G54" s="66">
        <f>SUMIFS(台帳!$I$2:$I$2000,台帳!$E$2:$E$2000,$A54,台帳!$A$2:$A$2000,"&gt;="&amp;G$4,台帳!$A$2:$A$2000,"&lt;"&amp;(G$4+7))</f>
        <v>0</v>
      </c>
      <c r="H54" s="66">
        <f>SUMIFS(台帳!$I$2:$I$2000,台帳!$E$2:$E$2000,$A54,台帳!$A$2:$A$2000,"&gt;="&amp;H$4,台帳!$A$2:$A$2000,"&lt;"&amp;(H$4+7))</f>
        <v>0</v>
      </c>
      <c r="I54" s="66">
        <f>SUMIFS(台帳!$I$2:$I$2000,台帳!$E$2:$E$2000,$A54,台帳!$A$2:$A$2000,"&gt;="&amp;I$4,台帳!$A$2:$A$2000,"&lt;"&amp;(I$4+7))</f>
        <v>0</v>
      </c>
      <c r="J54" s="66">
        <f>SUMIFS(台帳!$I$2:$I$2000,台帳!$E$2:$E$2000,$A54,台帳!$A$2:$A$2000,"&gt;="&amp;J$4,台帳!$A$2:$A$2000,"&lt;"&amp;(J$4+7))</f>
        <v>0</v>
      </c>
      <c r="K54" s="66">
        <f>SUMIFS(台帳!$I$2:$I$2000,台帳!$E$2:$E$2000,$A54,台帳!$A$2:$A$2000,"&gt;="&amp;K$4,台帳!$A$2:$A$2000,"&lt;"&amp;(K$4+7))</f>
        <v>0</v>
      </c>
      <c r="L54" s="66">
        <f>SUMIFS(台帳!$I$2:$I$2000,台帳!$E$2:$E$2000,$A54,台帳!$A$2:$A$2000,"&gt;="&amp;L$4,台帳!$A$2:$A$2000,"&lt;"&amp;(L$4+7))</f>
        <v>0</v>
      </c>
      <c r="M54" s="66">
        <f>SUMIFS(台帳!$I$2:$I$2000,台帳!$E$2:$E$2000,$A54,台帳!$A$2:$A$2000,"&gt;="&amp;M$4,台帳!$A$2:$A$2000,"&lt;"&amp;(M$4+7))</f>
        <v>0</v>
      </c>
      <c r="N54" s="66">
        <f>SUMIFS(台帳!$I$2:$I$2000,台帳!$E$2:$E$2000,$A54,台帳!$A$2:$A$2000,"&gt;="&amp;N$4,台帳!$A$2:$A$2000,"&lt;"&amp;(N$4+7))</f>
        <v>0</v>
      </c>
      <c r="O54" s="66">
        <f>SUMIFS(台帳!$I$2:$I$2000,台帳!$E$2:$E$2000,$A54,台帳!$A$2:$A$2000,"&gt;="&amp;O$4,台帳!$A$2:$A$2000,"&lt;"&amp;(O$4+7))</f>
        <v>0</v>
      </c>
      <c r="P54" s="66">
        <f>SUMIFS(台帳!$I$2:$I$2000,台帳!$E$2:$E$2000,$A54,台帳!$A$2:$A$2000,"&gt;="&amp;P$4,台帳!$A$2:$A$2000,"&lt;"&amp;(P$4+7))</f>
        <v>0</v>
      </c>
      <c r="Q54" s="66">
        <f>SUMIFS(台帳!$I$2:$I$2000,台帳!$E$2:$E$2000,$A54,台帳!$A$2:$A$2000,"&gt;="&amp;Q$4,台帳!$A$2:$A$2000,"&lt;"&amp;(Q$4+7))</f>
        <v>2</v>
      </c>
      <c r="R54" s="66">
        <f>SUMIFS(台帳!$I$2:$I$2000,台帳!$E$2:$E$2000,$A54,台帳!$A$2:$A$2000,"&gt;="&amp;R$4,台帳!$A$2:$A$2000,"&lt;"&amp;(R$4+7))</f>
        <v>0</v>
      </c>
      <c r="S54" s="66">
        <f>SUMIFS(台帳!$I$2:$I$2000,台帳!$E$2:$E$2000,$A54,台帳!$A$2:$A$2000,"&gt;="&amp;S$4,台帳!$A$2:$A$2000,"&lt;"&amp;(S$4+7))</f>
        <v>0</v>
      </c>
      <c r="T54" s="66">
        <f>SUMIFS(台帳!$I$2:$I$2000,台帳!$E$2:$E$2000,$A54,台帳!$A$2:$A$2000,"&gt;="&amp;T$4,台帳!$A$2:$A$2000,"&lt;"&amp;(T$4+7))</f>
        <v>0</v>
      </c>
      <c r="U54" s="66">
        <f>SUMIFS(台帳!$I$2:$I$2000,台帳!$E$2:$E$2000,$A54,台帳!$A$2:$A$2000,"&gt;="&amp;U$4,台帳!$A$2:$A$2000,"&lt;"&amp;(U$4+7))</f>
        <v>7</v>
      </c>
      <c r="V54" s="66">
        <f>SUMIFS(台帳!$I$2:$I$2000,台帳!$E$2:$E$2000,$A54,台帳!$A$2:$A$2000,"&gt;="&amp;V$4,台帳!$A$2:$A$2000,"&lt;"&amp;(V$4+7))</f>
        <v>0</v>
      </c>
      <c r="W54" s="60">
        <f>SUM(C54:V54)</f>
        <v>9</v>
      </c>
    </row>
    <row r="55" spans="1:23" ht="17.25" x14ac:dyDescent="0.35">
      <c r="A55" s="62" t="s">
        <v>396</v>
      </c>
      <c r="B55" s="45" t="s">
        <v>242</v>
      </c>
      <c r="C55" s="46">
        <f>SUMIFS(台帳!$I$2:$I$2000,台帳!$F$2:$F$2000,$B55,台帳!$A$2:$A$2000,"&gt;="&amp;C$4,台帳!$A$2:$A$2000,"&lt;"&amp;(C$4+7))</f>
        <v>0</v>
      </c>
      <c r="D55" s="46">
        <f>SUMIFS(台帳!$I$2:$I$2000,台帳!$F$2:$F$2000,$B55,台帳!$A$2:$A$2000,"&gt;="&amp;D$4,台帳!$A$2:$A$2000,"&lt;"&amp;(D$4+7))</f>
        <v>0</v>
      </c>
      <c r="E55" s="46">
        <f>SUMIFS(台帳!$I$2:$I$2000,台帳!$F$2:$F$2000,$B55,台帳!$A$2:$A$2000,"&gt;="&amp;E$4,台帳!$A$2:$A$2000,"&lt;"&amp;(E$4+7))</f>
        <v>0</v>
      </c>
      <c r="F55" s="46">
        <f>SUMIFS(台帳!$I$2:$I$2000,台帳!$F$2:$F$2000,$B55,台帳!$A$2:$A$2000,"&gt;="&amp;F$4,台帳!$A$2:$A$2000,"&lt;"&amp;(F$4+7))</f>
        <v>0</v>
      </c>
      <c r="G55" s="46">
        <f>SUMIFS(台帳!$I$2:$I$2000,台帳!$F$2:$F$2000,$B55,台帳!$A$2:$A$2000,"&gt;="&amp;G$4,台帳!$A$2:$A$2000,"&lt;"&amp;(G$4+7))</f>
        <v>0</v>
      </c>
      <c r="H55" s="46">
        <f>SUMIFS(台帳!$I$2:$I$2000,台帳!$F$2:$F$2000,$B55,台帳!$A$2:$A$2000,"&gt;="&amp;H$4,台帳!$A$2:$A$2000,"&lt;"&amp;(H$4+7))</f>
        <v>0</v>
      </c>
      <c r="I55" s="46">
        <f>SUMIFS(台帳!$I$2:$I$2000,台帳!$F$2:$F$2000,$B55,台帳!$A$2:$A$2000,"&gt;="&amp;I$4,台帳!$A$2:$A$2000,"&lt;"&amp;(I$4+7))</f>
        <v>0</v>
      </c>
      <c r="J55" s="46">
        <f>SUMIFS(台帳!$I$2:$I$2000,台帳!$F$2:$F$2000,$B55,台帳!$A$2:$A$2000,"&gt;="&amp;J$4,台帳!$A$2:$A$2000,"&lt;"&amp;(J$4+7))</f>
        <v>0</v>
      </c>
      <c r="K55" s="46">
        <f>SUMIFS(台帳!$I$2:$I$2000,台帳!$F$2:$F$2000,$B55,台帳!$A$2:$A$2000,"&gt;="&amp;K$4,台帳!$A$2:$A$2000,"&lt;"&amp;(K$4+7))</f>
        <v>0</v>
      </c>
      <c r="L55" s="46">
        <f>SUMIFS(台帳!$I$2:$I$2000,台帳!$F$2:$F$2000,$B55,台帳!$A$2:$A$2000,"&gt;="&amp;L$4,台帳!$A$2:$A$2000,"&lt;"&amp;(L$4+7))</f>
        <v>0</v>
      </c>
      <c r="M55" s="46">
        <f>SUMIFS(台帳!$I$2:$I$2000,台帳!$F$2:$F$2000,$B55,台帳!$A$2:$A$2000,"&gt;="&amp;M$4,台帳!$A$2:$A$2000,"&lt;"&amp;(M$4+7))</f>
        <v>0</v>
      </c>
      <c r="N55" s="46">
        <f>SUMIFS(台帳!$I$2:$I$2000,台帳!$F$2:$F$2000,$B55,台帳!$A$2:$A$2000,"&gt;="&amp;N$4,台帳!$A$2:$A$2000,"&lt;"&amp;(N$4+7))</f>
        <v>0</v>
      </c>
      <c r="O55" s="46">
        <f>SUMIFS(台帳!$I$2:$I$2000,台帳!$F$2:$F$2000,$B55,台帳!$A$2:$A$2000,"&gt;="&amp;O$4,台帳!$A$2:$A$2000,"&lt;"&amp;(O$4+7))</f>
        <v>0</v>
      </c>
      <c r="P55" s="46">
        <f>SUMIFS(台帳!$I$2:$I$2000,台帳!$F$2:$F$2000,$B55,台帳!$A$2:$A$2000,"&gt;="&amp;P$4,台帳!$A$2:$A$2000,"&lt;"&amp;(P$4+7))</f>
        <v>0</v>
      </c>
      <c r="Q55" s="46">
        <f>SUMIFS(台帳!$I$2:$I$2000,台帳!$F$2:$F$2000,$B55,台帳!$A$2:$A$2000,"&gt;="&amp;Q$4,台帳!$A$2:$A$2000,"&lt;"&amp;(Q$4+7))</f>
        <v>2</v>
      </c>
      <c r="R55" s="46">
        <f>SUMIFS(台帳!$I$2:$I$2000,台帳!$F$2:$F$2000,$B55,台帳!$A$2:$A$2000,"&gt;="&amp;R$4,台帳!$A$2:$A$2000,"&lt;"&amp;(R$4+7))</f>
        <v>0</v>
      </c>
      <c r="S55" s="46">
        <f>SUMIFS(台帳!$I$2:$I$2000,台帳!$F$2:$F$2000,$B55,台帳!$A$2:$A$2000,"&gt;="&amp;S$4,台帳!$A$2:$A$2000,"&lt;"&amp;(S$4+7))</f>
        <v>0</v>
      </c>
      <c r="T55" s="46">
        <f>SUMIFS(台帳!$I$2:$I$2000,台帳!$F$2:$F$2000,$B55,台帳!$A$2:$A$2000,"&gt;="&amp;T$4,台帳!$A$2:$A$2000,"&lt;"&amp;(T$4+7))</f>
        <v>0</v>
      </c>
      <c r="U55" s="46">
        <f>SUMIFS(台帳!$I$2:$I$2000,台帳!$F$2:$F$2000,$B55,台帳!$A$2:$A$2000,"&gt;="&amp;U$4,台帳!$A$2:$A$2000,"&lt;"&amp;(U$4+7))</f>
        <v>5</v>
      </c>
      <c r="V55" s="46">
        <f>SUMIFS(台帳!$I$2:$I$2000,台帳!$F$2:$F$2000,$B55,台帳!$A$2:$A$2000,"&gt;="&amp;V$4,台帳!$A$2:$A$2000,"&lt;"&amp;(V$4+7))</f>
        <v>0</v>
      </c>
      <c r="W55" s="45">
        <f>SUM(C55:V55)</f>
        <v>7</v>
      </c>
    </row>
    <row r="56" spans="1:23" ht="17.25" x14ac:dyDescent="0.35">
      <c r="A56" s="62" t="s">
        <v>396</v>
      </c>
      <c r="B56" s="45" t="s">
        <v>341</v>
      </c>
      <c r="C56" s="46">
        <f>SUMIFS(台帳!$I$2:$I$2000,台帳!$F$2:$F$2000,$B56,台帳!$A$2:$A$2000,"&gt;="&amp;C$4,台帳!$A$2:$A$2000,"&lt;"&amp;(C$4+7))</f>
        <v>0</v>
      </c>
      <c r="D56" s="46">
        <f>SUMIFS(台帳!$I$2:$I$2000,台帳!$F$2:$F$2000,$B56,台帳!$A$2:$A$2000,"&gt;="&amp;D$4,台帳!$A$2:$A$2000,"&lt;"&amp;(D$4+7))</f>
        <v>0</v>
      </c>
      <c r="E56" s="46">
        <f>SUMIFS(台帳!$I$2:$I$2000,台帳!$F$2:$F$2000,$B56,台帳!$A$2:$A$2000,"&gt;="&amp;E$4,台帳!$A$2:$A$2000,"&lt;"&amp;(E$4+7))</f>
        <v>0</v>
      </c>
      <c r="F56" s="46">
        <f>SUMIFS(台帳!$I$2:$I$2000,台帳!$F$2:$F$2000,$B56,台帳!$A$2:$A$2000,"&gt;="&amp;F$4,台帳!$A$2:$A$2000,"&lt;"&amp;(F$4+7))</f>
        <v>0</v>
      </c>
      <c r="G56" s="46">
        <f>SUMIFS(台帳!$I$2:$I$2000,台帳!$F$2:$F$2000,$B56,台帳!$A$2:$A$2000,"&gt;="&amp;G$4,台帳!$A$2:$A$2000,"&lt;"&amp;(G$4+7))</f>
        <v>0</v>
      </c>
      <c r="H56" s="46">
        <f>SUMIFS(台帳!$I$2:$I$2000,台帳!$F$2:$F$2000,$B56,台帳!$A$2:$A$2000,"&gt;="&amp;H$4,台帳!$A$2:$A$2000,"&lt;"&amp;(H$4+7))</f>
        <v>0</v>
      </c>
      <c r="I56" s="46">
        <f>SUMIFS(台帳!$I$2:$I$2000,台帳!$F$2:$F$2000,$B56,台帳!$A$2:$A$2000,"&gt;="&amp;I$4,台帳!$A$2:$A$2000,"&lt;"&amp;(I$4+7))</f>
        <v>0</v>
      </c>
      <c r="J56" s="46">
        <f>SUMIFS(台帳!$I$2:$I$2000,台帳!$F$2:$F$2000,$B56,台帳!$A$2:$A$2000,"&gt;="&amp;J$4,台帳!$A$2:$A$2000,"&lt;"&amp;(J$4+7))</f>
        <v>0</v>
      </c>
      <c r="K56" s="46">
        <f>SUMIFS(台帳!$I$2:$I$2000,台帳!$F$2:$F$2000,$B56,台帳!$A$2:$A$2000,"&gt;="&amp;K$4,台帳!$A$2:$A$2000,"&lt;"&amp;(K$4+7))</f>
        <v>0</v>
      </c>
      <c r="L56" s="46">
        <f>SUMIFS(台帳!$I$2:$I$2000,台帳!$F$2:$F$2000,$B56,台帳!$A$2:$A$2000,"&gt;="&amp;L$4,台帳!$A$2:$A$2000,"&lt;"&amp;(L$4+7))</f>
        <v>0</v>
      </c>
      <c r="M56" s="46">
        <f>SUMIFS(台帳!$I$2:$I$2000,台帳!$F$2:$F$2000,$B56,台帳!$A$2:$A$2000,"&gt;="&amp;M$4,台帳!$A$2:$A$2000,"&lt;"&amp;(M$4+7))</f>
        <v>0</v>
      </c>
      <c r="N56" s="46">
        <f>SUMIFS(台帳!$I$2:$I$2000,台帳!$F$2:$F$2000,$B56,台帳!$A$2:$A$2000,"&gt;="&amp;N$4,台帳!$A$2:$A$2000,"&lt;"&amp;(N$4+7))</f>
        <v>0</v>
      </c>
      <c r="O56" s="46">
        <f>SUMIFS(台帳!$I$2:$I$2000,台帳!$F$2:$F$2000,$B56,台帳!$A$2:$A$2000,"&gt;="&amp;O$4,台帳!$A$2:$A$2000,"&lt;"&amp;(O$4+7))</f>
        <v>0</v>
      </c>
      <c r="P56" s="46">
        <f>SUMIFS(台帳!$I$2:$I$2000,台帳!$F$2:$F$2000,$B56,台帳!$A$2:$A$2000,"&gt;="&amp;P$4,台帳!$A$2:$A$2000,"&lt;"&amp;(P$4+7))</f>
        <v>0</v>
      </c>
      <c r="Q56" s="46">
        <f>SUMIFS(台帳!$I$2:$I$2000,台帳!$F$2:$F$2000,$B56,台帳!$A$2:$A$2000,"&gt;="&amp;Q$4,台帳!$A$2:$A$2000,"&lt;"&amp;(Q$4+7))</f>
        <v>0</v>
      </c>
      <c r="R56" s="46">
        <f>SUMIFS(台帳!$I$2:$I$2000,台帳!$F$2:$F$2000,$B56,台帳!$A$2:$A$2000,"&gt;="&amp;R$4,台帳!$A$2:$A$2000,"&lt;"&amp;(R$4+7))</f>
        <v>0</v>
      </c>
      <c r="S56" s="46">
        <f>SUMIFS(台帳!$I$2:$I$2000,台帳!$F$2:$F$2000,$B56,台帳!$A$2:$A$2000,"&gt;="&amp;S$4,台帳!$A$2:$A$2000,"&lt;"&amp;(S$4+7))</f>
        <v>0</v>
      </c>
      <c r="T56" s="46">
        <f>SUMIFS(台帳!$I$2:$I$2000,台帳!$F$2:$F$2000,$B56,台帳!$A$2:$A$2000,"&gt;="&amp;T$4,台帳!$A$2:$A$2000,"&lt;"&amp;(T$4+7))</f>
        <v>0</v>
      </c>
      <c r="U56" s="46">
        <f>SUMIFS(台帳!$I$2:$I$2000,台帳!$F$2:$F$2000,$B56,台帳!$A$2:$A$2000,"&gt;="&amp;U$4,台帳!$A$2:$A$2000,"&lt;"&amp;(U$4+7))</f>
        <v>2</v>
      </c>
      <c r="V56" s="46">
        <f>SUMIFS(台帳!$I$2:$I$2000,台帳!$F$2:$F$2000,$B56,台帳!$A$2:$A$2000,"&gt;="&amp;V$4,台帳!$A$2:$A$2000,"&lt;"&amp;(V$4+7))</f>
        <v>0</v>
      </c>
      <c r="W56" s="45">
        <f>SUM(C56:V56)</f>
        <v>2</v>
      </c>
    </row>
    <row r="57" spans="1:23" ht="17.25" x14ac:dyDescent="0.35">
      <c r="A57" s="62" t="s">
        <v>396</v>
      </c>
      <c r="B57" s="45" t="s">
        <v>98</v>
      </c>
      <c r="C57" s="46">
        <f>SUMIFS(台帳!$I$2:$I$2000,台帳!$F$2:$F$2000,$B57,台帳!$A$2:$A$2000,"&gt;="&amp;C$4,台帳!$A$2:$A$2000,"&lt;"&amp;(C$4+7))</f>
        <v>0</v>
      </c>
      <c r="D57" s="46">
        <f>SUMIFS(台帳!$I$2:$I$2000,台帳!$F$2:$F$2000,$B57,台帳!$A$2:$A$2000,"&gt;="&amp;D$4,台帳!$A$2:$A$2000,"&lt;"&amp;(D$4+7))</f>
        <v>0</v>
      </c>
      <c r="E57" s="46">
        <f>SUMIFS(台帳!$I$2:$I$2000,台帳!$F$2:$F$2000,$B57,台帳!$A$2:$A$2000,"&gt;="&amp;E$4,台帳!$A$2:$A$2000,"&lt;"&amp;(E$4+7))</f>
        <v>0</v>
      </c>
      <c r="F57" s="46">
        <f>SUMIFS(台帳!$I$2:$I$2000,台帳!$F$2:$F$2000,$B57,台帳!$A$2:$A$2000,"&gt;="&amp;F$4,台帳!$A$2:$A$2000,"&lt;"&amp;(F$4+7))</f>
        <v>0</v>
      </c>
      <c r="G57" s="46">
        <f>SUMIFS(台帳!$I$2:$I$2000,台帳!$F$2:$F$2000,$B57,台帳!$A$2:$A$2000,"&gt;="&amp;G$4,台帳!$A$2:$A$2000,"&lt;"&amp;(G$4+7))</f>
        <v>0</v>
      </c>
      <c r="H57" s="46">
        <f>SUMIFS(台帳!$I$2:$I$2000,台帳!$F$2:$F$2000,$B57,台帳!$A$2:$A$2000,"&gt;="&amp;H$4,台帳!$A$2:$A$2000,"&lt;"&amp;(H$4+7))</f>
        <v>0</v>
      </c>
      <c r="I57" s="46">
        <f>SUMIFS(台帳!$I$2:$I$2000,台帳!$F$2:$F$2000,$B57,台帳!$A$2:$A$2000,"&gt;="&amp;I$4,台帳!$A$2:$A$2000,"&lt;"&amp;(I$4+7))</f>
        <v>0</v>
      </c>
      <c r="J57" s="46">
        <f>SUMIFS(台帳!$I$2:$I$2000,台帳!$F$2:$F$2000,$B57,台帳!$A$2:$A$2000,"&gt;="&amp;J$4,台帳!$A$2:$A$2000,"&lt;"&amp;(J$4+7))</f>
        <v>0</v>
      </c>
      <c r="K57" s="46">
        <f>SUMIFS(台帳!$I$2:$I$2000,台帳!$F$2:$F$2000,$B57,台帳!$A$2:$A$2000,"&gt;="&amp;K$4,台帳!$A$2:$A$2000,"&lt;"&amp;(K$4+7))</f>
        <v>0</v>
      </c>
      <c r="L57" s="46">
        <f>SUMIFS(台帳!$I$2:$I$2000,台帳!$F$2:$F$2000,$B57,台帳!$A$2:$A$2000,"&gt;="&amp;L$4,台帳!$A$2:$A$2000,"&lt;"&amp;(L$4+7))</f>
        <v>0</v>
      </c>
      <c r="M57" s="46">
        <f>SUMIFS(台帳!$I$2:$I$2000,台帳!$F$2:$F$2000,$B57,台帳!$A$2:$A$2000,"&gt;="&amp;M$4,台帳!$A$2:$A$2000,"&lt;"&amp;(M$4+7))</f>
        <v>0</v>
      </c>
      <c r="N57" s="46">
        <f>SUMIFS(台帳!$I$2:$I$2000,台帳!$F$2:$F$2000,$B57,台帳!$A$2:$A$2000,"&gt;="&amp;N$4,台帳!$A$2:$A$2000,"&lt;"&amp;(N$4+7))</f>
        <v>0</v>
      </c>
      <c r="O57" s="46">
        <f>SUMIFS(台帳!$I$2:$I$2000,台帳!$F$2:$F$2000,$B57,台帳!$A$2:$A$2000,"&gt;="&amp;O$4,台帳!$A$2:$A$2000,"&lt;"&amp;(O$4+7))</f>
        <v>0</v>
      </c>
      <c r="P57" s="46">
        <f>SUMIFS(台帳!$I$2:$I$2000,台帳!$F$2:$F$2000,$B57,台帳!$A$2:$A$2000,"&gt;="&amp;P$4,台帳!$A$2:$A$2000,"&lt;"&amp;(P$4+7))</f>
        <v>0</v>
      </c>
      <c r="Q57" s="46">
        <f>SUMIFS(台帳!$I$2:$I$2000,台帳!$F$2:$F$2000,$B57,台帳!$A$2:$A$2000,"&gt;="&amp;Q$4,台帳!$A$2:$A$2000,"&lt;"&amp;(Q$4+7))</f>
        <v>0</v>
      </c>
      <c r="R57" s="46">
        <f>SUMIFS(台帳!$I$2:$I$2000,台帳!$F$2:$F$2000,$B57,台帳!$A$2:$A$2000,"&gt;="&amp;R$4,台帳!$A$2:$A$2000,"&lt;"&amp;(R$4+7))</f>
        <v>0</v>
      </c>
      <c r="S57" s="46">
        <f>SUMIFS(台帳!$I$2:$I$2000,台帳!$F$2:$F$2000,$B57,台帳!$A$2:$A$2000,"&gt;="&amp;S$4,台帳!$A$2:$A$2000,"&lt;"&amp;(S$4+7))</f>
        <v>0</v>
      </c>
      <c r="T57" s="46">
        <f>SUMIFS(台帳!$I$2:$I$2000,台帳!$F$2:$F$2000,$B57,台帳!$A$2:$A$2000,"&gt;="&amp;T$4,台帳!$A$2:$A$2000,"&lt;"&amp;(T$4+7))</f>
        <v>0</v>
      </c>
      <c r="U57" s="46">
        <f>SUMIFS(台帳!$I$2:$I$2000,台帳!$F$2:$F$2000,$B57,台帳!$A$2:$A$2000,"&gt;="&amp;U$4,台帳!$A$2:$A$2000,"&lt;"&amp;(U$4+7))</f>
        <v>0</v>
      </c>
      <c r="V57" s="46">
        <f>SUMIFS(台帳!$I$2:$I$2000,台帳!$F$2:$F$2000,$B57,台帳!$A$2:$A$2000,"&gt;="&amp;V$4,台帳!$A$2:$A$2000,"&lt;"&amp;(V$4+7))</f>
        <v>0</v>
      </c>
      <c r="W57" s="45">
        <f>SUM(C57:V57)</f>
        <v>0</v>
      </c>
    </row>
    <row r="58" spans="1:23" ht="17.25" x14ac:dyDescent="0.35">
      <c r="B58" s="10" t="s">
        <v>518</v>
      </c>
      <c r="C58" s="66">
        <f>SUMPRODUCT(($B$5:$B$57="（工程計）")*C5:C57)</f>
        <v>7</v>
      </c>
      <c r="D58" s="66">
        <f>SUMPRODUCT(($B$5:$B$57="（工程計）")*D5:D57)</f>
        <v>0</v>
      </c>
      <c r="E58" s="66">
        <f>SUMPRODUCT(($B$5:$B$57="（工程計）")*E5:E57)</f>
        <v>0</v>
      </c>
      <c r="F58" s="66">
        <f>SUMPRODUCT(($B$5:$B$57="（工程計）")*F5:F57)</f>
        <v>0</v>
      </c>
      <c r="G58" s="66">
        <f>SUMPRODUCT(($B$5:$B$57="（工程計）")*G5:G57)</f>
        <v>6</v>
      </c>
      <c r="H58" s="66">
        <f>SUMPRODUCT(($B$5:$B$57="（工程計）")*H5:H57)</f>
        <v>0</v>
      </c>
      <c r="I58" s="66">
        <f>SUMPRODUCT(($B$5:$B$57="（工程計）")*I5:I57)</f>
        <v>0</v>
      </c>
      <c r="J58" s="66">
        <f>SUMPRODUCT(($B$5:$B$57="（工程計）")*J5:J57)</f>
        <v>8</v>
      </c>
      <c r="K58" s="66">
        <f>SUMPRODUCT(($B$5:$B$57="（工程計）")*K5:K57)</f>
        <v>16</v>
      </c>
      <c r="L58" s="66">
        <f>SUMPRODUCT(($B$5:$B$57="（工程計）")*L5:L57)</f>
        <v>14</v>
      </c>
      <c r="M58" s="66">
        <f>SUMPRODUCT(($B$5:$B$57="（工程計）")*M5:M57)</f>
        <v>24</v>
      </c>
      <c r="N58" s="66">
        <f>SUMPRODUCT(($B$5:$B$57="（工程計）")*N5:N57)</f>
        <v>15</v>
      </c>
      <c r="O58" s="66">
        <f>SUMPRODUCT(($B$5:$B$57="（工程計）")*O5:O57)</f>
        <v>23</v>
      </c>
      <c r="P58" s="66">
        <f>SUMPRODUCT(($B$5:$B$57="（工程計）")*P5:P57)</f>
        <v>15</v>
      </c>
      <c r="Q58" s="66">
        <f>SUMPRODUCT(($B$5:$B$57="（工程計）")*Q5:Q57)</f>
        <v>37</v>
      </c>
      <c r="R58" s="66">
        <f>SUMPRODUCT(($B$5:$B$57="（工程計）")*R5:R57)</f>
        <v>28</v>
      </c>
      <c r="S58" s="66">
        <f>SUMPRODUCT(($B$5:$B$57="（工程計）")*S5:S57)</f>
        <v>26</v>
      </c>
      <c r="T58" s="66">
        <f>SUMPRODUCT(($B$5:$B$57="（工程計）")*T5:T57)</f>
        <v>24</v>
      </c>
      <c r="U58" s="66">
        <f>SUMPRODUCT(($B$5:$B$57="（工程計）")*U5:U57)</f>
        <v>24</v>
      </c>
      <c r="V58" s="66">
        <f>SUMPRODUCT(($B$5:$B$57="（工程計）")*V5:V57)</f>
        <v>9</v>
      </c>
      <c r="W58" s="66">
        <f>SUMPRODUCT(($B$5:$B$57="（工程計）")*W5:W57)</f>
        <v>276</v>
      </c>
    </row>
  </sheetData>
  <conditionalFormatting sqref="C5:V57">
    <cfRule type="colorScale" priority="2">
      <colorScale>
        <cfvo type="num" val="0"/>
        <cfvo type="num" val="20"/>
        <color rgb="FFFFFFFF"/>
        <color rgb="FF2E75B6"/>
      </colorScale>
    </cfRule>
  </conditionalFormatting>
  <printOptions horizontalCentered="1"/>
  <pageMargins left="0.4" right="0.4" top="0.5" bottom="0.5" header="0.25" footer="0.25"/>
  <pageSetup paperSize="9" orientation="landscape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14.xml><?xml version="1.0" encoding="utf-8"?>
<worksheet xmlns="http://schemas.openxmlformats.org/spreadsheetml/2006/main">
  <dimension ref="A1:C11"/>
  <cols>
    <col min="1" max="1" width="34" customWidth="1"/>
    <col min="2" max="2" width="42" customWidth="1"/>
    <col min="3" max="3" width="60" customWidth="1"/>
  </cols>
  <sheetData>
    <row r="1">
      <c r="A1" t="inlineStr">
        <is>
          <t>現場日報アプリ 設定シート（この表の場所・見出しは変えないでください）</t>
        </is>
      </c>
    </row>
    <row r="2"/>
    <row r="3">
      <c r="A3" t="inlineStr">
        <is>
          <t>項目</t>
        </is>
      </c>
      <c r="B3" t="inlineStr">
        <is>
          <t>値</t>
        </is>
      </c>
      <c r="C3" t="inlineStr">
        <is>
          <t>説明</t>
        </is>
      </c>
    </row>
    <row r="4">
      <c r="A4" t="inlineStr">
        <is>
          <t>写真ルートフォルダID</t>
        </is>
      </c>
      <c r="B4" t="inlineStr">
        <is>
          <t>1kFKgVW8pRDY2O-SEPVaAfC-oZYbiP_fi</t>
        </is>
      </c>
      <c r="C4" t="inlineStr">
        <is>
          <t>共有ドライブ「アース建設03案件」内の 00.工事部 フォルダ</t>
        </is>
      </c>
    </row>
    <row r="5">
      <c r="A5" t="inlineStr">
        <is>
          <t>写真置き場フォルダID</t>
        </is>
      </c>
      <c r="B5" t="inlineStr">
        <is>
          <t>18tJl4_plrS1A53U5VsdbODN5--_-ODs0</t>
        </is>
      </c>
      <c r="C5" t="inlineStr">
        <is>
          <t>現場が特定できない写真の保存先（99_写真置き場）</t>
        </is>
      </c>
    </row>
    <row r="6">
      <c r="A6" t="inlineStr">
        <is>
          <t>写真サブフォルダ名</t>
        </is>
      </c>
      <c r="B6" t="inlineStr">
        <is>
          <t>06_写真</t>
        </is>
      </c>
      <c r="C6" t="inlineStr">
        <is>
          <t>各現場フォルダ内の写真フォルダの名前</t>
        </is>
      </c>
    </row>
    <row r="7">
      <c r="A7" t="inlineStr">
        <is>
          <t>日報写真フォルダ名</t>
        </is>
      </c>
      <c r="B7" t="inlineStr">
        <is>
          <t>日報</t>
        </is>
      </c>
      <c r="C7" t="inlineStr">
        <is>
          <t>06_写真 の下に自動で作る日報写真用フォルダ（さらに 2026-09 のような月別フォルダを自動作成）</t>
        </is>
      </c>
    </row>
    <row r="8"/>
    <row r="9">
      <c r="A9" t="inlineStr">
        <is>
          <t>現場フォルダの割り当て（現場名 → フォルダID。行を足せば現場を増やせます）</t>
        </is>
      </c>
    </row>
    <row r="10">
      <c r="A10" t="inlineStr">
        <is>
          <t>現場名</t>
        </is>
      </c>
      <c r="B10" t="inlineStr">
        <is>
          <t>現場フォルダID</t>
        </is>
      </c>
      <c r="C10" t="inlineStr">
        <is>
          <t>備考</t>
        </is>
      </c>
    </row>
    <row r="11">
      <c r="A11" t="inlineStr">
        <is>
          <t>谷直美様住宅新築工事</t>
        </is>
      </c>
      <c r="B11" t="inlineStr">
        <is>
          <t>14NO0tzYYFYRNyNAAuvV8bpyaTBQ1rLKI</t>
        </is>
      </c>
      <c r="C11" t="inlineStr">
        <is>
          <t>01_工事No　谷直美様住宅新築工事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15</vt:i4>
      </vt:variant>
    </vt:vector>
  </HeadingPairs>
  <TitlesOfParts>
    <vt:vector size="28" baseType="lpstr">
      <vt:lpstr>印刷メニュー</vt:lpstr>
      <vt:lpstr>使い方</vt:lpstr>
      <vt:lpstr>台帳</vt:lpstr>
      <vt:lpstr>マスター</vt:lpstr>
      <vt:lpstr>日別集計</vt:lpstr>
      <vt:lpstr>工種別日別</vt:lpstr>
      <vt:lpstr>確認事項</vt:lpstr>
      <vt:lpstr>印刷01_日別人工</vt:lpstr>
      <vt:lpstr>印刷02_累計推移</vt:lpstr>
      <vt:lpstr>印刷03_グラフ</vt:lpstr>
      <vt:lpstr>印刷04_集計</vt:lpstr>
      <vt:lpstr>印刷05_工種別予算</vt:lpstr>
      <vt:lpstr>印刷06_週別</vt:lpstr>
      <vt:lpstr>印刷01_日別人工!Print_Area</vt:lpstr>
      <vt:lpstr>印刷02_累計推移!Print_Area</vt:lpstr>
      <vt:lpstr>印刷03_グラフ!Print_Area</vt:lpstr>
      <vt:lpstr>印刷04_集計!Print_Area</vt:lpstr>
      <vt:lpstr>印刷05_工種別予算!Print_Area</vt:lpstr>
      <vt:lpstr>印刷06_週別!Print_Area</vt:lpstr>
      <vt:lpstr>印刷メニュー!Print_Area</vt:lpstr>
      <vt:lpstr>台帳!Print_Area</vt:lpstr>
      <vt:lpstr>工種別日別!Print_Area</vt:lpstr>
      <vt:lpstr>日別集計!Print_Area</vt:lpstr>
      <vt:lpstr>印刷01_日別人工!Print_Titles</vt:lpstr>
      <vt:lpstr>印刷02_累計推移!Print_Titles</vt:lpstr>
      <vt:lpstr>台帳!Print_Titles</vt:lpstr>
      <vt:lpstr>工種別日別!Print_Titles</vt:lpstr>
      <vt:lpstr>日別集計!Print_Titles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2026-09-03T01:55:27Z</dcterms:created>
  <dcterms:modified xsi:type="dcterms:W3CDTF">2026-09-03T01:55:32Z</dcterms:modified>
  <dc:language>en-US</dc:language>
</cp:coreProperties>
</file>